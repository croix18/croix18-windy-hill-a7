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2⁰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Z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<sst xmlns="http://schemas.openxmlformats.org/spreadsheetml/2006/main" count="2719" uniqueCount="1838">
  <si>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</si>
  <si>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</si>
  <si>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</si>
  <si>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</si>
  <si>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</si>
  <si>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</si>
  <si>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</si>
  <si>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</si>
  <si>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</si>
  <si>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</si>
  <si>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</si>
  <si>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</si>
  <si>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</si>
  <si>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</si>
  <si>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</si>
  <si>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</si>
  <si>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</si>
  <si>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</si>
  <si>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</si>
  <si>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</si>
  <si>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</si>
  <si>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</si>
  <si>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</si>
  <si>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</si>
  <si>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</si>
  <si>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</si>
  <si>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</si>
  <si>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</si>
  <si>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</si>
  <si>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</si>
  <si>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</si>
  <si>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</si>
  <si>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</si>
  <si>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</si>
  <si>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</si>
  <si>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</si>
  <si>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</si>
  <si>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</si>
  <si>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</si>
  <si>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</si>
  <si>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</si>
  <si>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</si>
  <si>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</si>
  <si>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</si>
  <si>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</si>
  <si>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</si>
  <si>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</si>
  <si>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</si>
  <si>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</si>
  <si>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</si>
  <si>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</si>
  <si>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</si>
  <si>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</si>
  <si>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</si>
  <si>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</si>
  <si>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</si>
  <si>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</si>
  <si>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</si>
  <si>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</si>
  <si>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</si>
  <si>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</si>
  <si>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</si>
  <si>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</si>
  <si>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</si>
  <si>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</si>
  <si>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</si>
  <si>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</si>
  <si>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</si>
  <si>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</si>
  <si>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</si>
  <si>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</si>
  <si>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</si>
  <si>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</si>
  <si>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</si>
  <si>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</si>
  <si>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</si>
  <si>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</si>
  <si>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</si>
  <si>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</si>
  <si>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</si>
  <si>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</si>
  <si>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</si>
  <si>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</si>
  <si>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</si>
  <si>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</si>
  <si>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</si>
  <si>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</si>
  <si>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</si>
  <si>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</si>
  <si>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</si>
  <si>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</si>
  <si>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</si>
  <si>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</si>
  <si>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</si>
  <si>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</si>
  <si>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</si>
  <si>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</si>
  <si>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</si>
  <si>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</si>
  <si>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</si>
  <si>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</si>
  <si>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</si>
  <si>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</si>
  <si>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</si>
  <si>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</si>
  <si>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</si>
  <si>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</si>
  <si>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</si>
  <si>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</si>
  <si>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</si>
  <si>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</si>
  <si>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</si>
  <si>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</si>
  <si>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</si>
  <si>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</si>
  <si>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</si>
  <si>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</si>
  <si>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</si>
  <si>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</si>
  <si>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</si>
  <si>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</si>
  <si>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</si>
  <si>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</si>
  <si>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</si>
  <si>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</si>
  <si>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</si>
  <si>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</si>
  <si>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</si>
  <si>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</si>
  <si>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</si>
  <si>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</si>
  <si>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</si>
  <si>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</si>
  <si>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</si>
  <si>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</si>
  <si>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</si>
  <si>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</si>
  <si>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</si>
  <si>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</si>
  <si>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</si>
  <si>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</si>
  <si>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</si>
  <si>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</si>
  <si>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</si>
  <si>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</si>
  <si>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</si>
  <si>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</si>
  <si>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</si>
  <si>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</si>
  <si>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</si>
  <si>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</si>
  <si>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</si>
  <si>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</si>
  <si>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</si>
  <si>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</si>
  <si>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</si>
  <si>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</si>
  <si>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</si>
  <si>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</si>
  <si>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</si>
  <si>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</si>
  <si>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</si>
  <si>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</si>
  <si>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</si>
  <si>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</si>
  <si>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</si>
  <si>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</si>
  <si>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</si>
  <si>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</si>
  <si>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</si>
  <si>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</si>
  <si>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</si>
  <si>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</si>
  <si>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</si>
  <si>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</si>
  <si>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</si>
  <si>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</si>
  <si>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</si>
  <si>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</si>
  <si>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</si>
  <si>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</si>
  <si>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</si>
  <si>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</si>
  <si>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</si>
  <si>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</si>
  <si>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</si>
  <si>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</si>
  <si>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</si>
  <si>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</si>
  <si>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</si>
  <si>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</si>
  <si>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</si>
  <si>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</si>
  <si>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</si>
  <si>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</si>
  <si>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</si>
  <si>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</si>
  <si>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</si>
  <si>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</si>
  <si>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</si>
  <si>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</si>
  <si>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</si>
  <si>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</si>
  <si>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</si>
  <si>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</si>
  <si>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</si>
  <si>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</si>
  <si>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</si>
  <si>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</si>
  <si>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</si>
  <si>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</si>
  <si>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</si>
  <si>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</si>
  <si>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</si>
  <si>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</si>
  <si>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</si>
  <si>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</si>
  <si>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</si>
  <si>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</si>
  <si>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</si>
  <si>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</si>
  <si>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</si>
  <si>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</si>
  <si>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</si>
  <si>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</si>
  <si>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</si>
  <si>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</si>
  <si>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</si>
  <si>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</si>
  <si>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</si>
  <si>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</si>
  <si>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</si>
  <si>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</si>
  <si>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</si>
  <si>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</si>
  <si>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</si>
  <si>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</si>
  <si>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</si>
  <si>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</si>
  <si>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</si>
  <si>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</si>
  <si>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</si>
  <si>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</si>
  <si>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</si>
  <si>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</si>
  <si>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</si>
  <si>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</si>
  <si>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</si>
  <si>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</si>
  <si>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</si>
  <si>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</si>
  <si>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</si>
  <si>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</si>
  <si>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</si>
  <si>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</si>
  <si>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</si>
  <si>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</si>
  <si>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</si>
  <si>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</si>
  <si>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</si>
  <si>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</si>
  <si>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</si>
  <si>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</si>
  <si>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</si>
  <si>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</si>
  <si>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</si>
  <si>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</si>
  <si>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</si>
  <si>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</si>
  <si>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</si>
  <si>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</si>
  <si>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</si>
  <si>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</si>
  <si>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</si>
  <si>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</si>
  <si>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</si>
  <si>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</si>
  <si>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</si>
  <si>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</si>
  <si>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</si>
  <si>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</si>
  <si>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</si>
  <si>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</si>
  <si>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</si>
  <si>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</si>
  <si>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</si>
  <si>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</si>
  <si>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</si>
  <si>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</si>
  <si>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</si>
  <si>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</si>
  <si>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</si>
  <si>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</si>
  <si>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</si>
  <si>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</si>
  <si>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</si>
  <si>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</si>
  <si>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</si>
  <si>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</si>
  <si>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</si>
  <si>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</si>
  <si>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</si>
  <si>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</si>
  <si>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</si>
  <si>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</si>
  <si>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</si>
  <si>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</si>
  <si>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</si>
  <si>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</si>
  <si>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</si>
  <si>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</si>
  <si>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</si>
  <si>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</si>
  <si>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</si>
  <si>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</si>
  <si>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</si>
  <si>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</si>
  <si>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</si>
  <si>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</si>
  <si>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</si>
  <si>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</si>
  <si>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</si>
  <si>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</si>
  <si>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</si>
  <si>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</si>
  <si>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</si>
  <si>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</si>
  <si>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</si>
  <si>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</si>
  <si>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</si>
  <si>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</si>
  <si>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</si>
  <si>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</si>
  <si>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</si>
  <si>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</si>
  <si>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</si>
  <si>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</si>
  <si>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</si>
  <si>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</si>
  <si>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</si>
  <si>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</si>
  <si>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</si>
  <si>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</si>
  <si>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</si>
  <si>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</si>
  <si>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</si>
  <si>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</si>
  <si>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</si>
  <si>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</si>
  <si>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</si>
  <si>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</si>
  <si>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</si>
  <si>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</si>
  <si>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</si>
  <si>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</si>
  <si>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</si>
  <si>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</si>
  <si>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</si>
  <si>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</si>
  <si>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</si>
  <si>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</si>
  <si>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</si>
  <si>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</si>
  <si>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</si>
  <si>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</si>
  <si>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</si>
  <si>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</si>
  <si>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</si>
  <si>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</si>
  <si>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</si>
  <si>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</si>
  <si>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</si>
  <si>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</si>
  <si>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</si>
  <si>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</si>
  <si>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</si>
  <si>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</si>
  <si>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</si>
  <si>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</si>
  <si>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</si>
  <si>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</si>
  <si>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</si>
  <si>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</si>
  <si>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</si>
  <si>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</si>
  <si>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</si>
  <si>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</si>
  <si>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</si>
  <si>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</si>
  <si>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</si>
  <si>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</si>
  <si>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</si>
  <si>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</si>
  <si>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</si>
  <si>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</si>
  <si>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</si>
  <si>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</si>
  <si>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</si>
  <si>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</si>
  <si>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</si>
  <si>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</si>
  <si>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</si>
  <si>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</si>
  <si>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</si>
  <si>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</si>
  <si>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</si>
  <si>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</si>
  <si>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</si>
  <si>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</si>
  <si>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</si>
  <si>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</si>
  <si>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</si>
  <si>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</si>
  <si>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</si>
  <si>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</si>
  <si>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</si>
  <si>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</si>
  <si>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</si>
  <si>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</si>
  <si>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</si>
  <si>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</si>
  <si>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</si>
  <si>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</si>
  <si>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</si>
  <si>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</si>
  <si>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</si>
  <si>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</si>
  <si>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</si>
  <si>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</si>
  <si>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</si>
  <si>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</si>
  <si>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</si>
  <si>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</si>
  <si>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</si>
  <si>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</si>
  <si>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</si>
  <si>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</si>
  <si>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</si>
  <si>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</si>
  <si>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</si>
  <si>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</si>
  <si>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</si>
  <si>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</si>
  <si>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</si>
  <si>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</si>
  <si>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</si>
  <si>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</si>
  <si>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</si>
  <si>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</si>
  <si>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</si>
  <si>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</si>
  <si>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</si>
  <si>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</si>
  <si>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</si>
  <si>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</si>
  <si>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</si>
  <si>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</si>
  <si>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</si>
  <si>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</si>
  <si>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</si>
  <si>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</si>
  <si>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</si>
  <si>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</si>
  <si>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</si>
  <si>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</si>
  <si>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</si>
  <si>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</si>
  <si>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</si>
  <si>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</si>
  <si>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</si>
  <si>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</si>
  <si>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</si>
  <si>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</si>
  <si>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</si>
  <si>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</si>
  <si>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</si>
  <si>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</si>
  <si>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</si>
  <si>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</si>
  <si>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</si>
  <si>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</si>
  <si>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</si>
  <si>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</si>
  <si>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</si>
  <si>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</si>
  <si>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</si>
  <si>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</si>
  <si>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</si>
  <si>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</si>
  <si>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</si>
  <si>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</si>
  <si>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</si>
  <si>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</si>
  <si>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</si>
  <si>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</si>
  <si>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</si>
  <si>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</si>
  <si>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</si>
  <si>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</si>
  <si>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</si>
  <si>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</si>
  <si>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</si>
  <si>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</si>
  <si>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</si>
  <si>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</si>
  <si>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</si>
  <si>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</si>
  <si>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</si>
  <si>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</si>
  <si>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</si>
  <si>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</si>
  <si>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</si>
  <si>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</si>
  <si>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</si>
  <si>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</si>
  <si>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</si>
  <si>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</si>
  <si>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</si>
  <si>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</si>
  <si>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</si>
  <si>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</si>
  <si>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</si>
  <si>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</si>
  <si>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</si>
  <si>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</si>
  <si>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</si>
  <si>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</si>
  <si>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</si>
  <si>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</si>
  <si>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</si>
  <si>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</si>
  <si>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</si>
  <si>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</si>
  <si>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</si>
  <si>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</si>
  <si>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</si>
  <si>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</si>
  <si>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</si>
  <si>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</si>
  <si>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</si>
  <si>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</si>
  <si>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</si>
  <si>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</si>
  <si>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</si>
  <si>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</si>
  <si>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</si>
  <si>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</si>
  <si>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</si>
  <si>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</si>
  <si>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</si>
  <si>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</si>
  <si>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</si>
  <si>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</si>
  <si>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</si>
  <si>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</si>
  <si>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</si>
  <si>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</si>
  <si>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</si>
  <si>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</si>
  <si>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</si>
  <si>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</si>
  <si>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</si>
  <si>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</si>
  <si>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</si>
  <si>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</si>
  <si>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</si>
  <si>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</si>
  <si>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</si>
  <si>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</si>
  <si>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</si>
  <si>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</si>
  <si>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</si>
  <si>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</si>
  <si>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</si>
  <si>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</si>
  <si>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</si>
  <si>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</si>
  <si>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</si>
  <si>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</si>
  <si>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</si>
  <si>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</si>
  <si>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</si>
  <si>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</si>
  <si>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</si>
  <si>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</si>
  <si>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</si>
  <si>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</si>
  <si>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</si>
  <si>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</si>
  <si>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</si>
  <si>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</si>
  <si>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</si>
  <si>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</si>
  <si>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</si>
  <si>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</si>
  <si>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</si>
  <si>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</si>
  <si>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</si>
  <si>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</si>
  <si>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</si>
  <si>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</si>
  <si>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</si>
  <si>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</si>
  <si>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</si>
  <si>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</si>
  <si>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</si>
  <si>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</si>
  <si>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</si>
  <si>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</si>
  <si>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</si>
  <si>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</si>
  <si>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</si>
  <si>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</si>
  <si>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</si>
  <si>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</si>
  <si>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</si>
  <si>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</si>
  <si>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</si>
  <si>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</si>
  <si>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</si>
  <si>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</si>
  <si>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</si>
  <si>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</si>
  <si>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</si>
  <si>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</si>
  <si>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</si>
  <si>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</si>
  <si>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</si>
  <si>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</si>
  <si>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</si>
  <si>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</si>
  <si>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</si>
  <si>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</si>
  <si>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</si>
  <si>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</si>
  <si>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</si>
  <si>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</si>
  <si>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</si>
  <si>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</si>
  <si>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</si>
  <si>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</si>
  <si>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</si>
  <si>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</si>
  <si>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</si>
  <si>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</si>
  <si>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</si>
  <si>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</si>
  <si>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</si>
  <si>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</si>
  <si>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</si>
  <si>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</si>
  <si>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</si>
  <si>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</si>
  <si>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</si>
  <si>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</si>
  <si>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</si>
  <si>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</si>
  <si>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</si>
  <si>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</si>
  <si>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</si>
  <si>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</si>
  <si>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</si>
  <si>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</si>
  <si>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</si>
  <si>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</si>
  <si>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</si>
  <si>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</si>
  <si>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</si>
  <si>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</si>
  <si>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</si>
  <si>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</si>
  <si>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</si>
  <si>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</si>
  <si>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</si>
  <si>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</si>
  <si>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</si>
  <si>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</si>
  <si>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</si>
  <si>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</si>
  <si>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</si>
  <si>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</si>
  <si>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</si>
  <si>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</si>
  <si>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</si>
  <si>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</si>
  <si>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</si>
  <si>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</si>
  <si>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</si>
  <si>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</si>
  <si>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</si>
  <si>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</si>
  <si>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</si>
  <si>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</si>
  <si>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</si>
  <si>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</si>
  <si>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</si>
  <si>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</si>
  <si>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</si>
  <si>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</si>
  <si>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</si>
  <si>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</si>
  <si>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</si>
  <si>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</si>
  <si>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</si>
  <si>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</si>
  <si>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</si>
  <si>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</si>
  <si>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</si>
  <si>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</si>
  <si>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</si>
  <si>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</si>
  <si>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</si>
  <si>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</si>
  <si>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</si>
  <si>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</si>
  <si>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</si>
  <si>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</si>
  <si>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</si>
  <si>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</si>
  <si>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</si>
  <si>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</si>
  <si>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</si>
  <si>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</si>
  <si>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</si>
  <si>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</si>
  <si>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</si>
  <si>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</si>
  <si>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</si>
  <si>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</si>
  <si>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</si>
  <si>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</si>
  <si>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</si>
  <si>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</si>
  <si>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</si>
  <si>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</si>
  <si>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</si>
  <si>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</si>
  <si>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</si>
  <si>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</si>
  <si>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</si>
  <si>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</si>
  <si>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</si>
  <si>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</si>
  <si>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</si>
  <si>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</si>
  <si>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</si>
  <si>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</si>
  <si>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</si>
  <si>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</si>
  <si>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</si>
  <si>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</si>
  <si>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</si>
  <si>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</si>
  <si>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</si>
  <si>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</si>
  <si>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</si>
  <si>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</si>
  <si>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</si>
  <si>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</si>
  <si>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</si>
  <si>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</si>
  <si>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</si>
  <si>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</si>
  <si>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</si>
  <si>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</si>
  <si>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</si>
  <si>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</si>
  <si>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</si>
  <si>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</si>
  <si>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</si>
  <si>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</si>
  <si>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</si>
  <si>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</si>
  <si>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</si>
  <si>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</si>
  <si>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</si>
  <si>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</si>
  <si>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</si>
  <si>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</si>
  <si>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</si>
  <si>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</si>
  <si>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</si>
  <si>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</si>
  <si>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</si>
  <si>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</si>
  <si>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</si>
  <si>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</si>
  <si>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</si>
  <si>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</si>
  <si>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</si>
  <si>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</si>
  <si>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</si>
  <si>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</si>
  <si>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</si>
  <si>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</si>
  <si>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</si>
  <si>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</si>
  <si>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</si>
  <si>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</si>
  <si>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</si>
  <si>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</si>
  <si>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</si>
  <si>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</si>
  <si>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</si>
  <si>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</si>
  <si>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</si>
  <si>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</si>
  <si>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</si>
  <si>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</si>
  <si>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</si>
  <si>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</si>
  <si>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</si>
  <si>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</si>
  <si>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</si>
  <si>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</si>
  <si>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</si>
  <si>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</si>
  <si>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</si>
  <si>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</si>
  <si>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</si>
  <si>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</si>
  <si>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</si>
  <si>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</si>
  <si>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</si>
  <si>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</si>
  <si>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</si>
  <si>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</si>
  <si>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</si>
  <si>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</si>
  <si>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</si>
  <si>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</si>
  <si>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</si>
  <si>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</si>
  <si>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</si>
  <si>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</si>
  <si>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</si>
  <si>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</si>
  <si>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</si>
  <si>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</si>
  <si>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</si>
  <si>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</si>
  <si>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</si>
  <si>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</si>
  <si>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</si>
  <si>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</si>
  <si>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</si>
  <si>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</si>
  <si>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</si>
  <si>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</si>
  <si>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</si>
  <si>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</si>
  <si>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</si>
  <si>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</si>
  <si>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</si>
  <si>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</si>
  <si>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</si>
  <si>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</si>
  <si>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</si>
  <si>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</si>
  <si>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</si>
  <si>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</si>
  <si>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</si>
  <si>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</si>
  <si>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</si>
  <si>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</si>
  <si>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</si>
  <si>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</si>
  <si>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</si>
  <si>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</si>
  <si>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</si>
  <si>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</si>
  <si>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</si>
  <si>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</si>
  <si>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</si>
  <si>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</si>
  <si>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</si>
  <si>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</si>
  <si>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</si>
  <si>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</si>
  <si>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</si>
  <si>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</si>
  <si>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</si>
  <si>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</si>
  <si>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</si>
  <si>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</si>
  <si>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</si>
  <si>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</si>
  <si>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</si>
  <si>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</si>
  <si>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</si>
  <si>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</si>
  <si>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</si>
  <si>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</si>
  <si>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</si>
  <si>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</si>
  <si>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</si>
  <si>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</si>
  <si>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</si>
  <si>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</si>
  <si>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</si>
  <si>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</si>
  <si>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</si>
  <si>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</si>
  <si>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</si>
  <si>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</si>
  <si>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</si>
  <si>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</si>
  <si>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</si>
  <si>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</si>
  <si>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</si>
  <si>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</si>
  <si>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</si>
  <si>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</si>
  <si>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</si>
  <si>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</si>
  <si>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</si>
  <si>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</si>
  <si>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</si>
  <si>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</si>
  <si>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</si>
  <si>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</si>
  <si>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</si>
  <si>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</si>
  <si>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</si>
  <si>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</si>
  <si>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</si>
  <si>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</si>
  <si>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</si>
  <si>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</si>
  <si>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</si>
  <si>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</si>
  <si>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</si>
  <si>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</si>
  <si>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</si>
  <si>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</si>
  <si>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</si>
  <si>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</si>
  <si>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</si>
  <si>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</si>
  <si>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</si>
  <si>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</si>
  <si>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</si>
  <si>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</si>
  <si>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</si>
  <si>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</si>
  <si>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</si>
  <si>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</si>
  <si>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</si>
  <si>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</si>
  <si>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</si>
  <si>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</si>
  <si>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</si>
  <si>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</si>
  <si>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</si>
  <si>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</si>
  <si>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</si>
  <si>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</si>
  <si>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</si>
  <si>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</si>
  <si>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</si>
  <si>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</si>
  <si>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</si>
  <si>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</si>
  <si>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</si>
  <si>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</si>
  <si>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</si>
  <si>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</si>
  <si>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</si>
  <si>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</si>
  <si>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</si>
  <si>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</si>
  <si>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</si>
  <si>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</si>
  <si>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</si>
  <si>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</si>
  <si>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</si>
  <si>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</si>
  <si>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</si>
  <si>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</si>
  <si>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</si>
  <si>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</si>
  <si>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</si>
  <si>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</si>
  <si>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</si>
  <si>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</si>
  <si>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</si>
  <si>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</si>
  <si>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</si>
  <si>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</si>
  <si>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</si>
  <si>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</si>
  <si>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</si>
  <si>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</si>
  <si>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</si>
  <si>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</si>
  <si>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</si>
  <si>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</si>
  <si>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</si>
  <si>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</si>
  <si>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</si>
  <si>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</si>
  <si>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</si>
  <si>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</si>
  <si>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</si>
  <si>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</si>
  <si>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</si>
  <si>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</si>
  <si>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</si>
  <si>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</si>
  <si>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</si>
  <si>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</si>
  <si>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</si>
  <si>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</si>
  <si>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</si>
  <si>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</si>
  <si>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</si>
  <si>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</si>
  <si>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</si>
  <si>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</si>
  <si>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</si>
  <si>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</si>
  <si>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</si>
  <si>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</si>
  <si>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</si>
  <si>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</si>
  <si>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</si>
  <si>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</si>
  <si>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</si>
  <si>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</si>
  <si>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</si>
  <si>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</si>
  <si>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</si>
  <si>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</si>
  <si>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</si>
  <si>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</si>
  <si>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</si>
  <si>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</si>
  <si>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</si>
  <si>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</si>
  <si>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</si>
  <si>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</si>
  <si>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</si>
  <si>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</si>
  <si>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</si>
  <si>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</si>
  <si>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</si>
  <si>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</si>
  <si>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</si>
  <si>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</si>
  <si>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</si>
  <si>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</si>
  <si>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</si>
  <si>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</si>
  <si>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</si>
  <si>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</si>
  <si>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</si>
  <si>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</si>
  <si>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</si>
  <si>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</si>
  <si>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</si>
  <si>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</si>
  <si>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</si>
  <si>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</si>
  <si>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</si>
  <si>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</si>
  <si>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</si>
  <si>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</si>
  <si>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</si>
  <si>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</si>
  <si>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</si>
  <si>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</si>
  <si>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</si>
  <si>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</si>
  <si>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</si>
  <si>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</si>
  <si>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</si>
  <si>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</si>
  <si>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</si>
  <si>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</si>
  <si>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</si>
  <si>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</si>
  <si>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</si>
  <si>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</si>
  <si>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</si>
  <si>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</si>
  <si>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</si>
  <si>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</si>
  <si>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</si>
  <si>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</si>
  <si>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</si>
  <si>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</si>
  <si>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</si>
  <si>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</si>
  <si>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</si>
  <si>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</si>
  <si>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</si>
  <si>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</si>
  <si>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</si>
  <si>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</si>
  <si>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</si>
  <si>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</si>
  <si>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</si>
  <si>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</si>
  <si>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</si>
  <si>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</si>
  <si>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</si>
  <si>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</si>
  <si>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</si>
  <si>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</si>
  <si>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</si>
  <si>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</si>
  <si>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</si>
  <si>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</si>
  <si>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</si>
  <si>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</si>
  <si>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</si>
  <si>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</si>
  <si>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</si>
  <si>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</si>
  <si>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</si>
  <si>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</si>
  <si>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</si>
  <si>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</si>
  <si>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</si>
  <si>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</si>
  <si>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</si>
  <si>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</si>
  <si>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</si>
  <si>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</si>
  <si>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</si>
  <si>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</si>
  <si>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</si>
  <si>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</si>
  <si>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</si>
  <si>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</si>
  <si>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</si>
  <si>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</si>
  <si>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</si>
  <si>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</si>
  <si>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</si>
  <si>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</si>
  <si>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</si>
  <si>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</si>
  <si>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</si>
  <si>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</si>
  <si>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</si>
  <si>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</si>
  <si>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</si>
  <si>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</si>
  <si>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</si>
  <si>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</si>
  <si>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</si>
  <si>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</si>
  <si>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</si>
  <si>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</si>
  <si>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</si>
  <si>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</si>
  <si>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</si>
  <si>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</si>
  <si>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</si>
  <si>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</si>
  <si>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</si>
  <si>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</si>
  <si>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</si>
  <si>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</si>
  <si>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</si>
  <si>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</si>
  <si>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</si>
  <si>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</si>
  <si>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</si>
  <si>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</si>
  <si>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</si>
  <si>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</si>
  <si>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</si>
  <si>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</si>
  <si>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</si>
  <si>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</si>
  <si>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</si>
  <si>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</si>
  <si>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</si>
  <si>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</si>
  <si>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</si>
  <si>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</si>
  <si>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</si>
  <si>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</si>
  <si>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</si>
  <si>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</si>
  <si>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</si>
  <si>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</si>
  <si>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</si>
  <si>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</si>
  <si>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</si>
  <si>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</si>
  <si>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</si>
  <si>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</si>
  <si>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</si>
  <si>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</si>
  <si>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</si>
  <si>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</si>
  <si>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</si>
  <si>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</si>
  <si>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</si>
  <si>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</si>
  <si>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</si>
  <si>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</si>
  <si>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</si>
  <si>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</si>
  <si>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</si>
  <si>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</si>
  <si>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</si>
  <si>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</si>
  <si>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</si>
  <si>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</si>
  <si>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</si>
  <si>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</si>
  <si>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</si>
  <si>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</si>
  <si>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</si>
  <si>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</si>
  <si>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</si>
  <si>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</si>
  <si>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</si>
  <si>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</si>
  <si>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</si>
  <si>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</si>
  <si>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</si>
  <si>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</si>
  <si>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</si>
  <si>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</si>
  <si>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</si>
  <si>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</si>
  <si>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</si>
  <si>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</si>
  <si>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</si>
  <si>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</si>
  <si>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</si>
  <si>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</si>
  <si>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</si>
  <si>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</si>
  <si>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</si>
  <si>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</si>
  <si>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</si>
  <si>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</si>
  <si>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</si>
  <si>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</si>
  <si>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</si>
  <si>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</si>
  <si>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</si>
  <si>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</si>
  <si>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</si>
  <si>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</si>
  <si>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</si>
  <si>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</si>
  <si>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</si>
  <si>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</si>
  <si>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</si>
  <si>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</si>
  <si>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</si>
  <si>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</si>
  <si>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</si>
  <si>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</si>
  <si>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</si>
  <si>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</si>
  <si>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</si>
  <si>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</si>
  <si>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</si>
  <si>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</si>
  <si>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</si>
  <si>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</si>
  <si>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</si>
  <si>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</si>
  <si>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</si>
  <si>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</si>
  <si>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</si>
  <si>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</si>
  <si>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</si>
  <si>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</si>
  <si>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</si>
  <si>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</si>
  <si>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</si>
  <si>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</si>
  <si>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</si>
  <si>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</si>
  <si>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</si>
  <si>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</si>
  <si>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</si>
  <si>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</si>
  <si>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</si>
  <si>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</si>
  <si>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</si>
  <si>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</si>
  <si>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</si>
  <si>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</si>
  <si>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</si>
  <si>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</si>
  <si>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</si>
  <si>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</si>
  <si>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</si>
  <si>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</si>
  <si>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</si>
  <si>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</si>
  <si>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</si>
  <si>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</si>
  <si>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</si>
  <si>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</si>
  <si>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</si>
  <si>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</si>
  <si>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</si>
  <si>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</si>
  <si>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</si>
  <si>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</si>
  <si>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</si>
  <si>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</si>
  <si>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</si>
  <si>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</si>
  <si>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</si>
  <si>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</si>
  <si>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</si>
  <si>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</si>
  <si>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</si>
  <si>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</si>
  <si>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</si>
  <si>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</si>
  <si>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</si>
  <si>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</si>
  <si>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</si>
  <si>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</si>
  <si>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</si>
  <si>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</si>
  <si>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</si>
  <si>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</si>
  <si>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</si>
  <si>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</si>
  <si>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</si>
  <si>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</si>
  <si>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</si>
  <si>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</si>
  <si>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</si>
  <si>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</si>
  <si>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</si>
  <si>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</si>
  <si>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</si>
  <si>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</si>
  <si>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</si>
  <si>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</si>
  <si>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</si>
  <si>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</si>
  <si>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</si>
  <si>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</si>
  <si>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</si>
  <si>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</si>
  <si>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</si>
  <si>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</si>
  <si>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</si>
  <si>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</si>
  <si>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</si>
  <si>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</si>
  <si>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</si>
  <si>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</si>
  <si>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</si>
  <si>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</si>
  <si>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</si>
  <si>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</si>
  <si>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</si>
  <si>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</si>
  <si>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</si>
  <si>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</si>
  <si>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</si>
  <si>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</si>
  <si>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</si>
  <si>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</si>
  <si>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</si>
  <si>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</si>
  <si>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</si>
  <si>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</si>
  <si>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</si>
  <si>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</si>
  <si>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</si>
  <si>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</si>
  <si>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</si>
  <si>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</si>
  <si>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</si>
  <si>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</si>
  <si>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</si>
  <si>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</si>
  <si>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</si>
  <si>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</si>
  <si>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</si>
  <si>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</si>
  <si>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</si>
  <si>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</si>
  <si>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</si>
  <si>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</si>
  <si>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</si>
  <si>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</si>
  <si>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</si>
  <si>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</si>
  <si>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</si>
  <si>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</si>
  <si>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</si>
  <si>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</si>
  <si>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</si>
  <si>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</si>
  <si>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</si>
  <si>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</si>
  <si>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</si>
  <si>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</si>
  <si>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</si>
  <si>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</si>
  <si>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</si>
  <si>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</si>
  <si>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</si>
  <si>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</si>
  <si>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</si>
  <si>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</si>
  <si>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</si>
  <si>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</si>
  <si>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</si>
  <si>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</si>
  <si>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</si>
  <si>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</si>
  <si>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</si>
  <si>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</si>
  <si>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</si>
  <si>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</si>
  <si>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</si>
  <si>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</si>
  <si>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</si>
  <si>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</si>
  <si>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</si>
  <si>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</si>
  <si>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</si>
  <si>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</si>
  <si>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</si>
  <si>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</si>
  <si>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</si>
  <si>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</si>
  <si>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</si>
  <si>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</si>
  <si>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</si>
  <si>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</si>
  <si>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</si>
  <si>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</si>
  <si>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</si>
  <si>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</si>
  <si>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</si>
  <si>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</si>
  <si>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</si>
  <si>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</si>
  <si>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</si>
  <si>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</si>
  <si>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</si>
  <si>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</si>
  <si>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</si>
  <si>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</si>
  <si>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</si>
  <si>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</si>
  <si>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</si>
  <si>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</si>
  <si>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</si>
  <si>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</si>
  <si>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</si>
  <si>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</si>
  <si>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</si>
  <si>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</si>
  <si>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</si>
  <si>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</si>
  <si>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</si>
  <si>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</si>
  <si>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</si>
  <si>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</si>
  <si>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</si>
  <si>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</si>
  <si>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</si>
  <si>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</si>
  <si>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</si>
  <si>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</si>
  <si>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</si>
  <si>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</si>
  <si>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</si>
  <si>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</si>
  <si>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</si>
  <si>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</si>
  <si>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</si>
  <si>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</si>
  <si>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</si>
  <si>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</si>
  <si>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</si>
  <si>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</si>
  <si>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</si>
  <si>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</si>
  <si>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</si>
  <si>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</si>
  <si>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</si>
  <si>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</si>
  <si>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</si>
  <si>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</si>
  <si>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</si>
  <si>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</si>
  <si>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</si>
  <si>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</si>
  <si>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</si>
  <si>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</si>
  <si>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</si>
  <si>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</si>
  <si>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</si>
  <si>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</si>
  <si>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</si>
  <si>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</si>
  <si>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</si>
  <si>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</si>
  <si>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</si>
  <si>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</si>
  <si>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</si>
  <si>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</si>
  <si>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</si>
  <si>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</si>
  <si>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</si>
  <si>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</si>
  <si>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</si>
  <si>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</si>
  <si>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</si>
  <si>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</si>
  <si>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</si>
  <si>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</si>
  <si>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</si>
  <si>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</si>
  <si>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</si>
  <si>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</si>
  <si>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</si>
  <si>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</si>
  <si>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</si>
  <si>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</si>
  <si>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</si>
  <si>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</si>
  <si>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</si>
  <si>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</si>
  <si>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</si>
  <si>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</si>
  <si>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</si>
  <si>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</si>
  <si>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</si>
  <si>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</si>
  <si>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</si>
  <si>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</si>
  <si>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</si>
  <si>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</si>
  <si>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</si>
  <si>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</si>
  <si>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</si>
  <si>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</si>
  <si>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</si>
  <si>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</si>
  <si>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</si>
  <si>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</si>
  <si>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</si>
  <si>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</si>
  <si>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</si>
  <si>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</si>
  <si>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</si>
  <si>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</si>
  <si>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</si>
  <si>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</si>
  <si>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</si>
  <si>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</si>
  <si>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</si>
  <si>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</si>
  <si>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</si>
  <si>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</si>
  <si>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</si>
  <si>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</si>
  <si>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</si>
  <si>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</si>
  <si>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</si>
  <si>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</si>
  <si>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</si>
  <si>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</si>
  <si>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</si>
  <si>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</si>
  <si>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</si>
  <si>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</si>
  <si>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</si>
  <si>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</si>
  <si>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</si>
  <si>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</si>
  <si>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</si>
  <si>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</si>
  <si>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</si>
  <si>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</si>
  <si>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</si>
  <si>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</si>
  <si>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</si>
  <si>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</si>
  <si>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</si>
  <si>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</si>
  <si>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</si>
  <si>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</si>
  <si>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f5174c5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</si>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</sst>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5 October</v>
      </c>
    </row>
    <row r="5" customFormat="false" ht="15" hidden="false" customHeight="false" outlineLevel="0" collapsed="false">
      <c r="A5" s="5" t="s">
        <v>2</v>
      </c>
      <c r="B5" s="6" t="str">
        <f aca="false">IF($B$44&gt;131,"",INDEX('Scope &amp; Sequence'!$D$2:$D$132,$B$44)&amp;"   "&amp;INDEX('Scope &amp; Sequence'!$E$2:$E$132,$B$44))</f>
        <v>T-A1   Thread A: the same laws with variable bases (14.1–14.2)</v>
      </c>
    </row>
    <row r="6" customFormat="false" ht="23.85" hidden="false" customHeight="false" outlineLevel="0" collapsed="false">
      <c r="A6" s="5" t="s">
        <v>3</v>
      </c>
      <c r="B6" s="6" t="str">
        <f aca="false">IF($B$44&gt;131,"",INDEX('Scope &amp; Sequence'!$T$2:$T$132,$B$44)&amp;"")</f>
        <v>I can multiply and divide monomials, and raise a monomial to a power, by applying the laws of exponents to variable bases.</v>
      </c>
    </row>
    <row r="7" customFormat="false" ht="15" hidden="false" customHeight="false" outlineLevel="0" collapsed="false">
      <c r="A7" s="5" t="s">
        <v>4</v>
      </c>
      <c r="B7" s="6" t="str">
        <f aca="false">IF($B$44&gt;131,"",INDEX('Scope &amp; Sequence'!$U$2:$U$132,$B$44)&amp;"")</f>
        <v>Do the laws of exponents change when the base is a variable?</v>
      </c>
    </row>
    <row r="8" customFormat="false" ht="15" hidden="false" customHeight="false" outlineLevel="0" collapsed="false">
      <c r="A8" s="5" t="s">
        <v>5</v>
      </c>
      <c r="B8" s="6" t="str">
        <f aca="false">IF($B$44&gt;131,"",INDEX('Scope &amp; Sequence'!$V$2:$V$132,$B$44)&amp;"")</f>
        <v>monomial, coefficient, like bases</v>
      </c>
    </row>
    <row r="9" customFormat="false" ht="15" hidden="false" customHeight="false" outlineLevel="0" collapsed="false">
      <c r="A9" s="5" t="s">
        <v>6</v>
      </c>
      <c r="B9" s="6" t="str">
        <f aca="false">IF($B$44&gt;131,"",INDEX('Scope &amp; Sequence'!$W$2:$W$132,$B$44)&amp;"")</f>
        <v>8.AR.1.1</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46301</v>
      </c>
      <c r="B30" s="6" t="str">
        <f aca="false">IF(($B$44+1)&gt;131,"",INDEX('Scope &amp; Sequence'!$D$2:$D$132,($B$44+1))&amp;"   "&amp;INDEX('Scope &amp; Sequence'!$E$2:$E$132,($B$44+1)))</f>
        <v>T-A2   Thread A: negative exponents and multiple laws, variable bases (14.3–14.4)</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46302</v>
      </c>
      <c r="B31" s="6" t="str">
        <f aca="false">IF(($B$44+2)&gt;131,"",INDEX('Scope &amp; Sequence'!$D$2:$D$132,($B$44+2))&amp;"   "&amp;INDEX('Scope &amp; Sequence'!$E$2:$E$132,($B$44+2)))</f>
        <v>3.08   Large numbers in scientific notation</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46303</v>
      </c>
      <c r="B32" s="6" t="str">
        <f aca="false">IF(($B$44+3)&gt;131,"",INDEX('Scope &amp; Sequence'!$D$2:$D$132,($B$44+3))&amp;"   "&amp;INDEX('Scope &amp; Sequence'!$E$2:$E$132,($B$44+3)))</f>
        <v>off   State test — no class</v>
      </c>
      <c r="C32" s="8" t="str">
        <f aca="false">IF(($B$44+3)&gt;131,"",IF(INDEX(Links!$B$2:$B$132,($B$44+3))&amp;""="","—",HYPERLINK(INDEX(Links!$B$2:$B$132,($B$44+3)),INDEX('Scope &amp; Sequence'!$F$2:$F$132,($B$44+3))&amp;"")))</f>
        <v>—</v>
      </c>
    </row>
    <row r="33" customFormat="false" ht="15" hidden="false" customHeight="false" outlineLevel="0" collapsed="false">
      <c r="A33" s="10" t="n">
        <f aca="false">IF(($B$44+4)&gt;131,"",INDEX('Scope &amp; Sequence'!$A$2:$A$132,($B$44+4)))</f>
        <v>46304</v>
      </c>
      <c r="B33" s="6" t="str">
        <f aca="false">IF(($B$44+4)&gt;131,"",INDEX('Scope &amp; Sequence'!$D$2:$D$132,($B$44+4))&amp;"   "&amp;INDEX('Scope &amp; Sequence'!$E$2:$E$132,($B$44+4)))</f>
        <v>3.09   Small numbers in scientific notation; how many times larger</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46308</v>
      </c>
      <c r="B34" s="6" t="str">
        <f aca="false">IF(($B$44+5)&gt;131,"",INDEX('Scope &amp; Sequence'!$D$2:$D$132,($B$44+5))&amp;"   "&amp;INDEX('Scope &amp; Sequence'!$E$2:$E$132,($B$44+5)))</f>
        <v>spiral   Spiral day — mixed retrieval from the unit just finished and the two before it</v>
      </c>
      <c r="C34" s="8" t="str">
        <f aca="false">IF(($B$44+5)&gt;131,"",IF(INDEX(Links!$B$2:$B$132,($B$44+5))&amp;""="","—",HYPERLINK(INDEX(Links!$B$2:$B$132,($B$44+5)),INDEX('Scope &amp; Sequence'!$F$2:$F$132,($B$44+5))&amp;"")))</f>
        <v>Unit Review</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9</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upcoming</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23.85" hidden="false" customHeight="false" outlineLevel="0" collapsed="false">
      <c r="A21" s="69" t="s">
        <v>1594</v>
      </c>
    </row>
    <row r="22" customFormat="false" ht="23.85" hidden="false" customHeight="false" outlineLevel="0" collapsed="false">
      <c r="A22" s="69" t="s">
        <v>1595</v>
      </c>
    </row>
    <row r="23" customFormat="false" ht="15" hidden="false" customHeight="false" outlineLevel="0" collapsed="false">
      <c r="A23" s="69"/>
    </row>
    <row r="24" customFormat="false" ht="15" hidden="false" customHeight="false" outlineLevel="0" collapsed="false">
      <c r="A24" s="68" t="s">
        <v>1596</v>
      </c>
    </row>
    <row r="25" customFormat="false" ht="46.25" hidden="false" customHeight="false" outlineLevel="0" collapsed="false">
      <c r="A25" s="69" t="s">
        <v>1597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1598</v>
      </c>
      <c r="P1" s="70" t="s">
        <v>1599</v>
      </c>
      <c r="Q1" s="70" t="s">
        <v>1600</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1601</v>
      </c>
      <c r="N2" s="70"/>
      <c r="O2" s="70" t="s">
        <v>1602</v>
      </c>
      <c r="P2" s="70" t="s">
        <v>1603</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1604</v>
      </c>
      <c r="N3" s="70"/>
      <c r="O3" s="70" t="s">
        <v>1605</v>
      </c>
      <c r="P3" s="70" t="s">
        <v>1603</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1606</v>
      </c>
      <c r="N4" s="70"/>
      <c r="O4" s="70" t="s">
        <v>1607</v>
      </c>
      <c r="P4" s="70" t="s">
        <v>1603</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1608</v>
      </c>
      <c r="N5" s="70"/>
      <c r="O5" s="70" t="s">
        <v>1609</v>
      </c>
      <c r="P5" s="70" t="s">
        <v>1603</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1610</v>
      </c>
      <c r="N6" s="70"/>
      <c r="O6" s="70" t="s">
        <v>1611</v>
      </c>
      <c r="P6" s="70" t="s">
        <v>1603</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1612</v>
      </c>
      <c r="N7" s="70"/>
      <c r="O7" s="70" t="s">
        <v>1613</v>
      </c>
      <c r="P7" s="70" t="s">
        <v>1603</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1614</v>
      </c>
      <c r="P8" s="70" t="s">
        <v>1603</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1615</v>
      </c>
      <c r="P9" s="70" t="s">
        <v>1603</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1616</v>
      </c>
      <c r="N10" s="70"/>
      <c r="O10" s="70" t="s">
        <v>1617</v>
      </c>
      <c r="P10" s="70" t="s">
        <v>1603</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1618</v>
      </c>
      <c r="N11" s="70"/>
      <c r="O11" s="70" t="s">
        <v>1619</v>
      </c>
      <c r="P11" s="70" t="s">
        <v>1603</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1620</v>
      </c>
      <c r="N12" s="70"/>
      <c r="O12" s="70" t="s">
        <v>1621</v>
      </c>
      <c r="P12" s="70" t="s">
        <v>1603</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1622</v>
      </c>
      <c r="P13" s="70" t="s">
        <v>1603</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1623</v>
      </c>
      <c r="N14" s="70"/>
      <c r="O14" s="70" t="s">
        <v>1624</v>
      </c>
      <c r="P14" s="70" t="s">
        <v>1603</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1625</v>
      </c>
      <c r="P15" s="70" t="s">
        <v>1603</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1626</v>
      </c>
      <c r="P16" s="70" t="s">
        <v>1603</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1627</v>
      </c>
      <c r="P17" s="70" t="s">
        <v>1603</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1628</v>
      </c>
      <c r="P18" s="70" t="s">
        <v>1603</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1629</v>
      </c>
      <c r="N19" s="70"/>
      <c r="O19" s="70" t="s">
        <v>1630</v>
      </c>
      <c r="P19" s="70" t="s">
        <v>1603</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1631</v>
      </c>
      <c r="N20" s="70"/>
      <c r="O20" s="70" t="s">
        <v>1632</v>
      </c>
      <c r="P20" s="70" t="s">
        <v>1603</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1633</v>
      </c>
      <c r="N21" s="70"/>
      <c r="O21" s="70" t="s">
        <v>1634</v>
      </c>
      <c r="P21" s="70" t="s">
        <v>1603</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1635</v>
      </c>
      <c r="N22" s="70"/>
      <c r="O22" s="70" t="s">
        <v>1636</v>
      </c>
      <c r="P22" s="70" t="s">
        <v>1637</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1638</v>
      </c>
      <c r="N23" s="70"/>
      <c r="O23" s="70" t="s">
        <v>1639</v>
      </c>
      <c r="P23" s="70" t="s">
        <v>1603</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1640</v>
      </c>
      <c r="N24" s="70"/>
      <c r="O24" s="70" t="s">
        <v>1641</v>
      </c>
      <c r="P24" s="70" t="s">
        <v>1603</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1642</v>
      </c>
      <c r="P25" s="70" t="s">
        <v>1603</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1643</v>
      </c>
      <c r="P26" s="70" t="s">
        <v>1603</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1644</v>
      </c>
      <c r="P27" s="70" t="s">
        <v>1603</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1645</v>
      </c>
      <c r="P28" s="70" t="s">
        <v>1603</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1646</v>
      </c>
      <c r="N29" s="70"/>
      <c r="O29" s="70" t="s">
        <v>1647</v>
      </c>
      <c r="P29" s="70" t="s">
        <v>1637</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1648</v>
      </c>
      <c r="N30" s="70"/>
      <c r="O30" s="70" t="s">
        <v>1649</v>
      </c>
      <c r="P30" s="70" t="s">
        <v>1637</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1650</v>
      </c>
      <c r="N31" s="70"/>
      <c r="O31" s="70" t="s">
        <v>1651</v>
      </c>
      <c r="P31" s="70" t="s">
        <v>1603</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1652</v>
      </c>
      <c r="N32" s="70"/>
      <c r="O32" s="70" t="s">
        <v>1653</v>
      </c>
      <c r="P32" s="70" t="s">
        <v>1603</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1654</v>
      </c>
      <c r="N33" s="70"/>
      <c r="O33" s="70" t="s">
        <v>1655</v>
      </c>
      <c r="P33" s="70" t="s">
        <v>1603</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1656</v>
      </c>
      <c r="N34" s="70"/>
      <c r="O34" s="70" t="s">
        <v>1657</v>
      </c>
      <c r="P34" s="70" t="s">
        <v>1603</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1658</v>
      </c>
      <c r="P35" s="70" t="s">
        <v>1603</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1659</v>
      </c>
      <c r="P36" s="70" t="s">
        <v>1603</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1660</v>
      </c>
      <c r="P37" s="70" t="s">
        <v>1637</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1661</v>
      </c>
      <c r="N38" s="70"/>
      <c r="O38" s="70" t="s">
        <v>1662</v>
      </c>
      <c r="P38" s="70" t="s">
        <v>1637</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1663</v>
      </c>
      <c r="N39" s="70"/>
      <c r="O39" s="70" t="s">
        <v>1664</v>
      </c>
      <c r="P39" s="70" t="s">
        <v>1603</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1665</v>
      </c>
      <c r="N40" s="70"/>
      <c r="O40" s="70" t="s">
        <v>1666</v>
      </c>
      <c r="P40" s="70" t="s">
        <v>1603</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1667</v>
      </c>
      <c r="N41" s="70"/>
      <c r="O41" s="70" t="s">
        <v>1668</v>
      </c>
      <c r="P41" s="70" t="s">
        <v>1603</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1669</v>
      </c>
      <c r="N42" s="70"/>
      <c r="O42" s="70" t="s">
        <v>1670</v>
      </c>
      <c r="P42" s="70" t="s">
        <v>1603</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1671</v>
      </c>
      <c r="N43" s="70"/>
      <c r="O43" s="70" t="s">
        <v>1672</v>
      </c>
      <c r="P43" s="70" t="s">
        <v>1603</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1673</v>
      </c>
      <c r="N44" s="70"/>
      <c r="O44" s="70" t="s">
        <v>1674</v>
      </c>
      <c r="P44" s="70" t="s">
        <v>1603</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1675</v>
      </c>
      <c r="N45" s="70"/>
      <c r="O45" s="70" t="s">
        <v>1676</v>
      </c>
      <c r="P45" s="70" t="s">
        <v>1637</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1677</v>
      </c>
      <c r="P46" s="70" t="s">
        <v>1637</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1678</v>
      </c>
      <c r="P47" s="70" t="s">
        <v>1603</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1679</v>
      </c>
      <c r="N48" s="70"/>
      <c r="O48" s="70" t="s">
        <v>1680</v>
      </c>
      <c r="P48" s="70" t="s">
        <v>1603</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1681</v>
      </c>
      <c r="N49" s="70"/>
      <c r="O49" s="70" t="s">
        <v>1682</v>
      </c>
      <c r="P49" s="70" t="s">
        <v>1603</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1683</v>
      </c>
      <c r="N50" s="70"/>
      <c r="O50" s="70" t="s">
        <v>1684</v>
      </c>
      <c r="P50" s="70" t="s">
        <v>1603</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1685</v>
      </c>
      <c r="N51" s="70"/>
      <c r="O51" s="70" t="s">
        <v>1686</v>
      </c>
      <c r="P51" s="70" t="s">
        <v>1603</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1687</v>
      </c>
      <c r="N52" s="70"/>
      <c r="O52" s="70" t="s">
        <v>1688</v>
      </c>
      <c r="P52" s="70" t="s">
        <v>1603</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1689</v>
      </c>
      <c r="P53" s="70" t="s">
        <v>1637</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1690</v>
      </c>
      <c r="P54" s="70" t="s">
        <v>1603</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1691</v>
      </c>
      <c r="P55" s="70" t="s">
        <v>1603</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1692</v>
      </c>
      <c r="P56" s="70" t="s">
        <v>1603</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1693</v>
      </c>
      <c r="P57" s="70" t="s">
        <v>1603</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1694</v>
      </c>
      <c r="N58" s="70"/>
      <c r="O58" s="70" t="s">
        <v>1695</v>
      </c>
      <c r="P58" s="70" t="s">
        <v>1603</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1696</v>
      </c>
      <c r="N59" s="70"/>
      <c r="O59" s="70" t="s">
        <v>1697</v>
      </c>
      <c r="P59" s="70" t="s">
        <v>1603</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1698</v>
      </c>
      <c r="N60" s="70"/>
      <c r="O60" s="70" t="s">
        <v>1699</v>
      </c>
      <c r="P60" s="70" t="s">
        <v>1603</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1700</v>
      </c>
      <c r="N61" s="70"/>
      <c r="O61" s="70" t="s">
        <v>1701</v>
      </c>
      <c r="P61" s="70" t="s">
        <v>1603</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1702</v>
      </c>
      <c r="N62" s="70"/>
      <c r="O62" s="70" t="s">
        <v>1703</v>
      </c>
      <c r="P62" s="70" t="s">
        <v>1603</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1704</v>
      </c>
      <c r="N63" s="70"/>
      <c r="O63" s="70" t="s">
        <v>1705</v>
      </c>
      <c r="P63" s="70" t="s">
        <v>1603</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1706</v>
      </c>
      <c r="P64" s="70" t="s">
        <v>1603</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1707</v>
      </c>
      <c r="N65" s="70"/>
      <c r="O65" s="70" t="s">
        <v>1708</v>
      </c>
      <c r="P65" s="70" t="s">
        <v>1603</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1709</v>
      </c>
      <c r="P66" s="70" t="s">
        <v>1603</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1710</v>
      </c>
      <c r="P67" s="70" t="s">
        <v>1603</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1711</v>
      </c>
      <c r="P68" s="70" t="s">
        <v>1603</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1712</v>
      </c>
      <c r="P69" s="70" t="s">
        <v>1603</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1713</v>
      </c>
      <c r="N70" s="70"/>
      <c r="O70" s="70" t="s">
        <v>1714</v>
      </c>
      <c r="P70" s="70" t="s">
        <v>1603</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1715</v>
      </c>
      <c r="N71" s="70"/>
      <c r="O71" s="70" t="s">
        <v>1716</v>
      </c>
      <c r="P71" s="70" t="s">
        <v>1603</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1717</v>
      </c>
      <c r="N72" s="70"/>
      <c r="O72" s="70" t="s">
        <v>1718</v>
      </c>
      <c r="P72" s="70" t="s">
        <v>1603</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1719</v>
      </c>
      <c r="N73" s="70"/>
      <c r="O73" s="70" t="s">
        <v>1720</v>
      </c>
      <c r="P73" s="70" t="s">
        <v>1603</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1721</v>
      </c>
      <c r="N74" s="70"/>
      <c r="O74" s="70" t="s">
        <v>1722</v>
      </c>
      <c r="P74" s="70" t="s">
        <v>1603</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1723</v>
      </c>
      <c r="N75" s="70"/>
      <c r="O75" s="70" t="s">
        <v>1724</v>
      </c>
      <c r="P75" s="70" t="s">
        <v>1603</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1725</v>
      </c>
      <c r="N76" s="70"/>
      <c r="O76" s="70" t="s">
        <v>1726</v>
      </c>
      <c r="P76" s="70" t="s">
        <v>1603</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1727</v>
      </c>
      <c r="N77" s="70"/>
      <c r="O77" s="70" t="s">
        <v>1728</v>
      </c>
      <c r="P77" s="70" t="s">
        <v>1603</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1729</v>
      </c>
      <c r="P78" s="70" t="s">
        <v>1603</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1730</v>
      </c>
      <c r="P79" s="70" t="s">
        <v>1603</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1731</v>
      </c>
      <c r="N80" s="70"/>
      <c r="O80" s="70" t="s">
        <v>1732</v>
      </c>
      <c r="P80" s="70" t="s">
        <v>1603</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1733</v>
      </c>
      <c r="N81" s="70"/>
      <c r="O81" s="70" t="s">
        <v>1734</v>
      </c>
      <c r="P81" s="70" t="s">
        <v>1603</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1735</v>
      </c>
      <c r="N82" s="70"/>
      <c r="O82" s="70" t="s">
        <v>1736</v>
      </c>
      <c r="P82" s="70" t="s">
        <v>1603</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1737</v>
      </c>
      <c r="N83" s="70"/>
      <c r="O83" s="70" t="s">
        <v>1738</v>
      </c>
      <c r="P83" s="70" t="s">
        <v>1603</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1739</v>
      </c>
      <c r="N84" s="70"/>
      <c r="O84" s="70" t="s">
        <v>1740</v>
      </c>
      <c r="P84" s="70" t="s">
        <v>1603</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1741</v>
      </c>
      <c r="N85" s="70"/>
      <c r="O85" s="70" t="s">
        <v>1742</v>
      </c>
      <c r="P85" s="70" t="s">
        <v>1603</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1743</v>
      </c>
      <c r="N86" s="70"/>
      <c r="O86" s="70" t="s">
        <v>1744</v>
      </c>
      <c r="P86" s="70" t="s">
        <v>1603</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1745</v>
      </c>
      <c r="P87" s="70" t="s">
        <v>1603</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1746</v>
      </c>
      <c r="P88" s="70" t="s">
        <v>1603</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1747</v>
      </c>
      <c r="P89" s="70" t="s">
        <v>1603</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1748</v>
      </c>
      <c r="N90" s="70"/>
      <c r="O90" s="70" t="s">
        <v>1749</v>
      </c>
      <c r="P90" s="70" t="s">
        <v>1603</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1750</v>
      </c>
      <c r="N91" s="70"/>
      <c r="O91" s="70" t="s">
        <v>1751</v>
      </c>
      <c r="P91" s="70" t="s">
        <v>1603</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1752</v>
      </c>
      <c r="N92" s="70"/>
      <c r="O92" s="70" t="s">
        <v>1753</v>
      </c>
      <c r="P92" s="70" t="s">
        <v>1603</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1754</v>
      </c>
      <c r="N93" s="70"/>
      <c r="O93" s="70" t="s">
        <v>1755</v>
      </c>
      <c r="P93" s="70" t="s">
        <v>1603</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1756</v>
      </c>
      <c r="P94" s="70" t="s">
        <v>1603</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1757</v>
      </c>
      <c r="N95" s="70"/>
      <c r="O95" s="70" t="s">
        <v>1758</v>
      </c>
      <c r="P95" s="70" t="s">
        <v>1603</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1759</v>
      </c>
      <c r="N96" s="70"/>
      <c r="O96" s="70" t="s">
        <v>1760</v>
      </c>
      <c r="P96" s="70" t="s">
        <v>1603</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1761</v>
      </c>
      <c r="P97" s="70" t="s">
        <v>1603</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1762</v>
      </c>
      <c r="P98" s="70" t="s">
        <v>1603</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1763</v>
      </c>
      <c r="P99" s="70" t="s">
        <v>1603</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1764</v>
      </c>
      <c r="P100" s="70" t="s">
        <v>1603</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1765</v>
      </c>
      <c r="N101" s="70"/>
      <c r="O101" s="70" t="s">
        <v>1766</v>
      </c>
      <c r="P101" s="70" t="s">
        <v>1603</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1767</v>
      </c>
      <c r="N102" s="70"/>
      <c r="O102" s="70" t="s">
        <v>1768</v>
      </c>
      <c r="P102" s="70" t="s">
        <v>1603</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1769</v>
      </c>
      <c r="N103" s="70"/>
      <c r="O103" s="70" t="s">
        <v>1770</v>
      </c>
      <c r="P103" s="70" t="s">
        <v>1603</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1771</v>
      </c>
      <c r="N104" s="70"/>
      <c r="O104" s="70" t="s">
        <v>1772</v>
      </c>
      <c r="P104" s="70" t="s">
        <v>1603</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1773</v>
      </c>
      <c r="N105" s="70"/>
      <c r="O105" s="70" t="s">
        <v>1774</v>
      </c>
      <c r="P105" s="70" t="s">
        <v>1603</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1775</v>
      </c>
      <c r="N106" s="70"/>
      <c r="O106" s="70" t="s">
        <v>1776</v>
      </c>
      <c r="P106" s="70" t="s">
        <v>1603</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1777</v>
      </c>
      <c r="N107" s="70"/>
      <c r="O107" s="70" t="s">
        <v>1778</v>
      </c>
      <c r="P107" s="70" t="s">
        <v>1603</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1779</v>
      </c>
      <c r="P108" s="70" t="s">
        <v>1603</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1780</v>
      </c>
      <c r="P109" s="70" t="s">
        <v>1603</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1781</v>
      </c>
      <c r="N110" s="70"/>
      <c r="O110" s="70" t="s">
        <v>1782</v>
      </c>
      <c r="P110" s="70" t="s">
        <v>1603</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1783</v>
      </c>
      <c r="N111" s="70"/>
      <c r="O111" s="70" t="s">
        <v>1784</v>
      </c>
      <c r="P111" s="70" t="s">
        <v>1603</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1785</v>
      </c>
      <c r="N112" s="70"/>
      <c r="O112" s="70" t="s">
        <v>1786</v>
      </c>
      <c r="P112" s="70" t="s">
        <v>1603</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1787</v>
      </c>
      <c r="P113" s="70" t="s">
        <v>1603</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1788</v>
      </c>
      <c r="P114" s="70" t="s">
        <v>1603</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1789</v>
      </c>
      <c r="N115" s="70"/>
      <c r="O115" s="70" t="s">
        <v>1790</v>
      </c>
      <c r="P115" s="70" t="s">
        <v>1603</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1791</v>
      </c>
      <c r="N116" s="70"/>
      <c r="O116" s="70" t="s">
        <v>1792</v>
      </c>
      <c r="P116" s="70" t="s">
        <v>1603</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1793</v>
      </c>
      <c r="N117" s="70"/>
      <c r="O117" s="70" t="s">
        <v>1794</v>
      </c>
      <c r="P117" s="70" t="s">
        <v>1603</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1795</v>
      </c>
      <c r="N118" s="70"/>
      <c r="O118" s="70" t="s">
        <v>1796</v>
      </c>
      <c r="P118" s="70" t="s">
        <v>1603</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1797</v>
      </c>
      <c r="N119" s="70"/>
      <c r="O119" s="70" t="s">
        <v>1798</v>
      </c>
      <c r="P119" s="70" t="s">
        <v>1603</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1799</v>
      </c>
      <c r="N120" s="70"/>
      <c r="O120" s="70" t="s">
        <v>1800</v>
      </c>
      <c r="P120" s="70" t="s">
        <v>1603</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1801</v>
      </c>
      <c r="N121" s="70"/>
      <c r="O121" s="70" t="s">
        <v>1802</v>
      </c>
      <c r="P121" s="70" t="s">
        <v>1603</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1803</v>
      </c>
      <c r="N122" s="70"/>
      <c r="O122" s="70" t="s">
        <v>1804</v>
      </c>
      <c r="P122" s="70" t="s">
        <v>1603</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1805</v>
      </c>
      <c r="N123" s="70"/>
      <c r="O123" s="70" t="s">
        <v>1806</v>
      </c>
      <c r="P123" s="70" t="s">
        <v>1603</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1807</v>
      </c>
      <c r="N124" s="70"/>
      <c r="O124" s="70" t="s">
        <v>1808</v>
      </c>
      <c r="P124" s="70" t="s">
        <v>1603</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1809</v>
      </c>
      <c r="P125" s="70" t="s">
        <v>1603</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1810</v>
      </c>
      <c r="P126" s="70" t="s">
        <v>1603</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1811</v>
      </c>
      <c r="N127" s="70"/>
      <c r="O127" s="70" t="s">
        <v>1812</v>
      </c>
      <c r="P127" s="70" t="s">
        <v>1603</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1813</v>
      </c>
      <c r="N128" s="70"/>
      <c r="O128" s="70" t="s">
        <v>1814</v>
      </c>
      <c r="P128" s="70" t="s">
        <v>1603</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1815</v>
      </c>
      <c r="P129" s="70" t="s">
        <v>1603</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1816</v>
      </c>
      <c r="P130" s="70" t="s">
        <v>1603</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1817</v>
      </c>
      <c r="P131" s="70" t="s">
        <v>1603</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1818</v>
      </c>
      <c r="P132" s="70" t="s">
        <v>1603</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1819</v>
      </c>
      <c r="P133" s="70" t="s">
        <v>1603</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1820</v>
      </c>
      <c r="P134" s="70" t="s">
        <v>1603</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1821</v>
      </c>
      <c r="P135" s="70" t="s">
        <v>1603</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1822</v>
      </c>
      <c r="P136" s="70" t="s">
        <v>1603</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1823</v>
      </c>
      <c r="P137" s="70" t="s">
        <v>1603</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1824</v>
      </c>
      <c r="P138" s="70" t="s">
        <v>1603</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1825</v>
      </c>
      <c r="P139" s="70" t="s">
        <v>1603</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1826</v>
      </c>
      <c r="P140" s="70" t="s">
        <v>1603</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1827</v>
      </c>
      <c r="P141" s="70" t="s">
        <v>1603</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1828</v>
      </c>
      <c r="P142" s="70" t="s">
        <v>1603</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1829</v>
      </c>
      <c r="P143" s="70" t="s">
        <v>1603</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1830</v>
      </c>
      <c r="P144" s="70" t="s">
        <v>1603</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1831</v>
      </c>
      <c r="P145" s="70" t="s">
        <v>1603</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1832</v>
      </c>
      <c r="P146" s="70" t="s">
        <v>1603</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1833</v>
      </c>
      <c r="P147" s="70" t="s">
        <v>1603</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1834</v>
      </c>
      <c r="B1" s="72" t="s">
        <v>1835</v>
      </c>
      <c r="C1" s="72" t="s">
        <v>1836</v>
      </c>
      <c r="D1" s="72" t="s">
        <v>1837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2026-10-04T22:20:09Z</dcterms:created>
  <dc:creator>openpyxl</dc:creator>
  <dc:description/>
  <dc:language>en-US</dc:language>
  <cp:lastModifiedBy/>
  <dcterms:modified xsi:type="dcterms:W3CDTF">2026-10-04T22:20:10Z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