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<sst xmlns="http://schemas.openxmlformats.org/spreadsheetml/2006/main" count="2896" uniqueCount="1934">
  <si>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</si>
  <si>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</si>
  <si>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</si>
  <si>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</si>
  <si>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</si>
  <si>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</si>
  <si>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</si>
  <si>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</si>
  <si>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</si>
  <si>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</si>
  <si>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</si>
  <si>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</si>
  <si>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</si>
  <si>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</si>
  <si>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</si>
  <si>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</si>
  <si>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</si>
  <si>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</si>
  <si>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</si>
  <si>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</si>
  <si>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</si>
  <si>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</si>
  <si>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</si>
  <si>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</si>
  <si>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</si>
  <si>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</si>
  <si>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</si>
  <si>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</si>
  <si>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</si>
  <si>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</si>
  <si>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</si>
  <si>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</si>
  <si>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</si>
  <si>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</si>
  <si>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</si>
  <si>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</si>
  <si>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</si>
  <si>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</si>
  <si>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</si>
  <si>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</si>
  <si>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</si>
  <si>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</si>
  <si>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</si>
  <si>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</si>
  <si>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</si>
  <si>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</si>
  <si>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</si>
  <si>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</si>
  <si>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</si>
  <si>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</si>
  <si>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</si>
  <si>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</si>
  <si>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</si>
  <si>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</si>
  <si>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</si>
  <si>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</si>
  <si>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</si>
  <si>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</si>
  <si>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</si>
  <si>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</si>
  <si>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</si>
  <si>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</si>
  <si>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</si>
  <si>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</si>
  <si>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</si>
  <si>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</si>
  <si>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</si>
  <si>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</si>
  <si>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</si>
  <si>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</si>
  <si>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</si>
  <si>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</si>
  <si>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</si>
  <si>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</si>
  <si>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</si>
  <si>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</si>
  <si>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</si>
  <si>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</si>
  <si>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</si>
  <si>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</si>
  <si>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</si>
  <si>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</si>
  <si>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</si>
  <si>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</si>
  <si>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</si>
  <si>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</si>
  <si>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</si>
  <si>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</si>
  <si>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</si>
  <si>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</si>
  <si>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</si>
  <si>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</si>
  <si>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</si>
  <si>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</si>
  <si>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</si>
  <si>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</si>
  <si>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</si>
  <si>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</si>
  <si>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</si>
  <si>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</si>
  <si>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</si>
  <si>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</si>
  <si>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</si>
  <si>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</si>
  <si>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</si>
  <si>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</si>
  <si>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</si>
  <si>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</si>
  <si>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</si>
  <si>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</si>
  <si>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</si>
  <si>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</si>
  <si>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</si>
  <si>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</si>
  <si>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</si>
  <si>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</si>
  <si>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</si>
  <si>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</si>
  <si>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</si>
  <si>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</si>
  <si>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</si>
  <si>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</si>
  <si>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</si>
  <si>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</si>
  <si>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</si>
  <si>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</si>
  <si>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</si>
  <si>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</si>
  <si>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</si>
  <si>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</si>
  <si>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</si>
  <si>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</si>
  <si>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</si>
  <si>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</si>
  <si>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</si>
  <si>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</si>
  <si>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</si>
  <si>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</si>
  <si>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</si>
  <si>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</si>
  <si>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</si>
  <si>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</si>
  <si>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</si>
  <si>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</si>
  <si>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</si>
  <si>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</si>
  <si>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</si>
  <si>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</si>
  <si>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</si>
  <si>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</si>
  <si>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</si>
  <si>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</si>
  <si>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</si>
  <si>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</si>
  <si>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</si>
  <si>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</si>
  <si>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</si>
  <si>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</si>
  <si>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</si>
  <si>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</si>
  <si>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</si>
  <si>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</si>
  <si>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</si>
  <si>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</si>
  <si>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</si>
  <si>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</si>
  <si>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</si>
  <si>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</si>
  <si>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</si>
  <si>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</si>
  <si>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</si>
  <si>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</si>
  <si>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</si>
  <si>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</si>
  <si>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</si>
  <si>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</si>
  <si>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</si>
  <si>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</si>
  <si>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</si>
  <si>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</si>
  <si>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</si>
  <si>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</si>
  <si>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</si>
  <si>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</si>
  <si>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</si>
  <si>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</si>
  <si>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</si>
  <si>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</si>
  <si>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</si>
  <si>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</si>
  <si>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</si>
  <si>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</si>
  <si>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</si>
  <si>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</si>
  <si>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</si>
  <si>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</si>
  <si>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</si>
  <si>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</si>
  <si>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</si>
  <si>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</si>
  <si>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</si>
  <si>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</si>
  <si>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</si>
  <si>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</si>
  <si>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</si>
  <si>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</si>
  <si>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</si>
  <si>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</si>
  <si>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</si>
  <si>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</si>
  <si>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</si>
  <si>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</si>
  <si>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</si>
  <si>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</si>
  <si>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</si>
  <si>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</si>
  <si>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</si>
  <si>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</si>
  <si>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</si>
  <si>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</si>
  <si>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</si>
  <si>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</si>
  <si>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</si>
  <si>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</si>
  <si>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</si>
  <si>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</si>
  <si>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</si>
  <si>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</si>
  <si>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</si>
  <si>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</si>
  <si>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</si>
  <si>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</si>
  <si>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</si>
  <si>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</si>
  <si>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</si>
  <si>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</si>
  <si>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</si>
  <si>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</si>
  <si>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</si>
  <si>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</si>
  <si>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</si>
  <si>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</si>
  <si>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</si>
  <si>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</si>
  <si>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</si>
  <si>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</si>
  <si>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</si>
  <si>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</si>
  <si>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</si>
  <si>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</si>
  <si>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</si>
  <si>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</si>
  <si>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</si>
  <si>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</si>
  <si>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</si>
  <si>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</si>
  <si>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</si>
  <si>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</si>
  <si>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</si>
  <si>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</si>
  <si>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</si>
  <si>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</si>
  <si>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</si>
  <si>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</si>
  <si>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</si>
  <si>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</si>
  <si>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</si>
  <si>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</si>
  <si>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</si>
  <si>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</si>
  <si>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</si>
  <si>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</si>
  <si>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</si>
  <si>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</si>
  <si>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</si>
  <si>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</si>
  <si>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</si>
  <si>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</si>
  <si>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</si>
  <si>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</si>
  <si>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</si>
  <si>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</si>
  <si>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</si>
  <si>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</si>
  <si>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</si>
  <si>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</si>
  <si>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</si>
  <si>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</si>
  <si>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</si>
  <si>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</si>
  <si>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</si>
  <si>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</si>
  <si>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</si>
  <si>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</si>
  <si>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</si>
  <si>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</si>
  <si>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</si>
  <si>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</si>
  <si>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</si>
  <si>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</si>
  <si>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</si>
  <si>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</si>
  <si>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</si>
  <si>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</si>
  <si>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</si>
  <si>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</si>
  <si>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</si>
  <si>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</si>
  <si>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</si>
  <si>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</si>
  <si>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</si>
  <si>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</si>
  <si>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</si>
  <si>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</si>
  <si>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</si>
  <si>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</si>
  <si>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</si>
  <si>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</si>
  <si>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</si>
  <si>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</si>
  <si>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</si>
  <si>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</si>
  <si>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</si>
  <si>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</si>
  <si>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</si>
  <si>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</si>
  <si>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</si>
  <si>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</si>
  <si>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</si>
  <si>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</si>
  <si>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</si>
  <si>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</si>
  <si>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</si>
  <si>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</si>
  <si>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</si>
  <si>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</si>
  <si>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</si>
  <si>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</si>
  <si>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</si>
  <si>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</si>
  <si>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</si>
  <si>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</si>
  <si>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</si>
  <si>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</si>
  <si>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</si>
  <si>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</si>
  <si>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</si>
  <si>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</si>
  <si>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</si>
  <si>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</si>
  <si>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</si>
  <si>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</si>
  <si>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</si>
  <si>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</si>
  <si>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</si>
  <si>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</si>
  <si>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</si>
  <si>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</si>
  <si>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</si>
  <si>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</si>
  <si>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</si>
  <si>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</si>
  <si>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</si>
  <si>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</si>
  <si>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</si>
  <si>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</si>
  <si>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</si>
  <si>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</si>
  <si>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</si>
  <si>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</si>
  <si>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</si>
  <si>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</si>
  <si>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</si>
  <si>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</si>
  <si>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</si>
  <si>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</si>
  <si>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</si>
  <si>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</si>
  <si>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</si>
  <si>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</si>
  <si>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</si>
  <si>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</si>
  <si>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</si>
  <si>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</si>
  <si>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</si>
  <si>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</si>
  <si>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</si>
  <si>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</si>
  <si>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</si>
  <si>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</si>
  <si>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</si>
  <si>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</si>
  <si>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</si>
  <si>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</si>
  <si>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</si>
  <si>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</si>
  <si>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</si>
  <si>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</si>
  <si>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</si>
  <si>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</si>
  <si>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</si>
  <si>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</si>
  <si>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</si>
  <si>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</si>
  <si>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</si>
  <si>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</si>
  <si>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</si>
  <si>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</si>
  <si>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</si>
  <si>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</si>
  <si>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</si>
  <si>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</si>
  <si>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</si>
  <si>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</si>
  <si>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</si>
  <si>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</si>
  <si>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</si>
  <si>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</si>
  <si>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</si>
  <si>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</si>
  <si>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</si>
  <si>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</si>
  <si>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</si>
  <si>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</si>
  <si>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</si>
  <si>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</si>
  <si>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</si>
  <si>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</si>
  <si>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</si>
  <si>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</si>
  <si>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</si>
  <si>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</si>
  <si>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</si>
  <si>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</si>
  <si>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</si>
  <si>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</si>
  <si>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</si>
  <si>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</si>
  <si>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</si>
  <si>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</si>
  <si>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</si>
  <si>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</si>
  <si>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</si>
  <si>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</si>
  <si>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</si>
  <si>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</si>
  <si>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</si>
  <si>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</si>
  <si>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</si>
  <si>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</si>
  <si>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</si>
  <si>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</si>
  <si>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</si>
  <si>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</si>
  <si>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</si>
  <si>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</si>
  <si>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</si>
  <si>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</si>
  <si>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</si>
  <si>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</si>
  <si>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</si>
  <si>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</si>
  <si>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</si>
  <si>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</si>
  <si>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</si>
  <si>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</si>
  <si>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</si>
  <si>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</si>
  <si>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</si>
  <si>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</si>
  <si>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</si>
  <si>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</si>
  <si>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</si>
  <si>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</si>
  <si>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</si>
  <si>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</si>
  <si>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</si>
  <si>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</si>
  <si>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</si>
  <si>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</si>
  <si>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</si>
  <si>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</si>
  <si>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</si>
  <si>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</si>
  <si>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</si>
  <si>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</si>
  <si>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</si>
  <si>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</si>
  <si>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</si>
  <si>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</si>
  <si>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</si>
  <si>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</si>
  <si>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</si>
  <si>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</si>
  <si>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</si>
  <si>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</si>
  <si>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</si>
  <si>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</si>
  <si>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</si>
  <si>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</si>
  <si>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</si>
  <si>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</si>
  <si>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</si>
  <si>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</si>
  <si>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</si>
  <si>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</si>
  <si>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</si>
  <si>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</si>
  <si>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</si>
  <si>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</si>
  <si>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</si>
  <si>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</si>
  <si>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</si>
  <si>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</si>
  <si>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</si>
  <si>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</si>
  <si>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</si>
  <si>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</si>
  <si>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</si>
  <si>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</si>
  <si>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</si>
  <si>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</si>
  <si>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</si>
  <si>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</si>
  <si>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</si>
  <si>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</si>
  <si>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</si>
  <si>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</si>
  <si>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</si>
  <si>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</si>
  <si>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</si>
  <si>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</si>
  <si>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</si>
  <si>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</si>
  <si>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</si>
  <si>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</si>
  <si>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</si>
  <si>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</si>
  <si>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</si>
  <si>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</si>
  <si>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</si>
  <si>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</si>
  <si>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</si>
  <si>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</si>
  <si>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</si>
  <si>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</si>
  <si>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</si>
  <si>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</si>
  <si>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</si>
  <si>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</si>
  <si>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</si>
  <si>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</si>
  <si>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</si>
  <si>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</si>
  <si>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</si>
  <si>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</si>
  <si>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</si>
  <si>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</si>
  <si>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</si>
  <si>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</si>
  <si>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</si>
  <si>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</si>
  <si>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</si>
  <si>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</si>
  <si>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</si>
  <si>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</si>
  <si>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</si>
  <si>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</si>
  <si>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</si>
  <si>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</si>
  <si>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</si>
  <si>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</si>
  <si>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</si>
  <si>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</si>
  <si>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</si>
  <si>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</si>
  <si>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</si>
  <si>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</si>
  <si>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</si>
  <si>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</si>
  <si>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</si>
  <si>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</si>
  <si>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</si>
  <si>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</si>
  <si>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</si>
  <si>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</si>
  <si>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</si>
  <si>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</si>
  <si>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</si>
  <si>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</si>
  <si>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</si>
  <si>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</si>
  <si>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</si>
  <si>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</si>
  <si>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</si>
  <si>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</si>
  <si>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</si>
  <si>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</si>
  <si>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</si>
  <si>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</si>
  <si>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</si>
  <si>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</si>
  <si>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</si>
  <si>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</si>
  <si>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</si>
  <si>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</si>
  <si>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</si>
  <si>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</si>
  <si>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</si>
  <si>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</si>
  <si>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</si>
  <si>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</si>
  <si>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</si>
  <si>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</si>
  <si>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</si>
  <si>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</si>
  <si>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</si>
  <si>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</si>
  <si>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</si>
  <si>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</si>
  <si>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</si>
  <si>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</si>
  <si>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</si>
  <si>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</si>
  <si>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</si>
  <si>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</si>
  <si>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</si>
  <si>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</si>
  <si>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</si>
  <si>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</si>
  <si>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</si>
  <si>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</si>
  <si>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</si>
  <si>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</si>
  <si>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</si>
  <si>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</si>
  <si>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</si>
  <si>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</si>
  <si>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</si>
  <si>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</si>
  <si>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</si>
  <si>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</si>
  <si>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</si>
  <si>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</si>
  <si>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</si>
  <si>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</si>
  <si>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</si>
  <si>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</si>
  <si>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</si>
  <si>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</si>
  <si>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</si>
  <si>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</si>
  <si>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</si>
  <si>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</si>
  <si>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</si>
  <si>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</si>
  <si>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</si>
  <si>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</si>
  <si>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</si>
  <si>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</si>
  <si>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</si>
  <si>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</si>
  <si>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</si>
  <si>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</si>
  <si>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</si>
  <si>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</si>
  <si>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</si>
  <si>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</si>
  <si>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</si>
  <si>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</si>
  <si>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</si>
  <si>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</si>
  <si>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</si>
  <si>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</si>
  <si>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</si>
  <si>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</si>
  <si>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</si>
  <si>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</si>
  <si>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</si>
  <si>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</si>
  <si>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</si>
  <si>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</si>
  <si>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</si>
  <si>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</si>
  <si>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</si>
  <si>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</si>
  <si>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</si>
  <si>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</si>
  <si>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</si>
  <si>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</si>
  <si>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</si>
  <si>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</si>
  <si>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</si>
  <si>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</si>
  <si>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</si>
  <si>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</si>
  <si>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</si>
  <si>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</si>
  <si>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</si>
  <si>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</si>
  <si>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</si>
  <si>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</si>
  <si>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</si>
  <si>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</si>
  <si>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</si>
  <si>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</si>
  <si>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</si>
  <si>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</si>
  <si>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</si>
  <si>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</si>
  <si>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</si>
  <si>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</si>
  <si>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</si>
  <si>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</si>
  <si>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</si>
  <si>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</si>
  <si>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</si>
  <si>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</si>
  <si>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</si>
  <si>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</si>
  <si>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</si>
  <si>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</si>
  <si>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</si>
  <si>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</si>
  <si>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</si>
  <si>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</si>
  <si>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</si>
  <si>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</si>
  <si>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</si>
  <si>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</si>
  <si>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</si>
  <si>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</si>
  <si>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</si>
  <si>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</si>
  <si>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</si>
  <si>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</si>
  <si>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</si>
  <si>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</si>
  <si>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</si>
  <si>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</si>
  <si>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</si>
  <si>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</si>
  <si>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</si>
  <si>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</si>
  <si>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</si>
  <si>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</si>
  <si>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</si>
  <si>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</si>
  <si>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</si>
  <si>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</si>
  <si>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</si>
  <si>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</si>
  <si>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</si>
  <si>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</si>
  <si>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</si>
  <si>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</si>
  <si>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</si>
  <si>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</si>
  <si>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</si>
  <si>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</si>
  <si>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</si>
  <si>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</si>
  <si>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</si>
  <si>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</si>
  <si>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</si>
  <si>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</si>
  <si>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</si>
  <si>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</si>
  <si>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</si>
  <si>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</si>
  <si>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</si>
  <si>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</si>
  <si>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</si>
  <si>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</si>
  <si>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</si>
  <si>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</si>
  <si>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</si>
  <si>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</si>
  <si>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</si>
  <si>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</si>
  <si>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</si>
  <si>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</si>
  <si>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</si>
  <si>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</si>
  <si>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</si>
  <si>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</si>
  <si>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</si>
  <si>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</si>
  <si>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</si>
  <si>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</si>
  <si>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</si>
  <si>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</si>
  <si>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</si>
  <si>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</si>
  <si>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</si>
  <si>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</si>
  <si>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</si>
  <si>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</si>
  <si>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</si>
  <si>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</si>
  <si>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</si>
  <si>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</si>
  <si>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</si>
  <si>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</si>
  <si>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</si>
  <si>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</si>
  <si>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</si>
  <si>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</si>
  <si>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</si>
  <si>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</si>
  <si>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</si>
  <si>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</si>
  <si>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</si>
  <si>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</si>
  <si>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</si>
  <si>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</si>
  <si>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</si>
  <si>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</si>
  <si>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</si>
  <si>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</si>
  <si>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</si>
  <si>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</si>
  <si>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</si>
  <si>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</si>
  <si>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</si>
  <si>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</si>
  <si>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</si>
  <si>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</si>
  <si>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</si>
  <si>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</si>
  <si>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</si>
  <si>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</si>
  <si>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</si>
  <si>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</si>
  <si>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</si>
  <si>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</si>
  <si>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</si>
  <si>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</si>
  <si>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</si>
  <si>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</si>
  <si>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</si>
  <si>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</si>
  <si>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</si>
  <si>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</si>
  <si>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</si>
  <si>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</si>
  <si>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</si>
  <si>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</si>
  <si>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</si>
  <si>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</si>
  <si>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</si>
  <si>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</si>
  <si>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</si>
  <si>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</si>
  <si>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</si>
  <si>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</si>
  <si>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</si>
  <si>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</si>
  <si>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</si>
  <si>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</si>
  <si>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</si>
  <si>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</si>
  <si>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</si>
  <si>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</si>
  <si>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</si>
  <si>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</si>
  <si>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</si>
  <si>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</si>
  <si>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</si>
  <si>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</si>
  <si>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</si>
  <si>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</si>
  <si>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</si>
  <si>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</si>
  <si>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</si>
  <si>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</si>
  <si>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</si>
  <si>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</si>
  <si>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</si>
  <si>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</si>
  <si>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</si>
  <si>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</si>
  <si>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</si>
  <si>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</si>
  <si>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</si>
  <si>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</si>
  <si>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</si>
  <si>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</si>
  <si>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</si>
  <si>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</si>
  <si>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</si>
  <si>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</si>
  <si>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</si>
  <si>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</si>
  <si>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</si>
  <si>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</si>
  <si>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</si>
  <si>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</si>
  <si>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</si>
  <si>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</si>
  <si>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</si>
  <si>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</si>
  <si>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</si>
  <si>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</si>
  <si>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</si>
  <si>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</si>
  <si>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</si>
  <si>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</si>
  <si>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</si>
  <si>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</si>
  <si>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</si>
  <si>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</si>
  <si>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</si>
  <si>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</si>
  <si>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</si>
  <si>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</si>
  <si>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</si>
  <si>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</si>
  <si>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</si>
  <si>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</si>
  <si>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</si>
  <si>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</si>
  <si>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</si>
  <si>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</si>
  <si>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</si>
  <si>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</si>
  <si>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</si>
  <si>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</si>
  <si>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</si>
  <si>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</si>
  <si>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</si>
  <si>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</si>
  <si>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</si>
  <si>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</si>
  <si>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</si>
  <si>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</si>
  <si>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</si>
  <si>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</si>
  <si>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</si>
  <si>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</si>
  <si>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</si>
  <si>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</si>
  <si>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</si>
  <si>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</si>
  <si>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</si>
  <si>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</si>
  <si>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</si>
  <si>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</si>
  <si>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</si>
  <si>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</si>
  <si>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</si>
  <si>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</si>
  <si>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</si>
  <si>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</si>
  <si>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</si>
  <si>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</si>
  <si>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</si>
  <si>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</si>
  <si>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</si>
  <si>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</si>
  <si>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</si>
  <si>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</si>
  <si>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</si>
  <si>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</si>
  <si>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</si>
  <si>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</si>
  <si>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</si>
  <si>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</si>
  <si>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</si>
  <si>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</si>
  <si>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</si>
  <si>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</si>
  <si>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</si>
  <si>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</si>
  <si>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</si>
  <si>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</si>
  <si>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</si>
  <si>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</si>
  <si>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</si>
  <si>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</si>
  <si>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</si>
  <si>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</si>
  <si>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</si>
  <si>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</si>
  <si>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</si>
  <si>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</si>
  <si>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</si>
  <si>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</si>
  <si>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</si>
  <si>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</si>
  <si>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</si>
  <si>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</si>
  <si>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</si>
  <si>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</si>
  <si>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</si>
  <si>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</si>
  <si>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</si>
  <si>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</si>
  <si>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</si>
  <si>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</si>
  <si>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</si>
  <si>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</si>
  <si>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</si>
  <si>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</si>
  <si>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</si>
  <si>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</si>
  <si>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</si>
  <si>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</si>
  <si>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</si>
  <si>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</si>
  <si>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</si>
  <si>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</si>
  <si>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</si>
  <si>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</si>
  <si>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</si>
  <si>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</si>
  <si>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</si>
  <si>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</si>
  <si>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</si>
  <si>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</si>
  <si>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</si>
  <si>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</si>
  <si>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</si>
  <si>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</si>
  <si>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</si>
  <si>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</si>
  <si>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</si>
  <si>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</si>
  <si>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</si>
  <si>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</si>
  <si>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</si>
  <si>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</si>
  <si>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</si>
  <si>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</si>
  <si>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</si>
  <si>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</si>
  <si>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</si>
  <si>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</si>
  <si>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</si>
  <si>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</si>
  <si>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</si>
  <si>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</si>
  <si>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</si>
  <si>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</si>
  <si>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</si>
  <si>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</si>
  <si>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</si>
  <si>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</si>
  <si>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</si>
  <si>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</si>
  <si>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</si>
  <si>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</si>
  <si>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</si>
  <si>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</si>
  <si>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</si>
  <si>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</si>
  <si>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</si>
  <si>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</si>
  <si>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</si>
  <si>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</si>
  <si>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</si>
  <si>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</si>
  <si>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</si>
  <si>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</si>
  <si>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</si>
  <si>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</si>
  <si>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</si>
  <si>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</si>
  <si>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</si>
  <si>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</si>
  <si>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</si>
  <si>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</si>
  <si>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</si>
  <si>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</si>
  <si>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</si>
  <si>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</si>
  <si>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</si>
  <si>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</si>
  <si>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</si>
  <si>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</si>
  <si>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</si>
  <si>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</si>
  <si>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</si>
  <si>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</si>
  <si>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</si>
  <si>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</si>
  <si>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</si>
  <si>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</si>
  <si>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</si>
  <si>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</si>
  <si>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</si>
  <si>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</si>
  <si>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</si>
  <si>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</si>
  <si>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</si>
  <si>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</si>
  <si>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</si>
  <si>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</si>
  <si>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</si>
  <si>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</si>
  <si>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</si>
  <si>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</si>
  <si>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</si>
  <si>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</si>
  <si>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</si>
  <si>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</si>
  <si>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</si>
  <si>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</si>
  <si>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</si>
  <si>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</si>
  <si>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</si>
  <si>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</si>
  <si>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</si>
  <si>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</si>
  <si>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</si>
  <si>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</si>
  <si>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</si>
  <si>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</si>
  <si>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</si>
  <si>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</si>
  <si>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</si>
  <si>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</si>
  <si>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</si>
  <si>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</si>
  <si>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</si>
  <si>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</si>
  <si>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</si>
  <si>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</si>
  <si>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</si>
  <si>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</si>
  <si>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</si>
  <si>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</si>
  <si>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</si>
  <si>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</si>
  <si>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</si>
  <si>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</si>
  <si>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</si>
  <si>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</si>
  <si>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</si>
  <si>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</si>
  <si>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</si>
  <si>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</si>
  <si>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</si>
  <si>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</si>
  <si>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</si>
  <si>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</si>
  <si>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</si>
  <si>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</si>
  <si>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</si>
  <si>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</si>
  <si>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</si>
  <si>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</si>
  <si>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</si>
  <si>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</si>
  <si>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</si>
  <si>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</si>
  <si>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</si>
  <si>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</si>
  <si>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</si>
  <si>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</si>
  <si>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</si>
  <si>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</si>
  <si>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</si>
  <si>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</si>
  <si>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</si>
  <si>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</si>
  <si>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</si>
  <si>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</si>
  <si>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</si>
  <si>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</si>
  <si>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</si>
  <si>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</si>
  <si>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</si>
  <si>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</si>
  <si>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</si>
  <si>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</si>
  <si>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</si>
  <si>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</si>
  <si>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</si>
  <si>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</si>
  <si>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</si>
  <si>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</si>
  <si>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</si>
  <si>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</si>
  <si>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</si>
  <si>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</si>
  <si>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</si>
  <si>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</si>
  <si>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</si>
  <si>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</si>
  <si>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</si>
  <si>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</si>
  <si>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</si>
  <si>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</si>
  <si>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</si>
  <si>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</si>
  <si>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</si>
  <si>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</si>
  <si>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</si>
  <si>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</si>
  <si>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</si>
  <si>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</si>
  <si>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</si>
  <si>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</si>
  <si>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</si>
  <si>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</si>
  <si>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</si>
  <si>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</si>
  <si>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</si>
  <si>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</si>
  <si>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</si>
  <si>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</si>
  <si>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</si>
  <si>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</si>
  <si>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</si>
  <si>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</si>
  <si>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</si>
  <si>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</si>
  <si>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</si>
  <si>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</si>
  <si>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</si>
  <si>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</si>
  <si>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</si>
  <si>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</si>
  <si>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</si>
  <si>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</si>
  <si>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</si>
  <si>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</si>
  <si>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</si>
  <si>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</si>
  <si>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</si>
  <si>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</si>
  <si>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</si>
  <si>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</si>
  <si>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</si>
  <si>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</si>
  <si>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</si>
  <si>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</si>
  <si>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</si>
  <si>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</si>
  <si>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</si>
  <si>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</si>
  <si>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</si>
  <si>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</si>
  <si>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</si>
  <si>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</si>
  <si>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</si>
  <si>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</si>
  <si>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</si>
  <si>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</si>
  <si>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</si>
  <si>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</si>
  <si>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</si>
  <si>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</si>
  <si>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</si>
  <si>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</si>
  <si>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</si>
  <si>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</si>
  <si>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</si>
  <si>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</si>
  <si>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</si>
  <si>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</si>
  <si>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</si>
  <si>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</si>
  <si>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</si>
  <si>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</si>
  <si>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</si>
  <si>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</si>
  <si>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</si>
  <si>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</si>
  <si>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</si>
  <si>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</si>
  <si>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</si>
  <si>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</si>
  <si>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</si>
  <si>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</si>
  <si>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</si>
  <si>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</si>
  <si>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</si>
  <si>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</si>
  <si>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</si>
  <si>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</si>
  <si>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</si>
  <si>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</si>
  <si>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</si>
  <si>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</si>
  <si>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</si>
  <si>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</si>
  <si>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Unit 5 test — question map</t>
  </si>
  <si>
    <t xml:space="preserve">Form A, Form B and a practice test, parallel position for position; one point per lettered part. Transfer items are not on the practice test.</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</si>
  <si>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</si>
  <si>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</si>
  <si>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</si>
  <si>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</si>
  <si>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</si>
  <si>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</si>
  <si>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</si>
  <si>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</si>
  <si>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</si>
  <si>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</si>
  <si>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</si>
  <si>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</si>
  <si>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</si>
  <si>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</si>
  <si>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</si>
  <si>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</si>
  <si>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</si>
  <si>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</si>
  <si>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</si>
  <si>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</si>
  <si>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</si>
  <si>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</si>
  <si>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</si>
  <si>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</si>
  <si>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</si>
  <si>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</si>
  <si>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</si>
  <si>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</si>
  <si>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</si>
  <si>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</si>
  <si>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</si>
  <si>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</si>
  <si>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</si>
  <si>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</si>
  <si>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</si>
  <si>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</si>
  <si>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</si>
  <si>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</si>
  <si>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</si>
  <si>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</si>
  <si>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</si>
  <si>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</si>
  <si>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</si>
  <si>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</si>
  <si>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</si>
  <si>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</si>
  <si>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</si>
  <si>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</si>
  <si>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</si>
  <si>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</si>
  <si>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</si>
  <si>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</si>
  <si>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</si>
  <si>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</si>
  <si>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</si>
  <si>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</si>
  <si>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</si>
  <si>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</si>
  <si>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</si>
  <si>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</si>
  <si>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</si>
  <si>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</si>
  <si>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</si>
  <si>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</si>
  <si>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</si>
  <si>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</si>
  <si>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</si>
  <si>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</si>
  <si>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</si>
  <si>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</si>
  <si>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</si>
  <si>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</si>
  <si>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</si>
  <si>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</si>
  <si>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</si>
  <si>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</si>
  <si>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</si>
  <si>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</si>
  <si>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</si>
  <si>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</si>
  <si>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</si>
  <si>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</si>
  <si>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</si>
  <si>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</si>
  <si>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</si>
  <si>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</si>
  <si>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</si>
  <si>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</si>
  <si>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</si>
  <si>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</si>
  <si>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</si>
  <si>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</si>
  <si>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</si>
  <si>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</si>
  <si>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</si>
  <si>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</si>
  <si>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</si>
  <si>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</si>
  <si>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</si>
  <si>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</si>
  <si>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</si>
  <si>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</si>
  <si>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</si>
  <si>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</si>
  <si>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</si>
  <si>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</si>
  <si>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</si>
  <si>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</si>
  <si>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</si>
  <si>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</si>
  <si>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</si>
  <si>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</si>
  <si>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</si>
  <si>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</si>
  <si>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</si>
  <si>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</si>
  <si>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</si>
  <si>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</si>
  <si>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</si>
  <si>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</si>
  <si>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</si>
  <si>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</si>
  <si>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</si>
  <si>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</si>
  <si>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</si>
  <si>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</si>
  <si>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</si>
  <si>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</si>
  <si>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</si>
  <si>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</si>
  <si>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</si>
  <si>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</si>
  <si>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</si>
  <si>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</si>
  <si>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</si>
  <si>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</si>
  <si>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</si>
  <si>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</si>
  <si>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</si>
  <si>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</si>
  <si>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</si>
  <si>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</si>
  <si>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</si>
  <si>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</si>
  <si>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</si>
  <si>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</si>
  <si>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</si>
  <si>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</si>
  <si>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</si>
  <si>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</si>
  <si>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</si>
  <si>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</si>
  <si>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</si>
  <si>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</si>
  <si>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</si>
  <si>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</si>
  <si>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</si>
  <si>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</si>
  <si>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</si>
  <si>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</si>
  <si>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</si>
  <si>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</si>
  <si>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</si>
  <si>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</si>
  <si>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</si>
  <si>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</si>
  <si>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</si>
  <si>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</si>
  <si>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</si>
  <si>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</si>
  <si>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</si>
  <si>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</si>
  <si>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</si>
  <si>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</si>
  <si>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</si>
  <si>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</si>
  <si>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</si>
  <si>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</si>
  <si>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</si>
  <si>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</si>
  <si>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</si>
  <si>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</si>
  <si>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</si>
  <si>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</si>
  <si>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</si>
  <si>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</si>
  <si>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</si>
  <si>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</si>
  <si>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</si>
  <si>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</si>
  <si>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</si>
  <si>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</si>
  <si>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</si>
  <si>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</si>
  <si>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</si>
  <si>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</si>
  <si>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</si>
  <si>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</si>
  <si>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</si>
  <si>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</si>
  <si>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</si>
  <si>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</si>
  <si>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</si>
  <si>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</si>
  <si>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</si>
  <si>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</si>
  <si>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</si>
  <si>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</si>
  <si>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</si>
  <si>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</si>
  <si>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</si>
  <si>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</si>
  <si>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</si>
  <si>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</si>
  <si>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</si>
  <si>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</si>
  <si>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</si>
  <si>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</si>
  <si>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</si>
  <si>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</si>
  <si>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</si>
  <si>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</si>
  <si>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</si>
  <si>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</si>
  <si>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</si>
  <si>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</si>
  <si>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</si>
  <si>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</si>
  <si>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</si>
  <si>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</si>
  <si>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</si>
  <si>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</si>
  <si>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</si>
  <si>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</si>
  <si>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</si>
  <si>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</si>
  <si>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</si>
  <si>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</si>
  <si>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</si>
  <si>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</si>
  <si>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</si>
  <si>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</si>
  <si>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</si>
  <si>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</si>
  <si>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</si>
  <si>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</si>
  <si>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</si>
  <si>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</si>
  <si>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</si>
  <si>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</si>
  <si>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</si>
  <si>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</si>
  <si>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</si>
  <si>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</si>
  <si>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</si>
  <si>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</si>
  <si>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</si>
  <si>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</si>
  <si>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</si>
  <si>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</si>
  <si>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</si>
  <si>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</si>
  <si>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</si>
  <si>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</si>
  <si>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</si>
  <si>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</si>
  <si>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</si>
  <si>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</si>
  <si>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</si>
  <si>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</si>
  <si>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</si>
  <si>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</si>
  <si>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</si>
  <si>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</si>
  <si>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</si>
  <si>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</si>
  <si>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</si>
  <si>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</si>
  <si>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</si>
  <si>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</si>
  <si>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</si>
  <si>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</si>
  <si>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</si>
  <si>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</si>
  <si>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</si>
  <si>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</si>
  <si>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</si>
  <si>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</si>
  <si>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</si>
  <si>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</si>
  <si>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</si>
  <si>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</si>
  <si>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</si>
  <si>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</si>
  <si>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¼ in : 1 ft — a drawing length and the real length it stands for</t>
  </si>
  <si>
    <t xml:space="preserve">unit rate of a scale</t>
  </si>
  <si>
    <t xml:space="preserve">the scale written per 1 drawing unit: ¼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</si>
  <si>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</si>
  <si>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</si>
  <si>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</si>
  <si>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</si>
  <si>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</si>
  <si>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</si>
  <si>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</si>
  <si>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</si>
  <si>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</si>
  <si>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</si>
  <si>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</si>
  <si>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</si>
  <si>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</si>
  <si>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</si>
  <si>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</si>
  <si>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</si>
  <si>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</si>
  <si>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</si>
  <si>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</si>
  <si>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</si>
  <si>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</si>
  <si>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</si>
  <si>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</si>
  <si>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</si>
  <si>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</si>
  <si>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</si>
  <si>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</si>
  <si>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</si>
  <si>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</si>
  <si>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</si>
  <si>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</si>
  <si>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</si>
  <si>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</si>
  <si>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</si>
  <si>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</si>
  <si>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</si>
  <si>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</si>
  <si>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</si>
  <si>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</si>
  <si>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</si>
  <si>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</si>
  <si>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</si>
  <si>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</si>
  <si>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</si>
  <si>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</si>
  <si>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</si>
  <si>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</si>
  <si>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</si>
  <si>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</si>
  <si>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</si>
  <si>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</si>
  <si>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</si>
  <si>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</si>
  <si>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</si>
  <si>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</si>
  <si>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</si>
  <si>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</si>
  <si>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</si>
  <si>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</si>
  <si>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</si>
  <si>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</si>
  <si>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</si>
  <si>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</si>
  <si>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</si>
  <si>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</si>
  <si>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</si>
  <si>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</si>
  <si>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</si>
  <si>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</si>
  <si>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</si>
  <si>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</si>
  <si>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</si>
  <si>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</si>
  <si>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</si>
  <si>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</si>
  <si>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</si>
  <si>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</si>
  <si>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</si>
  <si>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</si>
  <si>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</si>
  <si>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</si>
  <si>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</si>
  <si>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</si>
  <si>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</si>
  <si>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</si>
  <si>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</si>
  <si>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</si>
  <si>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</si>
  <si>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</si>
  <si>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</si>
  <si>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</si>
  <si>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</si>
  <si>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</si>
  <si>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97bd28d6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</si>
  <si>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</si>
  <si>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</si>
  <si>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</si>
  <si>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</si>
  <si>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</si>
  <si>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</si>
  <si>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</si>
  <si>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</si>
  <si>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</si>
  <si>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</si>
  <si>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</si>
  <si>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</si>
  <si>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</si>
  <si>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</si>
  <si>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</si>
  <si>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</si>
  <si>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</si>
  <si>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</si>
  <si>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</si>
  <si>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</si>
  <si>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</si>
  <si>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</si>
  <si>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</si>
  <si>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</si>
  <si>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</si>
  <si>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</si>
  <si>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</si>
  <si>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</si>
  <si>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</si>
  <si>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</si>
  <si>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</si>
  <si>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</si>
  <si>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</si>
  <si>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</si>
  <si>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</si>
  <si>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</si>
  <si>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</si>
  <si>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</si>
  <si>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</si>
  <si>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</si>
  <si>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</si>
  <si>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</si>
  <si>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</si>
  <si>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</si>
  <si>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</si>
  <si>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</si>
  <si>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</si>
  <si>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</si>
  <si>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</si>
  <si>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</si>
  <si>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</si>
  <si>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</si>
  <si>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</si>
  <si>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</si>
  <si>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</si>
  <si>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</si>
  <si>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</si>
  <si>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</si>
  <si>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</si>
  <si>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</si>
  <si>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</si>
  <si>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</si>
  <si>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</si>
  <si>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</si>
  <si>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</si>
  <si>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</si>
  <si>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</si>
  <si>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</si>
  <si>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</si>
  <si>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https://drive.google.com/drive/search?q=title:%22A7%206.T1%22</t>
  </si>
  <si>
    <t xml:space="preserve">'Units'!K3</t>
  </si>
  <si>
    <t xml:space="preserve">https://drive.google.com/drive/search?q=title:%22A7%206.T2%22</t>
  </si>
  <si>
    <t xml:space="preserve">'Units'!L3</t>
  </si>
  <si>
    <t xml:space="preserve">https://drive.google.com/drive/search?q=title:%22A7%206.07%22</t>
  </si>
  <si>
    <t xml:space="preserve">'Units'!M3</t>
  </si>
  <si>
    <t xml:space="preserve">'Units'!N3</t>
  </si>
  <si>
    <t xml:space="preserve">'Units'!G4</t>
  </si>
  <si>
    <t xml:space="preserve">'Units'!H4</t>
  </si>
  <si>
    <t xml:space="preserve">'Units'!I4</t>
  </si>
  <si>
    <t xml:space="preserve">https://drive.google.com/drive/search?q=title:%22A7%207.01%22</t>
  </si>
  <si>
    <t xml:space="preserve">'Units'!J4</t>
  </si>
  <si>
    <t xml:space="preserve">https://drive.google.com/drive/search?q=title:%22A7%207.02%22</t>
  </si>
  <si>
    <t xml:space="preserve">'Units'!K4</t>
  </si>
  <si>
    <t xml:space="preserve">https://drive.google.com/drive/search?q=title:%22A7%207.04%22</t>
  </si>
  <si>
    <t xml:space="preserve">'Units'!L4</t>
  </si>
  <si>
    <t xml:space="preserve">https://drive.google.com/drive/search?q=title:%22A7%207.05%22</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</si>
  <si>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</si>
  <si>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</si>
  <si>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</si>
  <si>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</si>
  <si>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</si>
  <si>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</si>
  <si>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</si>
  <si>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</si>
  <si>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https://drive.google.com/drive/search?q=title:%22A7%208.01%22</t>
  </si>
  <si>
    <t xml:space="preserve">'Units'!L5</t>
  </si>
  <si>
    <t xml:space="preserve">https://drive.google.com/drive/search?q=title:%22A7%208.03%22</t>
  </si>
  <si>
    <t xml:space="preserve">'Units'!M5</t>
  </si>
  <si>
    <t xml:space="preserve">https://drive.google.com/drive/search?q=title:%22A7%208.04%22</t>
  </si>
  <si>
    <t xml:space="preserve">'Units'!N5</t>
  </si>
  <si>
    <t xml:space="preserve">https://drive.google.com/drive/search?q=title:%22A7%208.06%22</t>
  </si>
  <si>
    <t xml:space="preserve">'Units'!G6</t>
  </si>
  <si>
    <t xml:space="preserve">https://drive.google.com/drive/search?q=title:%22A7%208.08%22</t>
  </si>
  <si>
    <t xml:space="preserve">'Units'!H6</t>
  </si>
  <si>
    <t xml:space="preserve">https://drive.google.com/drive/search?q=title:%22A7%209.01%22</t>
  </si>
  <si>
    <t xml:space="preserve">'Units'!I6</t>
  </si>
  <si>
    <t xml:space="preserve">https://drive.google.com/drive/search?q=title:%22A7%209.03%22</t>
  </si>
  <si>
    <t xml:space="preserve">'Units'!J6</t>
  </si>
  <si>
    <t xml:space="preserve">'Units'!K6</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</si>
  <si>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</si>
  <si>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</si>
  <si>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</si>
  <si>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</si>
  <si>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</si>
  <si>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</si>
  <si>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</si>
  <si>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</si>
  <si>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</si>
  <si>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</si>
  <si>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</si>
  <si>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</si>
  <si>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</si>
  <si>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</si>
  <si>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</si>
  <si>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</si>
  <si>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</si>
  <si>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</si>
  <si>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</si>
  <si>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</si>
  <si>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</si>
  <si>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</si>
  <si>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</si>
  <si>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</si>
  <si>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</si>
  <si>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</si>
  <si>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</si>
  <si>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</si>
  <si>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</si>
  <si>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</si>
  <si>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</si>
  <si>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</si>
  <si>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</si>
  <si>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</si>
  <si>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</si>
  <si>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</si>
  <si>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</si>
  <si>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</si>
  <si>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</si>
  <si>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</si>
  <si>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</si>
  <si>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</si>
  <si>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</si>
  <si>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</si>
  <si>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</si>
  <si>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</si>
  <si>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</si>
  <si>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</si>
  <si>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</si>
  <si>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</si>
  <si>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</si>
  <si>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</si>
  <si>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</si>
  <si>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</si>
  <si>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</si>
  <si>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</si>
  <si>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</si>
  <si>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</si>
  <si>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</si>
  <si>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</si>
  <si>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</si>
  <si>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</si>
  <si>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</si>
  <si>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</si>
  <si>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</si>
  <si>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</si>
  <si>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</si>
  <si>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</si>
  <si>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https://drive.google.com/drive/search?q=title:%22A7%2013.T1%22</t>
  </si>
  <si>
    <t xml:space="preserve">'Units 1–2 decks'!F8</t>
  </si>
  <si>
    <t xml:space="preserve">https://drive.google.com/drive/search?q=title:%22A7%2013.T2%22</t>
  </si>
  <si>
    <t xml:space="preserve">'Units 1–2 decks'!G8</t>
  </si>
  <si>
    <t xml:space="preserve">'Units 1–2 decks'!H8</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</si>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</sst>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3" t="s">
        <v>292</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3" t="s">
        <v>292</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4" t="s">
        <v>292</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4" t="s">
        <v>292</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292</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292</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292</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292</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292</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3" t="s">
        <v>292</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3" t="s">
        <v>292</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3" t="s">
        <v>292</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3" t="s">
        <v>292</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3" t="s">
        <v>292</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292</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292</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3" t="s">
        <v>292</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3" t="s">
        <v>292</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3" t="s">
        <v>292</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3" t="s">
        <v>292</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3" t="s">
        <v>292</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3" t="s">
        <v>292</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292</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292</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292</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292</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292</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292</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292</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4" t="s">
        <v>292</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4" t="s">
        <v>292</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3" t="s">
        <v>292</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3" t="s">
        <v>292</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3" t="s">
        <v>292</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292</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292</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292</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292</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292</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292</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292</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292</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3" t="s">
        <v>292</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3" t="s">
        <v>292</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292</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292</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9</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C90</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1252</v>
      </c>
      <c r="B9" s="47" t="n">
        <v>46356</v>
      </c>
      <c r="C9" s="47" t="n">
        <v>46357</v>
      </c>
      <c r="D9" s="46"/>
      <c r="E9" s="52" t="s">
        <v>292</v>
      </c>
      <c r="F9" s="52"/>
      <c r="G9" s="52"/>
      <c r="H9" s="52"/>
      <c r="I9" s="52"/>
    </row>
    <row r="10" customFormat="false" ht="15" hidden="false" customHeight="false" outlineLevel="0" collapsed="false">
      <c r="A10" s="5" t="s">
        <v>1253</v>
      </c>
      <c r="B10" s="47" t="n">
        <v>46366</v>
      </c>
      <c r="C10" s="47" t="n">
        <v>46367</v>
      </c>
      <c r="D10" s="46"/>
      <c r="E10" s="52" t="s">
        <v>292</v>
      </c>
      <c r="F10" s="52"/>
      <c r="G10" s="52"/>
      <c r="H10" s="52"/>
      <c r="I10" s="52"/>
    </row>
    <row r="11" customFormat="false" ht="15" hidden="false" customHeight="false" outlineLevel="0" collapsed="false">
      <c r="A11" s="5" t="s">
        <v>1254</v>
      </c>
      <c r="B11" s="47" t="n">
        <v>46408</v>
      </c>
      <c r="C11" s="47" t="n">
        <v>46409</v>
      </c>
      <c r="D11" s="46"/>
      <c r="E11" s="52" t="s">
        <v>292</v>
      </c>
      <c r="F11" s="52"/>
      <c r="G11" s="52"/>
      <c r="H11" s="52"/>
      <c r="I11" s="52"/>
    </row>
    <row r="12" customFormat="false" ht="15" hidden="false" customHeight="false" outlineLevel="0" collapsed="false">
      <c r="A12" s="5" t="s">
        <v>1255</v>
      </c>
      <c r="B12" s="47" t="n">
        <v>46422</v>
      </c>
      <c r="C12" s="47" t="n">
        <v>46423</v>
      </c>
      <c r="D12" s="46"/>
      <c r="E12" s="52" t="s">
        <v>292</v>
      </c>
      <c r="F12" s="52"/>
      <c r="G12" s="52"/>
      <c r="H12" s="52"/>
      <c r="I12" s="52"/>
    </row>
    <row r="13" customFormat="false" ht="15" hidden="false" customHeight="false" outlineLevel="0" collapsed="false">
      <c r="A13" s="5" t="s">
        <v>1256</v>
      </c>
      <c r="B13" s="47" t="n">
        <v>46436</v>
      </c>
      <c r="C13" s="47" t="n">
        <v>46437</v>
      </c>
      <c r="D13" s="46"/>
      <c r="E13" s="52" t="s">
        <v>292</v>
      </c>
      <c r="F13" s="52"/>
      <c r="G13" s="52"/>
      <c r="H13" s="52"/>
      <c r="I13" s="52"/>
    </row>
    <row r="14" customFormat="false" ht="15" hidden="false" customHeight="false" outlineLevel="0" collapsed="false">
      <c r="A14" s="5" t="s">
        <v>1257</v>
      </c>
      <c r="B14" s="47" t="n">
        <v>46454</v>
      </c>
      <c r="C14" s="47" t="n">
        <v>46455</v>
      </c>
      <c r="D14" s="46"/>
      <c r="E14" s="52" t="s">
        <v>292</v>
      </c>
      <c r="F14" s="52"/>
      <c r="G14" s="52"/>
      <c r="H14" s="52"/>
      <c r="I14" s="52"/>
    </row>
    <row r="15" customFormat="false" ht="15" hidden="false" customHeight="false" outlineLevel="0" collapsed="false">
      <c r="A15" s="5" t="s">
        <v>1258</v>
      </c>
      <c r="B15" s="47" t="n">
        <v>46475</v>
      </c>
      <c r="C15" s="47" t="n">
        <v>46476</v>
      </c>
      <c r="D15" s="46"/>
      <c r="E15" s="52" t="s">
        <v>292</v>
      </c>
      <c r="F15" s="52"/>
      <c r="G15" s="52"/>
      <c r="H15" s="52"/>
      <c r="I15" s="52"/>
    </row>
    <row r="16" customFormat="false" ht="15" hidden="false" customHeight="false" outlineLevel="0" collapsed="false">
      <c r="A16" s="5" t="s">
        <v>1259</v>
      </c>
      <c r="B16" s="47" t="n">
        <v>46482</v>
      </c>
      <c r="C16" s="47" t="n">
        <v>46483</v>
      </c>
      <c r="D16" s="46"/>
      <c r="E16" s="52" t="s">
        <v>292</v>
      </c>
      <c r="F16" s="52"/>
      <c r="G16" s="52"/>
      <c r="H16" s="52"/>
      <c r="I16" s="52"/>
    </row>
    <row r="17" customFormat="false" ht="15" hidden="false" customHeight="false" outlineLevel="0" collapsed="false">
      <c r="A17" s="5" t="s">
        <v>1260</v>
      </c>
      <c r="B17" s="47" t="n">
        <v>46499</v>
      </c>
      <c r="C17" s="47" t="n">
        <v>46500</v>
      </c>
      <c r="D17" s="46"/>
      <c r="E17" s="52" t="s">
        <v>292</v>
      </c>
      <c r="F17" s="52"/>
      <c r="G17" s="52"/>
      <c r="H17" s="52"/>
      <c r="I17" s="52"/>
    </row>
    <row r="18" customFormat="false" ht="15" hidden="false" customHeight="false" outlineLevel="0" collapsed="false">
      <c r="A18" s="5" t="s">
        <v>1261</v>
      </c>
      <c r="B18" s="47" t="n">
        <v>46506</v>
      </c>
      <c r="C18" s="47" t="n">
        <v>46507</v>
      </c>
      <c r="D18" s="46"/>
      <c r="E18" s="52" t="s">
        <v>292</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1266</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1284</v>
      </c>
      <c r="E47" s="7" t="s">
        <v>1008</v>
      </c>
      <c r="F47" s="7" t="s">
        <v>1268</v>
      </c>
      <c r="G47" s="46"/>
      <c r="I47" s="7" t="s">
        <v>1008</v>
      </c>
      <c r="J47" s="46" t="n">
        <f aca="false">SUMIF($E$47:$E$64,I47,$C$47:$C$64)</f>
        <v>12</v>
      </c>
      <c r="K47" s="54" t="n">
        <f aca="false">J47/$C$65</f>
        <v>0.352941176470588</v>
      </c>
    </row>
    <row r="48" customFormat="false" ht="15" hidden="false" customHeight="false" outlineLevel="0" collapsed="false">
      <c r="A48" s="46" t="n">
        <v>2</v>
      </c>
      <c r="B48" s="46" t="s">
        <v>1273</v>
      </c>
      <c r="C48" s="46" t="n">
        <v>4</v>
      </c>
      <c r="D48" s="7" t="s">
        <v>1284</v>
      </c>
      <c r="E48" s="7" t="s">
        <v>1008</v>
      </c>
      <c r="F48" s="7" t="s">
        <v>1268</v>
      </c>
      <c r="G48" s="46"/>
      <c r="I48" s="7" t="s">
        <v>1014</v>
      </c>
      <c r="J48" s="46" t="n">
        <f aca="false">SUMIF($E$47:$E$64,I48,$C$47:$C$64)</f>
        <v>9</v>
      </c>
      <c r="K48" s="54" t="n">
        <f aca="false">J48/$C$65</f>
        <v>0.264705882352941</v>
      </c>
    </row>
    <row r="49" customFormat="false" ht="15" hidden="false" customHeight="false" outlineLevel="0" collapsed="false">
      <c r="A49" s="46" t="n">
        <v>3</v>
      </c>
      <c r="B49" s="46"/>
      <c r="C49" s="46" t="n">
        <v>1</v>
      </c>
      <c r="D49" s="7" t="s">
        <v>1284</v>
      </c>
      <c r="E49" s="7" t="s">
        <v>1008</v>
      </c>
      <c r="F49" s="7" t="s">
        <v>1276</v>
      </c>
      <c r="G49" s="46"/>
      <c r="I49" s="7" t="s">
        <v>1018</v>
      </c>
      <c r="J49" s="46" t="n">
        <f aca="false">SUMIF($E$47:$E$64,I49,$C$47:$C$64)</f>
        <v>13</v>
      </c>
      <c r="K49" s="54" t="n">
        <f aca="false">J49/$C$65</f>
        <v>0.382352941176471</v>
      </c>
    </row>
    <row r="50" customFormat="false" ht="15" hidden="false" customHeight="false" outlineLevel="0" collapsed="false">
      <c r="A50" s="46" t="n">
        <v>4</v>
      </c>
      <c r="B50" s="46"/>
      <c r="C50" s="46" t="n">
        <v>1</v>
      </c>
      <c r="D50" s="7" t="s">
        <v>1284</v>
      </c>
      <c r="E50" s="7" t="s">
        <v>1008</v>
      </c>
      <c r="F50" s="7" t="s">
        <v>1276</v>
      </c>
      <c r="G50" s="46"/>
    </row>
    <row r="51" customFormat="false" ht="15" hidden="false" customHeight="false" outlineLevel="0" collapsed="false">
      <c r="A51" s="46" t="n">
        <v>5</v>
      </c>
      <c r="B51" s="46"/>
      <c r="C51" s="46" t="n">
        <v>1</v>
      </c>
      <c r="D51" s="7" t="s">
        <v>1284</v>
      </c>
      <c r="E51" s="7" t="s">
        <v>1008</v>
      </c>
      <c r="F51" s="7" t="s">
        <v>1277</v>
      </c>
      <c r="G51" s="46"/>
    </row>
    <row r="52" customFormat="false" ht="15" hidden="false" customHeight="false" outlineLevel="0" collapsed="false">
      <c r="A52" s="46" t="n">
        <v>6</v>
      </c>
      <c r="B52" s="46"/>
      <c r="C52" s="46" t="n">
        <v>1</v>
      </c>
      <c r="D52" s="7" t="s">
        <v>1284</v>
      </c>
      <c r="E52" s="7" t="s">
        <v>1008</v>
      </c>
      <c r="F52" s="7" t="s">
        <v>1277</v>
      </c>
      <c r="G52" s="46" t="s">
        <v>1285</v>
      </c>
    </row>
    <row r="53" customFormat="false" ht="15" hidden="false" customHeight="false" outlineLevel="0" collapsed="false">
      <c r="A53" s="46" t="n">
        <v>7</v>
      </c>
      <c r="B53" s="46" t="s">
        <v>1275</v>
      </c>
      <c r="C53" s="46" t="n">
        <v>3</v>
      </c>
      <c r="D53" s="7" t="s">
        <v>1286</v>
      </c>
      <c r="E53" s="7" t="s">
        <v>1014</v>
      </c>
      <c r="F53" s="7" t="s">
        <v>1268</v>
      </c>
      <c r="G53" s="46"/>
    </row>
    <row r="54" customFormat="false" ht="15" hidden="false" customHeight="false" outlineLevel="0" collapsed="false">
      <c r="A54" s="46" t="n">
        <v>8</v>
      </c>
      <c r="B54" s="46" t="s">
        <v>1281</v>
      </c>
      <c r="C54" s="46" t="n">
        <v>2</v>
      </c>
      <c r="D54" s="7" t="s">
        <v>1286</v>
      </c>
      <c r="E54" s="7" t="s">
        <v>1014</v>
      </c>
      <c r="F54" s="7" t="s">
        <v>1268</v>
      </c>
      <c r="G54" s="46"/>
    </row>
    <row r="55" customFormat="false" ht="15" hidden="false" customHeight="false" outlineLevel="0" collapsed="false">
      <c r="A55" s="46" t="n">
        <v>9</v>
      </c>
      <c r="B55" s="46" t="s">
        <v>1281</v>
      </c>
      <c r="C55" s="46" t="n">
        <v>2</v>
      </c>
      <c r="D55" s="7" t="s">
        <v>1286</v>
      </c>
      <c r="E55" s="7" t="s">
        <v>1014</v>
      </c>
      <c r="F55" s="7" t="s">
        <v>1268</v>
      </c>
      <c r="G55" s="46"/>
    </row>
    <row r="56" customFormat="false" ht="15" hidden="false" customHeight="false" outlineLevel="0" collapsed="false">
      <c r="A56" s="46" t="n">
        <v>10</v>
      </c>
      <c r="B56" s="46"/>
      <c r="C56" s="46" t="n">
        <v>1</v>
      </c>
      <c r="D56" s="7" t="s">
        <v>1286</v>
      </c>
      <c r="E56" s="7" t="s">
        <v>1014</v>
      </c>
      <c r="F56" s="7" t="s">
        <v>1277</v>
      </c>
      <c r="G56" s="46"/>
    </row>
    <row r="57" customFormat="false" ht="15" hidden="false" customHeight="false" outlineLevel="0" collapsed="false">
      <c r="A57" s="46" t="n">
        <v>11</v>
      </c>
      <c r="B57" s="46"/>
      <c r="C57" s="46" t="n">
        <v>1</v>
      </c>
      <c r="D57" s="7" t="s">
        <v>1286</v>
      </c>
      <c r="E57" s="7" t="s">
        <v>1014</v>
      </c>
      <c r="F57" s="7" t="s">
        <v>1276</v>
      </c>
      <c r="G57" s="46"/>
    </row>
    <row r="58" customFormat="false" ht="15" hidden="false" customHeight="false" outlineLevel="0" collapsed="false">
      <c r="A58" s="46" t="n">
        <v>12</v>
      </c>
      <c r="B58" s="46" t="s">
        <v>1273</v>
      </c>
      <c r="C58" s="46" t="n">
        <v>4</v>
      </c>
      <c r="D58" s="7" t="s">
        <v>1287</v>
      </c>
      <c r="E58" s="7" t="s">
        <v>1018</v>
      </c>
      <c r="F58" s="7" t="s">
        <v>1268</v>
      </c>
      <c r="G58" s="46"/>
    </row>
    <row r="59" customFormat="false" ht="15" hidden="false" customHeight="false" outlineLevel="0" collapsed="false">
      <c r="A59" s="46" t="n">
        <v>13</v>
      </c>
      <c r="B59" s="46" t="s">
        <v>1275</v>
      </c>
      <c r="C59" s="46" t="n">
        <v>3</v>
      </c>
      <c r="D59" s="7" t="s">
        <v>1287</v>
      </c>
      <c r="E59" s="7" t="s">
        <v>1018</v>
      </c>
      <c r="F59" s="7" t="s">
        <v>1268</v>
      </c>
      <c r="G59" s="46"/>
    </row>
    <row r="60" customFormat="false" ht="15" hidden="false" customHeight="false" outlineLevel="0" collapsed="false">
      <c r="A60" s="46" t="n">
        <v>14</v>
      </c>
      <c r="B60" s="46" t="s">
        <v>1281</v>
      </c>
      <c r="C60" s="46" t="n">
        <v>2</v>
      </c>
      <c r="D60" s="7" t="s">
        <v>1287</v>
      </c>
      <c r="E60" s="7" t="s">
        <v>1018</v>
      </c>
      <c r="F60" s="7" t="s">
        <v>1268</v>
      </c>
      <c r="G60" s="46"/>
    </row>
    <row r="61" customFormat="false" ht="15" hidden="false" customHeight="false" outlineLevel="0" collapsed="false">
      <c r="A61" s="46" t="n">
        <v>15</v>
      </c>
      <c r="B61" s="46"/>
      <c r="C61" s="46" t="n">
        <v>1</v>
      </c>
      <c r="D61" s="7" t="s">
        <v>1287</v>
      </c>
      <c r="E61" s="7" t="s">
        <v>1018</v>
      </c>
      <c r="F61" s="7" t="s">
        <v>1276</v>
      </c>
      <c r="G61" s="46"/>
    </row>
    <row r="62" customFormat="false" ht="15" hidden="false" customHeight="false" outlineLevel="0" collapsed="false">
      <c r="A62" s="46" t="n">
        <v>16</v>
      </c>
      <c r="B62" s="46"/>
      <c r="C62" s="46" t="n">
        <v>1</v>
      </c>
      <c r="D62" s="7" t="s">
        <v>1287</v>
      </c>
      <c r="E62" s="7" t="s">
        <v>1018</v>
      </c>
      <c r="F62" s="7" t="s">
        <v>1276</v>
      </c>
      <c r="G62" s="46"/>
    </row>
    <row r="63" customFormat="false" ht="15" hidden="false" customHeight="false" outlineLevel="0" collapsed="false">
      <c r="A63" s="46" t="n">
        <v>17</v>
      </c>
      <c r="B63" s="46"/>
      <c r="C63" s="46" t="n">
        <v>1</v>
      </c>
      <c r="D63" s="7" t="s">
        <v>1287</v>
      </c>
      <c r="E63" s="7" t="s">
        <v>1018</v>
      </c>
      <c r="F63" s="7" t="s">
        <v>1277</v>
      </c>
      <c r="G63" s="46"/>
    </row>
    <row r="64" customFormat="false" ht="15" hidden="false" customHeight="false" outlineLevel="0" collapsed="false">
      <c r="A64" s="46" t="n">
        <v>18</v>
      </c>
      <c r="B64" s="46"/>
      <c r="C64" s="46" t="n">
        <v>1</v>
      </c>
      <c r="D64" s="7" t="s">
        <v>1287</v>
      </c>
      <c r="E64" s="7" t="s">
        <v>1018</v>
      </c>
      <c r="F64" s="7" t="s">
        <v>1277</v>
      </c>
      <c r="G64" s="46" t="s">
        <v>1285</v>
      </c>
    </row>
    <row r="65" customFormat="false" ht="15" hidden="false" customHeight="false" outlineLevel="0" collapsed="false">
      <c r="B65" s="5" t="s">
        <v>1282</v>
      </c>
      <c r="C65" s="55" t="n">
        <f aca="false">SUM(C47:C64)</f>
        <v>34</v>
      </c>
    </row>
    <row r="68" customFormat="false" ht="15" hidden="false" customHeight="false" outlineLevel="0" collapsed="false">
      <c r="A68" s="4" t="s">
        <v>1288</v>
      </c>
    </row>
    <row r="69" customFormat="false" ht="15" hidden="false" customHeight="false" outlineLevel="0" collapsed="false">
      <c r="A69" s="12" t="s">
        <v>1289</v>
      </c>
    </row>
    <row r="70" customFormat="false" ht="18" hidden="false" customHeight="true" outlineLevel="0" collapsed="false">
      <c r="A70" s="9" t="s">
        <v>1267</v>
      </c>
      <c r="B70" s="9" t="s">
        <v>1268</v>
      </c>
      <c r="C70" s="9" t="s">
        <v>1240</v>
      </c>
      <c r="D70" s="9" t="s">
        <v>1269</v>
      </c>
      <c r="E70" s="9" t="s">
        <v>6</v>
      </c>
      <c r="F70" s="9" t="s">
        <v>1270</v>
      </c>
      <c r="G70" s="9" t="s">
        <v>1271</v>
      </c>
      <c r="I70" s="53" t="s">
        <v>6</v>
      </c>
      <c r="J70" s="53" t="s">
        <v>1240</v>
      </c>
      <c r="K70" s="53" t="s">
        <v>1272</v>
      </c>
    </row>
    <row r="71" customFormat="false" ht="15" hidden="false" customHeight="false" outlineLevel="0" collapsed="false">
      <c r="A71" s="46" t="n">
        <v>1</v>
      </c>
      <c r="B71" s="46"/>
      <c r="C71" s="46" t="n">
        <v>1</v>
      </c>
      <c r="D71" s="7" t="s">
        <v>1290</v>
      </c>
      <c r="E71" s="7" t="s">
        <v>1023</v>
      </c>
      <c r="F71" s="7" t="s">
        <v>1277</v>
      </c>
      <c r="G71" s="46"/>
      <c r="I71" s="7" t="s">
        <v>1023</v>
      </c>
      <c r="J71" s="46" t="n">
        <f aca="false">SUMIF($E$71:$E$89,I71,$C$71:$C$89)</f>
        <v>10</v>
      </c>
      <c r="K71" s="54" t="n">
        <f aca="false">J71/$C$90</f>
        <v>0.416666666666667</v>
      </c>
    </row>
    <row r="72" customFormat="false" ht="15" hidden="false" customHeight="false" outlineLevel="0" collapsed="false">
      <c r="A72" s="46" t="n">
        <v>2</v>
      </c>
      <c r="B72" s="46"/>
      <c r="C72" s="46" t="n">
        <v>1</v>
      </c>
      <c r="D72" s="7" t="s">
        <v>1290</v>
      </c>
      <c r="E72" s="7" t="s">
        <v>1023</v>
      </c>
      <c r="F72" s="7" t="s">
        <v>1277</v>
      </c>
      <c r="G72" s="46"/>
      <c r="I72" s="7" t="s">
        <v>1029</v>
      </c>
      <c r="J72" s="46" t="n">
        <f aca="false">SUMIF($E$71:$E$89,I72,$C$71:$C$89)</f>
        <v>8</v>
      </c>
      <c r="K72" s="54" t="n">
        <f aca="false">J72/$C$90</f>
        <v>0.333333333333333</v>
      </c>
    </row>
    <row r="73" customFormat="false" ht="15" hidden="false" customHeight="false" outlineLevel="0" collapsed="false">
      <c r="A73" s="46" t="n">
        <v>3</v>
      </c>
      <c r="B73" s="46"/>
      <c r="C73" s="46" t="n">
        <v>1</v>
      </c>
      <c r="D73" s="7" t="s">
        <v>1290</v>
      </c>
      <c r="E73" s="7" t="s">
        <v>1023</v>
      </c>
      <c r="F73" s="7" t="s">
        <v>1276</v>
      </c>
      <c r="G73" s="46"/>
      <c r="I73" s="7" t="s">
        <v>1034</v>
      </c>
      <c r="J73" s="46" t="n">
        <f aca="false">SUMIF($E$71:$E$89,I73,$C$71:$C$89)</f>
        <v>6</v>
      </c>
      <c r="K73" s="54" t="n">
        <f aca="false">J73/$C$90</f>
        <v>0.25</v>
      </c>
    </row>
    <row r="74" customFormat="false" ht="15" hidden="false" customHeight="false" outlineLevel="0" collapsed="false">
      <c r="A74" s="46" t="n">
        <v>4</v>
      </c>
      <c r="B74" s="46" t="s">
        <v>1281</v>
      </c>
      <c r="C74" s="46" t="n">
        <v>2</v>
      </c>
      <c r="D74" s="7" t="s">
        <v>1290</v>
      </c>
      <c r="E74" s="7" t="s">
        <v>1023</v>
      </c>
      <c r="F74" s="7" t="s">
        <v>1268</v>
      </c>
      <c r="G74" s="46"/>
    </row>
    <row r="75" customFormat="false" ht="15" hidden="false" customHeight="false" outlineLevel="0" collapsed="false">
      <c r="A75" s="46" t="n">
        <v>5</v>
      </c>
      <c r="B75" s="46"/>
      <c r="C75" s="46" t="n">
        <v>1</v>
      </c>
      <c r="D75" s="7" t="s">
        <v>1290</v>
      </c>
      <c r="E75" s="7" t="s">
        <v>1023</v>
      </c>
      <c r="F75" s="7" t="s">
        <v>1277</v>
      </c>
      <c r="G75" s="46"/>
    </row>
    <row r="76" customFormat="false" ht="15" hidden="false" customHeight="false" outlineLevel="0" collapsed="false">
      <c r="A76" s="46" t="n">
        <v>6</v>
      </c>
      <c r="B76" s="46" t="s">
        <v>1281</v>
      </c>
      <c r="C76" s="46" t="n">
        <v>2</v>
      </c>
      <c r="D76" s="7" t="s">
        <v>1290</v>
      </c>
      <c r="E76" s="7" t="s">
        <v>1023</v>
      </c>
      <c r="F76" s="7" t="s">
        <v>1268</v>
      </c>
      <c r="G76" s="46"/>
    </row>
    <row r="77" customFormat="false" ht="15" hidden="false" customHeight="false" outlineLevel="0" collapsed="false">
      <c r="A77" s="46" t="n">
        <v>7</v>
      </c>
      <c r="B77" s="46"/>
      <c r="C77" s="46" t="n">
        <v>1</v>
      </c>
      <c r="D77" s="7" t="s">
        <v>1290</v>
      </c>
      <c r="E77" s="7" t="s">
        <v>1023</v>
      </c>
      <c r="F77" s="7" t="s">
        <v>1277</v>
      </c>
      <c r="G77" s="46"/>
    </row>
    <row r="78" customFormat="false" ht="15" hidden="false" customHeight="false" outlineLevel="0" collapsed="false">
      <c r="A78" s="46" t="n">
        <v>8</v>
      </c>
      <c r="B78" s="46"/>
      <c r="C78" s="46" t="n">
        <v>1</v>
      </c>
      <c r="D78" s="7" t="s">
        <v>1290</v>
      </c>
      <c r="E78" s="7" t="s">
        <v>1023</v>
      </c>
      <c r="F78" s="7" t="s">
        <v>1277</v>
      </c>
      <c r="G78" s="46" t="s">
        <v>1285</v>
      </c>
    </row>
    <row r="79" customFormat="false" ht="15" hidden="false" customHeight="false" outlineLevel="0" collapsed="false">
      <c r="A79" s="46" t="n">
        <v>9</v>
      </c>
      <c r="B79" s="46"/>
      <c r="C79" s="46" t="n">
        <v>1</v>
      </c>
      <c r="D79" s="7" t="s">
        <v>1291</v>
      </c>
      <c r="E79" s="7" t="s">
        <v>1029</v>
      </c>
      <c r="F79" s="7" t="s">
        <v>1277</v>
      </c>
      <c r="G79" s="46"/>
    </row>
    <row r="80" customFormat="false" ht="15" hidden="false" customHeight="false" outlineLevel="0" collapsed="false">
      <c r="A80" s="46" t="n">
        <v>10</v>
      </c>
      <c r="B80" s="46"/>
      <c r="C80" s="46" t="n">
        <v>1</v>
      </c>
      <c r="D80" s="7" t="s">
        <v>1291</v>
      </c>
      <c r="E80" s="7" t="s">
        <v>1029</v>
      </c>
      <c r="F80" s="7" t="s">
        <v>1276</v>
      </c>
      <c r="G80" s="46"/>
    </row>
    <row r="81" customFormat="false" ht="15" hidden="false" customHeight="false" outlineLevel="0" collapsed="false">
      <c r="A81" s="46" t="n">
        <v>11</v>
      </c>
      <c r="B81" s="46"/>
      <c r="C81" s="46" t="n">
        <v>1</v>
      </c>
      <c r="D81" s="7" t="s">
        <v>1291</v>
      </c>
      <c r="E81" s="7" t="s">
        <v>1029</v>
      </c>
      <c r="F81" s="7" t="s">
        <v>1277</v>
      </c>
      <c r="G81" s="46"/>
    </row>
    <row r="82" customFormat="false" ht="15" hidden="false" customHeight="false" outlineLevel="0" collapsed="false">
      <c r="A82" s="46" t="n">
        <v>12</v>
      </c>
      <c r="B82" s="46"/>
      <c r="C82" s="46" t="n">
        <v>1</v>
      </c>
      <c r="D82" s="7" t="s">
        <v>1291</v>
      </c>
      <c r="E82" s="7" t="s">
        <v>1029</v>
      </c>
      <c r="F82" s="7" t="s">
        <v>1277</v>
      </c>
      <c r="G82" s="46"/>
    </row>
    <row r="83" customFormat="false" ht="15" hidden="false" customHeight="false" outlineLevel="0" collapsed="false">
      <c r="A83" s="46" t="n">
        <v>13</v>
      </c>
      <c r="B83" s="46"/>
      <c r="C83" s="46" t="n">
        <v>1</v>
      </c>
      <c r="D83" s="7" t="s">
        <v>1291</v>
      </c>
      <c r="E83" s="7" t="s">
        <v>1029</v>
      </c>
      <c r="F83" s="7" t="s">
        <v>1277</v>
      </c>
      <c r="G83" s="46"/>
    </row>
    <row r="84" customFormat="false" ht="15" hidden="false" customHeight="false" outlineLevel="0" collapsed="false">
      <c r="A84" s="46" t="n">
        <v>14</v>
      </c>
      <c r="B84" s="46"/>
      <c r="C84" s="46" t="n">
        <v>1</v>
      </c>
      <c r="D84" s="7" t="s">
        <v>1291</v>
      </c>
      <c r="E84" s="7" t="s">
        <v>1029</v>
      </c>
      <c r="F84" s="7" t="s">
        <v>1276</v>
      </c>
      <c r="G84" s="46"/>
    </row>
    <row r="85" customFormat="false" ht="15" hidden="false" customHeight="false" outlineLevel="0" collapsed="false">
      <c r="A85" s="46" t="n">
        <v>15</v>
      </c>
      <c r="B85" s="46" t="s">
        <v>1281</v>
      </c>
      <c r="C85" s="46" t="n">
        <v>2</v>
      </c>
      <c r="D85" s="7" t="s">
        <v>1291</v>
      </c>
      <c r="E85" s="7" t="s">
        <v>1029</v>
      </c>
      <c r="F85" s="7" t="s">
        <v>1268</v>
      </c>
      <c r="G85" s="46"/>
    </row>
    <row r="86" customFormat="false" ht="15" hidden="false" customHeight="false" outlineLevel="0" collapsed="false">
      <c r="A86" s="46" t="n">
        <v>16</v>
      </c>
      <c r="B86" s="46" t="s">
        <v>1281</v>
      </c>
      <c r="C86" s="46" t="n">
        <v>2</v>
      </c>
      <c r="D86" s="7" t="s">
        <v>1292</v>
      </c>
      <c r="E86" s="7" t="s">
        <v>1034</v>
      </c>
      <c r="F86" s="7" t="s">
        <v>1268</v>
      </c>
      <c r="G86" s="46"/>
    </row>
    <row r="87" customFormat="false" ht="15" hidden="false" customHeight="false" outlineLevel="0" collapsed="false">
      <c r="A87" s="46" t="n">
        <v>17</v>
      </c>
      <c r="B87" s="46" t="s">
        <v>1281</v>
      </c>
      <c r="C87" s="46" t="n">
        <v>2</v>
      </c>
      <c r="D87" s="7" t="s">
        <v>1292</v>
      </c>
      <c r="E87" s="7" t="s">
        <v>1034</v>
      </c>
      <c r="F87" s="7" t="s">
        <v>1268</v>
      </c>
      <c r="G87" s="46"/>
    </row>
    <row r="88" customFormat="false" ht="15" hidden="false" customHeight="false" outlineLevel="0" collapsed="false">
      <c r="A88" s="46" t="n">
        <v>18</v>
      </c>
      <c r="B88" s="46"/>
      <c r="C88" s="46" t="n">
        <v>1</v>
      </c>
      <c r="D88" s="7" t="s">
        <v>1292</v>
      </c>
      <c r="E88" s="7" t="s">
        <v>1034</v>
      </c>
      <c r="F88" s="7" t="s">
        <v>1277</v>
      </c>
      <c r="G88" s="46"/>
    </row>
    <row r="89" customFormat="false" ht="15" hidden="false" customHeight="false" outlineLevel="0" collapsed="false">
      <c r="A89" s="46" t="n">
        <v>19</v>
      </c>
      <c r="B89" s="46"/>
      <c r="C89" s="46" t="n">
        <v>1</v>
      </c>
      <c r="D89" s="7" t="s">
        <v>1292</v>
      </c>
      <c r="E89" s="7" t="s">
        <v>1034</v>
      </c>
      <c r="F89" s="7" t="s">
        <v>1277</v>
      </c>
      <c r="G89" s="46" t="s">
        <v>1285</v>
      </c>
    </row>
    <row r="90" customFormat="false" ht="15" hidden="false" customHeight="false" outlineLevel="0" collapsed="false">
      <c r="B90" s="5" t="s">
        <v>1282</v>
      </c>
      <c r="C90" s="55" t="n">
        <f aca="false">SUM(C71:C89)</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63"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59"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4" t="s">
        <v>1343</v>
      </c>
      <c r="D19" s="64" t="s">
        <v>1344</v>
      </c>
      <c r="E19" s="61"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3"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3" t="s">
        <v>1353</v>
      </c>
      <c r="C25" s="61" t="s">
        <v>1354</v>
      </c>
      <c r="D25" s="59" t="s">
        <v>1355</v>
      </c>
      <c r="E25" s="59" t="s">
        <v>1356</v>
      </c>
    </row>
    <row r="26" customFormat="false" ht="66" hidden="false" customHeight="true" outlineLevel="0" collapsed="false">
      <c r="A26" s="59" t="s">
        <v>1357</v>
      </c>
      <c r="B26" s="59" t="s">
        <v>1358</v>
      </c>
      <c r="C26" s="59" t="s">
        <v>1359</v>
      </c>
      <c r="D26" s="63" t="s">
        <v>1360</v>
      </c>
      <c r="E26" s="63" t="s">
        <v>1361</v>
      </c>
    </row>
    <row r="27" customFormat="false" ht="66" hidden="false" customHeight="true" outlineLevel="0" collapsed="false">
      <c r="A27" s="61" t="s">
        <v>1362</v>
      </c>
      <c r="B27" s="61" t="s">
        <v>1363</v>
      </c>
      <c r="C27" s="61" t="s">
        <v>1364</v>
      </c>
      <c r="D27" s="64" t="s">
        <v>1365</v>
      </c>
      <c r="E27" s="64"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59" t="s">
        <v>1380</v>
      </c>
      <c r="B35" s="59" t="s">
        <v>1381</v>
      </c>
      <c r="C35" s="61" t="s">
        <v>1316</v>
      </c>
      <c r="D35" s="61" t="s">
        <v>1382</v>
      </c>
      <c r="E35" s="61" t="s">
        <v>1383</v>
      </c>
    </row>
    <row r="36" customFormat="false" ht="66" hidden="false" customHeight="true" outlineLevel="0" collapsed="false">
      <c r="A36" s="62" t="s">
        <v>1384</v>
      </c>
      <c r="B36" s="61" t="s">
        <v>1385</v>
      </c>
      <c r="C36" s="61" t="s">
        <v>1345</v>
      </c>
      <c r="D36" s="63" t="s">
        <v>1386</v>
      </c>
      <c r="E36" s="63"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1394</v>
      </c>
      <c r="B41" s="64" t="s">
        <v>1395</v>
      </c>
      <c r="C41" s="64" t="s">
        <v>1396</v>
      </c>
      <c r="D41" s="63" t="s">
        <v>1397</v>
      </c>
      <c r="E41" s="63" t="s">
        <v>1398</v>
      </c>
    </row>
    <row r="42" customFormat="false" ht="66" hidden="false" customHeight="true" outlineLevel="0" collapsed="false">
      <c r="A42" s="59" t="s">
        <v>1399</v>
      </c>
      <c r="B42" s="59" t="s">
        <v>1400</v>
      </c>
      <c r="C42" s="59" t="s">
        <v>1401</v>
      </c>
      <c r="D42" s="59" t="s">
        <v>1402</v>
      </c>
      <c r="E42" s="59" t="s">
        <v>1403</v>
      </c>
    </row>
    <row r="43" customFormat="false" ht="66" hidden="false" customHeight="true" outlineLevel="0" collapsed="false">
      <c r="A43" s="62" t="s">
        <v>1404</v>
      </c>
      <c r="B43" s="59" t="s">
        <v>1405</v>
      </c>
      <c r="C43" s="59" t="s">
        <v>1406</v>
      </c>
      <c r="D43" s="63" t="s">
        <v>1407</v>
      </c>
      <c r="E43" s="63" t="s">
        <v>1408</v>
      </c>
    </row>
    <row r="44" customFormat="false" ht="66" hidden="false" customHeight="true" outlineLevel="0" collapsed="false">
      <c r="A44" s="61" t="s">
        <v>1409</v>
      </c>
      <c r="B44" s="64" t="s">
        <v>1410</v>
      </c>
      <c r="C44" s="64" t="s">
        <v>1411</v>
      </c>
      <c r="D44" s="64" t="s">
        <v>1412</v>
      </c>
      <c r="E44" s="64"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1" t="s">
        <v>1415</v>
      </c>
      <c r="B48" s="64" t="s">
        <v>1416</v>
      </c>
      <c r="C48" s="64" t="s">
        <v>1417</v>
      </c>
      <c r="D48" s="61" t="s">
        <v>1418</v>
      </c>
      <c r="E48" s="62" t="s">
        <v>1376</v>
      </c>
    </row>
    <row r="49" customFormat="false" ht="66" hidden="false" customHeight="true" outlineLevel="0" collapsed="false">
      <c r="A49" s="63" t="s">
        <v>1419</v>
      </c>
      <c r="B49" s="63" t="s">
        <v>1420</v>
      </c>
      <c r="C49" s="61" t="s">
        <v>1421</v>
      </c>
      <c r="D49" s="59" t="s">
        <v>1422</v>
      </c>
      <c r="E49" s="59" t="s">
        <v>1423</v>
      </c>
    </row>
    <row r="50" customFormat="false" ht="66" hidden="false" customHeight="true" outlineLevel="0" collapsed="false">
      <c r="A50" s="59" t="s">
        <v>1424</v>
      </c>
      <c r="B50" s="59" t="s">
        <v>1425</v>
      </c>
      <c r="C50" s="59" t="s">
        <v>1426</v>
      </c>
      <c r="D50" s="59" t="s">
        <v>1427</v>
      </c>
      <c r="E50" s="59" t="s">
        <v>1428</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63" t="s">
        <v>1429</v>
      </c>
      <c r="B52" s="63" t="s">
        <v>1430</v>
      </c>
      <c r="C52" s="64"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1433</v>
      </c>
      <c r="E56" s="64" t="s">
        <v>1434</v>
      </c>
    </row>
    <row r="57" customFormat="false" ht="66" hidden="false" customHeight="true" outlineLevel="0" collapsed="false">
      <c r="A57" s="63" t="s">
        <v>1435</v>
      </c>
      <c r="B57" s="63" t="s">
        <v>1436</v>
      </c>
      <c r="C57" s="59" t="s">
        <v>1437</v>
      </c>
      <c r="D57" s="59" t="s">
        <v>1438</v>
      </c>
      <c r="E57" s="59" t="s">
        <v>1439</v>
      </c>
    </row>
    <row r="58" customFormat="false" ht="66" hidden="false" customHeight="true" outlineLevel="0" collapsed="false">
      <c r="A58" s="59" t="s">
        <v>1440</v>
      </c>
      <c r="B58" s="59" t="s">
        <v>1441</v>
      </c>
      <c r="C58" s="59" t="s">
        <v>1442</v>
      </c>
      <c r="D58" s="59" t="s">
        <v>1443</v>
      </c>
      <c r="E58" s="62" t="s">
        <v>1444</v>
      </c>
    </row>
    <row r="59" customFormat="false" ht="66" hidden="false" customHeight="true" outlineLevel="0" collapsed="false">
      <c r="A59" s="59" t="s">
        <v>1445</v>
      </c>
      <c r="B59" s="64" t="s">
        <v>1446</v>
      </c>
      <c r="C59" s="64" t="s">
        <v>1447</v>
      </c>
      <c r="D59" s="63" t="s">
        <v>1448</v>
      </c>
      <c r="E59" s="63" t="s">
        <v>1449</v>
      </c>
    </row>
    <row r="60" customFormat="false" ht="66" hidden="false" customHeight="true" outlineLevel="0" collapsed="false">
      <c r="A60" s="59" t="s">
        <v>1450</v>
      </c>
      <c r="B60" s="59" t="s">
        <v>1451</v>
      </c>
      <c r="C60" s="61" t="s">
        <v>1452</v>
      </c>
      <c r="D60" s="63" t="s">
        <v>1453</v>
      </c>
      <c r="E60" s="63"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158</v>
      </c>
      <c r="C32" s="65" t="n">
        <v>46311</v>
      </c>
      <c r="D32" s="66" t="s">
        <v>1527</v>
      </c>
      <c r="E32" s="6" t="s">
        <v>1535</v>
      </c>
    </row>
    <row r="33" customFormat="false" ht="15" hidden="false" customHeight="false" outlineLevel="0" collapsed="false">
      <c r="A33" s="46" t="n">
        <v>4</v>
      </c>
      <c r="B33" s="5" t="s">
        <v>158</v>
      </c>
      <c r="C33" s="65" t="n">
        <v>46311</v>
      </c>
      <c r="D33" s="66" t="s">
        <v>1520</v>
      </c>
      <c r="E33" s="6" t="s">
        <v>1536</v>
      </c>
    </row>
    <row r="34" customFormat="false" ht="23.85" hidden="false" customHeight="false" outlineLevel="0" collapsed="false">
      <c r="A34" s="46" t="n">
        <v>4</v>
      </c>
      <c r="B34" s="5" t="s">
        <v>158</v>
      </c>
      <c r="C34" s="65" t="n">
        <v>46311</v>
      </c>
      <c r="D34" s="66" t="s">
        <v>1537</v>
      </c>
      <c r="E34" s="6" t="s">
        <v>1538</v>
      </c>
    </row>
    <row r="35" customFormat="false" ht="15" hidden="false" customHeight="false" outlineLevel="0" collapsed="false">
      <c r="A35" s="46" t="n">
        <v>4</v>
      </c>
      <c r="B35" s="5" t="s">
        <v>169</v>
      </c>
      <c r="C35" s="65" t="n">
        <v>46314</v>
      </c>
      <c r="D35" s="66" t="s">
        <v>1484</v>
      </c>
      <c r="E35" s="6" t="s">
        <v>1539</v>
      </c>
    </row>
    <row r="36" customFormat="false" ht="15" hidden="false" customHeight="false" outlineLevel="0" collapsed="false">
      <c r="A36" s="46" t="n">
        <v>4</v>
      </c>
      <c r="B36" s="5" t="s">
        <v>169</v>
      </c>
      <c r="C36" s="65" t="n">
        <v>46314</v>
      </c>
      <c r="D36" s="66" t="s">
        <v>1492</v>
      </c>
      <c r="E36" s="6" t="s">
        <v>1540</v>
      </c>
    </row>
    <row r="37" customFormat="false" ht="15" hidden="false" customHeight="false" outlineLevel="0" collapsed="false">
      <c r="A37" s="46" t="n">
        <v>4</v>
      </c>
      <c r="B37" s="5" t="s">
        <v>169</v>
      </c>
      <c r="C37" s="65" t="n">
        <v>46314</v>
      </c>
      <c r="D37" s="66" t="s">
        <v>1541</v>
      </c>
      <c r="E37" s="6" t="s">
        <v>1542</v>
      </c>
    </row>
    <row r="38" customFormat="false" ht="23.85" hidden="false" customHeight="false" outlineLevel="0" collapsed="false">
      <c r="A38" s="46" t="n">
        <v>4</v>
      </c>
      <c r="B38" s="5" t="s">
        <v>178</v>
      </c>
      <c r="C38" s="65" t="n">
        <v>46315</v>
      </c>
      <c r="D38" s="66" t="s">
        <v>1543</v>
      </c>
      <c r="E38" s="6" t="s">
        <v>1544</v>
      </c>
    </row>
    <row r="39" customFormat="false" ht="15" hidden="false" customHeight="false" outlineLevel="0" collapsed="false">
      <c r="A39" s="46" t="n">
        <v>4</v>
      </c>
      <c r="B39" s="5" t="s">
        <v>178</v>
      </c>
      <c r="C39" s="65" t="n">
        <v>46315</v>
      </c>
      <c r="D39" s="66" t="s">
        <v>1545</v>
      </c>
      <c r="E39" s="6" t="s">
        <v>1546</v>
      </c>
    </row>
    <row r="40" customFormat="false" ht="23.85" hidden="false" customHeight="false" outlineLevel="0" collapsed="false">
      <c r="A40" s="46" t="n">
        <v>4</v>
      </c>
      <c r="B40" s="5" t="s">
        <v>178</v>
      </c>
      <c r="C40" s="65" t="n">
        <v>46315</v>
      </c>
      <c r="D40" s="66" t="s">
        <v>1547</v>
      </c>
      <c r="E40" s="6" t="s">
        <v>1548</v>
      </c>
    </row>
    <row r="41" customFormat="false" ht="15" hidden="false" customHeight="false" outlineLevel="0" collapsed="false">
      <c r="A41" s="46" t="n">
        <v>4</v>
      </c>
      <c r="B41" s="5" t="s">
        <v>190</v>
      </c>
      <c r="C41" s="65" t="n">
        <v>46316</v>
      </c>
      <c r="D41" s="66" t="s">
        <v>1549</v>
      </c>
      <c r="E41" s="6" t="s">
        <v>1550</v>
      </c>
    </row>
    <row r="42" customFormat="false" ht="15" hidden="false" customHeight="false" outlineLevel="0" collapsed="false">
      <c r="A42" s="46" t="n">
        <v>4</v>
      </c>
      <c r="B42" s="5" t="s">
        <v>190</v>
      </c>
      <c r="C42" s="65" t="n">
        <v>46316</v>
      </c>
      <c r="D42" s="66" t="s">
        <v>1551</v>
      </c>
      <c r="E42" s="6" t="s">
        <v>1552</v>
      </c>
    </row>
    <row r="43" customFormat="false" ht="15" hidden="false" customHeight="false" outlineLevel="0" collapsed="false">
      <c r="A43" s="46" t="n">
        <v>4</v>
      </c>
      <c r="B43" s="5" t="s">
        <v>190</v>
      </c>
      <c r="C43" s="65" t="n">
        <v>46316</v>
      </c>
      <c r="D43" s="66" t="s">
        <v>1553</v>
      </c>
      <c r="E43" s="6" t="s">
        <v>1554</v>
      </c>
    </row>
    <row r="44" customFormat="false" ht="23.85" hidden="false" customHeight="false" outlineLevel="0" collapsed="false">
      <c r="A44" s="46" t="n">
        <v>4</v>
      </c>
      <c r="B44" s="5" t="s">
        <v>201</v>
      </c>
      <c r="C44" s="65" t="n">
        <v>46317</v>
      </c>
      <c r="D44" s="66" t="s">
        <v>1555</v>
      </c>
      <c r="E44" s="6" t="s">
        <v>1556</v>
      </c>
    </row>
    <row r="45" customFormat="false" ht="15" hidden="false" customHeight="false" outlineLevel="0" collapsed="false">
      <c r="A45" s="46" t="n">
        <v>4</v>
      </c>
      <c r="B45" s="5" t="s">
        <v>201</v>
      </c>
      <c r="C45" s="65" t="n">
        <v>46317</v>
      </c>
      <c r="D45" s="66" t="s">
        <v>1557</v>
      </c>
      <c r="E45" s="6" t="s">
        <v>1558</v>
      </c>
    </row>
    <row r="46" customFormat="false" ht="15" hidden="false" customHeight="false" outlineLevel="0" collapsed="false">
      <c r="A46" s="46" t="n">
        <v>4</v>
      </c>
      <c r="B46" s="5" t="s">
        <v>201</v>
      </c>
      <c r="C46" s="65" t="n">
        <v>46317</v>
      </c>
      <c r="D46" s="66" t="s">
        <v>1559</v>
      </c>
      <c r="E46" s="6" t="s">
        <v>1560</v>
      </c>
    </row>
    <row r="47" customFormat="false" ht="15" hidden="false" customHeight="false" outlineLevel="0" collapsed="false">
      <c r="A47" s="46" t="n">
        <v>4</v>
      </c>
      <c r="B47" s="5" t="s">
        <v>209</v>
      </c>
      <c r="C47" s="65" t="n">
        <v>46318</v>
      </c>
      <c r="D47" s="66" t="s">
        <v>1561</v>
      </c>
      <c r="E47" s="6" t="s">
        <v>1562</v>
      </c>
    </row>
    <row r="48" customFormat="false" ht="23.85" hidden="false" customHeight="false" outlineLevel="0" collapsed="false">
      <c r="A48" s="46" t="n">
        <v>4</v>
      </c>
      <c r="B48" s="5" t="s">
        <v>209</v>
      </c>
      <c r="C48" s="65" t="n">
        <v>46318</v>
      </c>
      <c r="D48" s="66" t="s">
        <v>1563</v>
      </c>
      <c r="E48" s="6" t="s">
        <v>1564</v>
      </c>
    </row>
    <row r="49" customFormat="false" ht="15" hidden="false" customHeight="false" outlineLevel="0" collapsed="false">
      <c r="A49" s="46" t="n">
        <v>4</v>
      </c>
      <c r="B49" s="5" t="s">
        <v>209</v>
      </c>
      <c r="C49" s="65" t="n">
        <v>46318</v>
      </c>
      <c r="D49" s="66" t="s">
        <v>1565</v>
      </c>
      <c r="E49" s="6" t="s">
        <v>1566</v>
      </c>
    </row>
    <row r="50" customFormat="false" ht="15" hidden="false" customHeight="false" outlineLevel="0" collapsed="false">
      <c r="A50" s="46" t="n">
        <v>5</v>
      </c>
      <c r="B50" s="5" t="s">
        <v>223</v>
      </c>
      <c r="C50" s="65" t="n">
        <v>46323</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235</v>
      </c>
      <c r="C54" s="65" t="n">
        <v>46324</v>
      </c>
      <c r="D54" s="66" t="s">
        <v>1575</v>
      </c>
      <c r="E54" s="6" t="s">
        <v>1576</v>
      </c>
    </row>
    <row r="55" customFormat="false" ht="15" hidden="false" customHeight="false" outlineLevel="0" collapsed="false">
      <c r="A55" s="46" t="n">
        <v>5</v>
      </c>
      <c r="B55" s="5" t="s">
        <v>235</v>
      </c>
      <c r="C55" s="65" t="n">
        <v>46324</v>
      </c>
      <c r="D55" s="66" t="s">
        <v>1577</v>
      </c>
      <c r="E55" s="6" t="s">
        <v>1578</v>
      </c>
    </row>
    <row r="56" customFormat="false" ht="15" hidden="false" customHeight="false" outlineLevel="0" collapsed="false">
      <c r="A56" s="46" t="n">
        <v>5</v>
      </c>
      <c r="B56" s="5" t="s">
        <v>235</v>
      </c>
      <c r="C56" s="65" t="n">
        <v>46324</v>
      </c>
      <c r="D56" s="66" t="s">
        <v>1579</v>
      </c>
      <c r="E56" s="6" t="s">
        <v>1580</v>
      </c>
    </row>
    <row r="57" customFormat="false" ht="15" hidden="false" customHeight="false" outlineLevel="0" collapsed="false">
      <c r="A57" s="46" t="n">
        <v>5</v>
      </c>
      <c r="B57" s="5" t="s">
        <v>244</v>
      </c>
      <c r="C57" s="65" t="n">
        <v>46325</v>
      </c>
      <c r="D57" s="66" t="s">
        <v>1581</v>
      </c>
      <c r="E57" s="6" t="s">
        <v>1582</v>
      </c>
    </row>
    <row r="58" customFormat="false" ht="15" hidden="false" customHeight="false" outlineLevel="0" collapsed="false">
      <c r="A58" s="46" t="n">
        <v>5</v>
      </c>
      <c r="B58" s="5" t="s">
        <v>244</v>
      </c>
      <c r="C58" s="65" t="n">
        <v>46325</v>
      </c>
      <c r="D58" s="66" t="s">
        <v>1583</v>
      </c>
      <c r="E58" s="6" t="s">
        <v>1584</v>
      </c>
    </row>
    <row r="59" customFormat="false" ht="15" hidden="false" customHeight="false" outlineLevel="0" collapsed="false">
      <c r="A59" s="46" t="n">
        <v>5</v>
      </c>
      <c r="B59" s="5" t="s">
        <v>244</v>
      </c>
      <c r="C59" s="65" t="n">
        <v>46325</v>
      </c>
      <c r="D59" s="66" t="s">
        <v>1585</v>
      </c>
      <c r="E59" s="6" t="s">
        <v>1586</v>
      </c>
    </row>
    <row r="60" customFormat="false" ht="15" hidden="false" customHeight="false" outlineLevel="0" collapsed="false">
      <c r="A60" s="46" t="n">
        <v>5</v>
      </c>
      <c r="B60" s="5" t="s">
        <v>244</v>
      </c>
      <c r="C60" s="65" t="n">
        <v>46325</v>
      </c>
      <c r="D60" s="66" t="s">
        <v>1587</v>
      </c>
      <c r="E60" s="6" t="s">
        <v>1588</v>
      </c>
    </row>
    <row r="61" customFormat="false" ht="15" hidden="false" customHeight="false" outlineLevel="0" collapsed="false">
      <c r="A61" s="46" t="n">
        <v>5</v>
      </c>
      <c r="B61" s="5" t="s">
        <v>254</v>
      </c>
      <c r="C61" s="65" t="n">
        <v>46328</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254</v>
      </c>
      <c r="C64" s="65" t="n">
        <v>46328</v>
      </c>
      <c r="D64" s="66" t="s">
        <v>1595</v>
      </c>
      <c r="E64" s="6" t="s">
        <v>1596</v>
      </c>
    </row>
    <row r="65" customFormat="false" ht="15" hidden="false" customHeight="false" outlineLevel="0" collapsed="false">
      <c r="A65" s="46" t="n">
        <v>5</v>
      </c>
      <c r="B65" s="5" t="s">
        <v>266</v>
      </c>
      <c r="C65" s="65" t="n">
        <v>46329</v>
      </c>
      <c r="D65" s="66" t="s">
        <v>1597</v>
      </c>
      <c r="E65" s="6" t="s">
        <v>1598</v>
      </c>
    </row>
    <row r="66" customFormat="false" ht="15" hidden="false" customHeight="false" outlineLevel="0" collapsed="false">
      <c r="A66" s="46" t="n">
        <v>5</v>
      </c>
      <c r="B66" s="5" t="s">
        <v>266</v>
      </c>
      <c r="C66" s="65" t="n">
        <v>46329</v>
      </c>
      <c r="D66" s="66" t="s">
        <v>1599</v>
      </c>
      <c r="E66" s="6" t="s">
        <v>1600</v>
      </c>
    </row>
    <row r="67" customFormat="false" ht="15" hidden="false" customHeight="false" outlineLevel="0" collapsed="false">
      <c r="A67" s="46" t="n">
        <v>5</v>
      </c>
      <c r="B67" s="5" t="s">
        <v>266</v>
      </c>
      <c r="C67" s="65" t="n">
        <v>46329</v>
      </c>
      <c r="D67" s="66" t="s">
        <v>1601</v>
      </c>
      <c r="E67" s="6" t="s">
        <v>1602</v>
      </c>
    </row>
    <row r="68" customFormat="false" ht="15" hidden="false" customHeight="false" outlineLevel="0" collapsed="false">
      <c r="A68" s="46" t="n">
        <v>5</v>
      </c>
      <c r="B68" s="5" t="s">
        <v>266</v>
      </c>
      <c r="C68" s="65" t="n">
        <v>46329</v>
      </c>
      <c r="D68" s="66" t="s">
        <v>1603</v>
      </c>
      <c r="E68" s="6" t="s">
        <v>1604</v>
      </c>
    </row>
    <row r="69" customFormat="false" ht="15" hidden="false" customHeight="false" outlineLevel="0" collapsed="false">
      <c r="A69" s="46" t="n">
        <v>5</v>
      </c>
      <c r="B69" s="5" t="s">
        <v>266</v>
      </c>
      <c r="C69" s="65" t="n">
        <v>46329</v>
      </c>
      <c r="D69" s="66" t="s">
        <v>1605</v>
      </c>
      <c r="E69" s="6" t="s">
        <v>1606</v>
      </c>
    </row>
    <row r="70" customFormat="false" ht="15" hidden="false" customHeight="false" outlineLevel="0" collapsed="false">
      <c r="A70" s="46" t="n">
        <v>5</v>
      </c>
      <c r="B70" s="5" t="s">
        <v>274</v>
      </c>
      <c r="C70" s="65" t="n">
        <v>46330</v>
      </c>
      <c r="D70" s="66" t="s">
        <v>1607</v>
      </c>
      <c r="E70" s="6" t="s">
        <v>1608</v>
      </c>
    </row>
    <row r="71" customFormat="false" ht="15" hidden="false" customHeight="false" outlineLevel="0" collapsed="false">
      <c r="A71" s="46" t="n">
        <v>5</v>
      </c>
      <c r="B71" s="5" t="s">
        <v>274</v>
      </c>
      <c r="C71" s="65" t="n">
        <v>46330</v>
      </c>
      <c r="D71" s="66" t="s">
        <v>1609</v>
      </c>
      <c r="E71" s="6" t="s">
        <v>1610</v>
      </c>
    </row>
    <row r="72" customFormat="false" ht="15" hidden="false" customHeight="false" outlineLevel="0" collapsed="false">
      <c r="A72" s="46" t="n">
        <v>5</v>
      </c>
      <c r="B72" s="5" t="s">
        <v>274</v>
      </c>
      <c r="C72" s="65" t="n">
        <v>46330</v>
      </c>
      <c r="D72" s="66" t="s">
        <v>1611</v>
      </c>
      <c r="E72" s="6" t="s">
        <v>1612</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8" display="#'Scope &amp; Sequence'.A28"/>
    <hyperlink ref="C61" location="'Scope &amp; Sequence'!A29" display="#'Scope &amp; Sequence'.A29"/>
    <hyperlink ref="C62" location="'Scope &amp; Sequence'!A29" display="#'Scope &amp; Sequence'.A29"/>
    <hyperlink ref="C63" location="'Scope &amp; Sequence'!A29" display="#'Scope &amp; Sequence'.A29"/>
    <hyperlink ref="C64" location="'Scope &amp; Sequence'!A29" display="#'Scope &amp; Sequence'.A29"/>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0" display="#'Scope &amp; Sequence'.A30"/>
    <hyperlink ref="C70" location="'Scope &amp; Sequence'!A31" display="#'Scope &amp; Sequence'.A31"/>
    <hyperlink ref="C71" location="'Scope &amp; Sequence'!A31" display="#'Scope &amp; Sequence'.A31"/>
    <hyperlink ref="C72"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1613</v>
      </c>
      <c r="C1" s="9" t="s">
        <v>958</v>
      </c>
      <c r="D1" s="9" t="s">
        <v>959</v>
      </c>
      <c r="E1" s="9" t="s">
        <v>1614</v>
      </c>
      <c r="F1" s="9" t="s">
        <v>705</v>
      </c>
      <c r="G1" s="9" t="s">
        <v>1615</v>
      </c>
      <c r="H1" s="9" t="s">
        <v>1616</v>
      </c>
      <c r="I1" s="9" t="s">
        <v>1245</v>
      </c>
      <c r="J1" s="9" t="s">
        <v>1617</v>
      </c>
      <c r="K1" s="9" t="s">
        <v>1244</v>
      </c>
      <c r="L1" s="9" t="s">
        <v>1618</v>
      </c>
      <c r="M1" s="9" t="s">
        <v>1619</v>
      </c>
      <c r="N1" s="9" t="s">
        <v>1620</v>
      </c>
    </row>
    <row r="2" customFormat="false" ht="23.85" hidden="false" customHeight="false" outlineLevel="0" collapsed="false">
      <c r="A2" s="55" t="n">
        <v>1</v>
      </c>
      <c r="B2" s="6" t="s">
        <v>1621</v>
      </c>
      <c r="C2" s="52" t="s">
        <v>1247</v>
      </c>
      <c r="D2" s="7"/>
      <c r="E2" s="7"/>
      <c r="F2" s="6" t="s">
        <v>1622</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1623</v>
      </c>
      <c r="C3" s="52" t="s">
        <v>1247</v>
      </c>
      <c r="D3" s="7"/>
      <c r="E3" s="7"/>
      <c r="F3" s="6" t="s">
        <v>1622</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1624</v>
      </c>
      <c r="C4" s="51" t="n">
        <v>46288</v>
      </c>
      <c r="D4" s="51" t="n">
        <v>46310</v>
      </c>
      <c r="E4" s="46" t="n">
        <f aca="false">COUNTIF('Scope &amp; Sequence'!$C$2:$C$132,A4)</f>
        <v>16</v>
      </c>
      <c r="F4" s="6" t="s">
        <v>1625</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1626</v>
      </c>
      <c r="C5" s="51" t="n">
        <v>46311</v>
      </c>
      <c r="D5" s="51" t="n">
        <v>46322</v>
      </c>
      <c r="E5" s="46" t="n">
        <f aca="false">COUNTIF('Scope &amp; Sequence'!$C$2:$C$132,A5)</f>
        <v>8</v>
      </c>
      <c r="F5" s="6" t="s">
        <v>1625</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1627</v>
      </c>
      <c r="C6" s="51" t="n">
        <v>46323</v>
      </c>
      <c r="D6" s="51" t="n">
        <v>46332</v>
      </c>
      <c r="E6" s="46" t="n">
        <f aca="false">COUNTIF('Scope &amp; Sequence'!$C$2:$C$132,A6)</f>
        <v>8</v>
      </c>
      <c r="F6" s="6" t="s">
        <v>1622</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1628</v>
      </c>
      <c r="C7" s="51" t="n">
        <v>46335</v>
      </c>
      <c r="D7" s="51" t="n">
        <v>46358</v>
      </c>
      <c r="E7" s="46" t="n">
        <f aca="false">COUNTIF('Scope &amp; Sequence'!$C$2:$C$132,A7)</f>
        <v>12</v>
      </c>
      <c r="F7" s="52" t="s">
        <v>292</v>
      </c>
      <c r="G7" s="7"/>
      <c r="H7" s="7"/>
      <c r="I7" s="7"/>
      <c r="J7" s="7"/>
      <c r="K7" s="7"/>
      <c r="L7" s="7"/>
      <c r="M7" s="7"/>
      <c r="N7" s="7"/>
    </row>
    <row r="8" customFormat="false" ht="15" hidden="false" customHeight="false" outlineLevel="0" collapsed="false">
      <c r="A8" s="55" t="n">
        <v>7</v>
      </c>
      <c r="B8" s="6" t="s">
        <v>1629</v>
      </c>
      <c r="C8" s="51" t="n">
        <v>46359</v>
      </c>
      <c r="D8" s="51" t="n">
        <v>46367</v>
      </c>
      <c r="E8" s="46" t="n">
        <f aca="false">COUNTIF('Scope &amp; Sequence'!$C$2:$C$132,A8)</f>
        <v>7</v>
      </c>
      <c r="F8" s="52" t="s">
        <v>292</v>
      </c>
      <c r="G8" s="7"/>
      <c r="H8" s="7"/>
      <c r="I8" s="7"/>
      <c r="J8" s="7"/>
      <c r="K8" s="7"/>
      <c r="L8" s="7"/>
      <c r="M8" s="7"/>
      <c r="N8" s="7"/>
    </row>
    <row r="9" customFormat="false" ht="15" hidden="false" customHeight="false" outlineLevel="0" collapsed="false">
      <c r="A9" s="55" t="n">
        <v>8</v>
      </c>
      <c r="B9" s="6" t="s">
        <v>1630</v>
      </c>
      <c r="C9" s="51" t="n">
        <v>46373</v>
      </c>
      <c r="D9" s="51" t="n">
        <v>46395</v>
      </c>
      <c r="E9" s="46" t="n">
        <f aca="false">COUNTIF('Scope &amp; Sequence'!$C$2:$C$132,A9)</f>
        <v>5</v>
      </c>
      <c r="F9" s="52" t="s">
        <v>292</v>
      </c>
      <c r="G9" s="7"/>
      <c r="H9" s="7"/>
      <c r="I9" s="7"/>
      <c r="J9" s="7"/>
      <c r="K9" s="7"/>
      <c r="L9" s="7"/>
      <c r="M9" s="7"/>
      <c r="N9" s="7"/>
    </row>
    <row r="10" customFormat="false" ht="15" hidden="false" customHeight="false" outlineLevel="0" collapsed="false">
      <c r="A10" s="55" t="n">
        <v>9</v>
      </c>
      <c r="B10" s="6" t="s">
        <v>1631</v>
      </c>
      <c r="C10" s="51" t="n">
        <v>46398</v>
      </c>
      <c r="D10" s="51" t="n">
        <v>46409</v>
      </c>
      <c r="E10" s="46" t="n">
        <f aca="false">COUNTIF('Scope &amp; Sequence'!$C$2:$C$132,A10)</f>
        <v>9</v>
      </c>
      <c r="F10" s="52" t="s">
        <v>292</v>
      </c>
      <c r="G10" s="7"/>
      <c r="H10" s="7"/>
      <c r="I10" s="7"/>
      <c r="J10" s="7"/>
      <c r="K10" s="7"/>
      <c r="L10" s="7"/>
      <c r="M10" s="7"/>
      <c r="N10" s="7"/>
    </row>
    <row r="11" customFormat="false" ht="15" hidden="false" customHeight="false" outlineLevel="0" collapsed="false">
      <c r="A11" s="55" t="n">
        <v>10</v>
      </c>
      <c r="B11" s="6" t="s">
        <v>1632</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1633</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1634</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1635</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1636</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1637</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1638</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1639</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1641</v>
      </c>
      <c r="G1" s="9" t="s">
        <v>16</v>
      </c>
      <c r="H1" s="9" t="s">
        <v>18</v>
      </c>
    </row>
    <row r="2" customFormat="false" ht="15" hidden="false" customHeight="false" outlineLevel="0" collapsed="false">
      <c r="A2" s="55" t="n">
        <v>1</v>
      </c>
      <c r="B2" s="5" t="s">
        <v>1642</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1643</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1644</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1645</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1646</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1647</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1648</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1649</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1650</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1651</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1652</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1653</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1654</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1655</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1656</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1657</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1658</v>
      </c>
    </row>
    <row r="2" customFormat="false" ht="23.85" hidden="false" customHeight="false" outlineLevel="0" collapsed="false">
      <c r="A2" s="68" t="s">
        <v>1659</v>
      </c>
    </row>
    <row r="3" customFormat="false" ht="15" hidden="false" customHeight="false" outlineLevel="0" collapsed="false">
      <c r="A3" s="68"/>
    </row>
    <row r="4" customFormat="false" ht="15" hidden="false" customHeight="false" outlineLevel="0" collapsed="false">
      <c r="A4" s="67" t="s">
        <v>1660</v>
      </c>
    </row>
    <row r="5" customFormat="false" ht="23.85" hidden="false" customHeight="false" outlineLevel="0" collapsed="false">
      <c r="A5" s="68" t="s">
        <v>1661</v>
      </c>
    </row>
    <row r="6" customFormat="false" ht="35.05" hidden="false" customHeight="false" outlineLevel="0" collapsed="false">
      <c r="A6" s="68" t="s">
        <v>1662</v>
      </c>
    </row>
    <row r="7" customFormat="false" ht="23.85" hidden="false" customHeight="false" outlineLevel="0" collapsed="false">
      <c r="A7" s="68" t="s">
        <v>1663</v>
      </c>
    </row>
    <row r="8" customFormat="false" ht="15" hidden="false" customHeight="false" outlineLevel="0" collapsed="false">
      <c r="A8" s="68" t="s">
        <v>1664</v>
      </c>
    </row>
    <row r="9" customFormat="false" ht="15" hidden="false" customHeight="false" outlineLevel="0" collapsed="false">
      <c r="A9" s="68" t="s">
        <v>1665</v>
      </c>
    </row>
    <row r="10" customFormat="false" ht="15" hidden="false" customHeight="false" outlineLevel="0" collapsed="false">
      <c r="A10" s="68" t="s">
        <v>1666</v>
      </c>
    </row>
    <row r="11" customFormat="false" ht="15" hidden="false" customHeight="false" outlineLevel="0" collapsed="false">
      <c r="A11" s="68" t="s">
        <v>1667</v>
      </c>
    </row>
    <row r="12" customFormat="false" ht="15" hidden="false" customHeight="false" outlineLevel="0" collapsed="false">
      <c r="A12" s="68" t="s">
        <v>1668</v>
      </c>
    </row>
    <row r="13" customFormat="false" ht="15" hidden="false" customHeight="false" outlineLevel="0" collapsed="false">
      <c r="A13" s="68" t="s">
        <v>1669</v>
      </c>
    </row>
    <row r="14" customFormat="false" ht="15" hidden="false" customHeight="false" outlineLevel="0" collapsed="false">
      <c r="A14" s="68"/>
    </row>
    <row r="15" customFormat="false" ht="15" hidden="false" customHeight="false" outlineLevel="0" collapsed="false">
      <c r="A15" s="67" t="s">
        <v>1670</v>
      </c>
    </row>
    <row r="16" customFormat="false" ht="57.45" hidden="false" customHeight="false" outlineLevel="0" collapsed="false">
      <c r="A16" s="68" t="s">
        <v>1671</v>
      </c>
    </row>
    <row r="17" customFormat="false" ht="23.85" hidden="false" customHeight="false" outlineLevel="0" collapsed="false">
      <c r="A17" s="68" t="s">
        <v>1672</v>
      </c>
    </row>
    <row r="18" customFormat="false" ht="23.85" hidden="false" customHeight="false" outlineLevel="0" collapsed="false">
      <c r="A18" s="68" t="s">
        <v>1673</v>
      </c>
    </row>
    <row r="19" customFormat="false" ht="23.85" hidden="false" customHeight="false" outlineLevel="0" collapsed="false">
      <c r="A19" s="68" t="s">
        <v>1674</v>
      </c>
    </row>
    <row r="20" customFormat="false" ht="15" hidden="false" customHeight="false" outlineLevel="0" collapsed="false">
      <c r="A20" s="68" t="s">
        <v>1675</v>
      </c>
    </row>
    <row r="21" customFormat="false" ht="46.25" hidden="false" customHeight="false" outlineLevel="0" collapsed="false">
      <c r="A21" s="68" t="s">
        <v>1676</v>
      </c>
    </row>
    <row r="22" customFormat="false" ht="23.85" hidden="false" customHeight="false" outlineLevel="0" collapsed="false">
      <c r="A22" s="68" t="s">
        <v>1677</v>
      </c>
    </row>
    <row r="23" customFormat="false" ht="23.85" hidden="false" customHeight="false" outlineLevel="0" collapsed="false">
      <c r="A23" s="68" t="s">
        <v>1678</v>
      </c>
    </row>
    <row r="24" customFormat="false" ht="15" hidden="false" customHeight="false" outlineLevel="0" collapsed="false">
      <c r="A24" s="68"/>
    </row>
    <row r="25" customFormat="false" ht="15" hidden="false" customHeight="false" outlineLevel="0" collapsed="false">
      <c r="A25" s="67" t="s">
        <v>1679</v>
      </c>
    </row>
    <row r="26" customFormat="false" ht="46.25" hidden="false" customHeight="false" outlineLevel="0" collapsed="false">
      <c r="A26" s="68" t="s">
        <v>1680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1681</v>
      </c>
      <c r="P1" s="69" t="s">
        <v>1682</v>
      </c>
      <c r="Q1" s="69" t="s">
        <v>1683</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1684</v>
      </c>
      <c r="N2" s="69"/>
      <c r="O2" s="69" t="s">
        <v>1685</v>
      </c>
      <c r="P2" s="69" t="s">
        <v>1686</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1687</v>
      </c>
      <c r="N3" s="69"/>
      <c r="O3" s="69" t="s">
        <v>1688</v>
      </c>
      <c r="P3" s="69" t="s">
        <v>1686</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1689</v>
      </c>
      <c r="N4" s="69"/>
      <c r="O4" s="69" t="s">
        <v>1690</v>
      </c>
      <c r="P4" s="69" t="s">
        <v>1686</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1691</v>
      </c>
      <c r="N5" s="69"/>
      <c r="O5" s="69" t="s">
        <v>1692</v>
      </c>
      <c r="P5" s="69" t="s">
        <v>1686</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1693</v>
      </c>
      <c r="N6" s="69"/>
      <c r="O6" s="69" t="s">
        <v>1694</v>
      </c>
      <c r="P6" s="69" t="s">
        <v>1686</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1695</v>
      </c>
      <c r="N7" s="69"/>
      <c r="O7" s="69" t="s">
        <v>1696</v>
      </c>
      <c r="P7" s="69" t="s">
        <v>1686</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1697</v>
      </c>
      <c r="P8" s="69" t="s">
        <v>1686</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1698</v>
      </c>
      <c r="P9" s="69" t="s">
        <v>1686</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1699</v>
      </c>
      <c r="N10" s="69"/>
      <c r="O10" s="69" t="s">
        <v>1700</v>
      </c>
      <c r="P10" s="69" t="s">
        <v>1686</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1701</v>
      </c>
      <c r="N11" s="69"/>
      <c r="O11" s="69" t="s">
        <v>1702</v>
      </c>
      <c r="P11" s="69" t="s">
        <v>1686</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1703</v>
      </c>
      <c r="N12" s="69"/>
      <c r="O12" s="69" t="s">
        <v>1704</v>
      </c>
      <c r="P12" s="69" t="s">
        <v>1686</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1705</v>
      </c>
      <c r="P13" s="69" t="s">
        <v>1686</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1706</v>
      </c>
      <c r="N14" s="69"/>
      <c r="O14" s="69" t="s">
        <v>1707</v>
      </c>
      <c r="P14" s="69" t="s">
        <v>1686</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1708</v>
      </c>
      <c r="P15" s="69" t="s">
        <v>1686</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1709</v>
      </c>
      <c r="P16" s="69" t="s">
        <v>1686</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1710</v>
      </c>
      <c r="P17" s="69" t="s">
        <v>1686</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1711</v>
      </c>
      <c r="N18" s="69"/>
      <c r="O18" s="69" t="s">
        <v>1712</v>
      </c>
      <c r="P18" s="69" t="s">
        <v>1686</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1713</v>
      </c>
      <c r="N19" s="69"/>
      <c r="O19" s="69" t="s">
        <v>1714</v>
      </c>
      <c r="P19" s="69" t="s">
        <v>1686</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1715</v>
      </c>
      <c r="N20" s="69"/>
      <c r="O20" s="69" t="s">
        <v>1716</v>
      </c>
      <c r="P20" s="69" t="s">
        <v>1686</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1717</v>
      </c>
      <c r="N21" s="69"/>
      <c r="O21" s="69" t="s">
        <v>1718</v>
      </c>
      <c r="P21" s="69" t="s">
        <v>1686</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1719</v>
      </c>
      <c r="N22" s="69"/>
      <c r="O22" s="69" t="s">
        <v>1720</v>
      </c>
      <c r="P22" s="69" t="s">
        <v>1686</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1721</v>
      </c>
      <c r="N23" s="69"/>
      <c r="O23" s="69" t="s">
        <v>1722</v>
      </c>
      <c r="P23" s="69" t="s">
        <v>1686</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1723</v>
      </c>
      <c r="P24" s="69" t="s">
        <v>1686</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1724</v>
      </c>
      <c r="P25" s="69" t="s">
        <v>1686</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1725</v>
      </c>
      <c r="N26" s="69"/>
      <c r="O26" s="69" t="s">
        <v>1726</v>
      </c>
      <c r="P26" s="69" t="s">
        <v>1686</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1727</v>
      </c>
      <c r="N27" s="69"/>
      <c r="O27" s="69" t="s">
        <v>1728</v>
      </c>
      <c r="P27" s="69" t="s">
        <v>1729</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1730</v>
      </c>
      <c r="N28" s="69"/>
      <c r="O28" s="69" t="s">
        <v>1731</v>
      </c>
      <c r="P28" s="69" t="s">
        <v>1686</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1732</v>
      </c>
      <c r="N29" s="69"/>
      <c r="O29" s="69" t="s">
        <v>1733</v>
      </c>
      <c r="P29" s="69" t="s">
        <v>1686</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1734</v>
      </c>
      <c r="N30" s="69"/>
      <c r="O30" s="69" t="s">
        <v>1735</v>
      </c>
      <c r="P30" s="69" t="s">
        <v>1686</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1736</v>
      </c>
      <c r="N31" s="69"/>
      <c r="O31" s="69" t="s">
        <v>1737</v>
      </c>
      <c r="P31" s="69" t="s">
        <v>1686</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1738</v>
      </c>
      <c r="P32" s="69" t="s">
        <v>1686</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1739</v>
      </c>
      <c r="P33" s="69" t="s">
        <v>1686</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1740</v>
      </c>
      <c r="N34" s="69"/>
      <c r="O34" s="69" t="s">
        <v>1741</v>
      </c>
      <c r="P34" s="69" t="s">
        <v>1729</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1742</v>
      </c>
      <c r="N35" s="69"/>
      <c r="O35" s="69" t="s">
        <v>1743</v>
      </c>
      <c r="P35" s="69" t="s">
        <v>1729</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1744</v>
      </c>
      <c r="N36" s="69"/>
      <c r="O36" s="69" t="s">
        <v>1745</v>
      </c>
      <c r="P36" s="69" t="s">
        <v>1686</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1746</v>
      </c>
      <c r="N37" s="69"/>
      <c r="O37" s="69" t="s">
        <v>1747</v>
      </c>
      <c r="P37" s="69" t="s">
        <v>1686</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1748</v>
      </c>
      <c r="N38" s="69"/>
      <c r="O38" s="69" t="s">
        <v>1749</v>
      </c>
      <c r="P38" s="69" t="s">
        <v>1686</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1750</v>
      </c>
      <c r="N39" s="69"/>
      <c r="O39" s="69" t="s">
        <v>1751</v>
      </c>
      <c r="P39" s="69" t="s">
        <v>1686</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1752</v>
      </c>
      <c r="N40" s="69"/>
      <c r="O40" s="69" t="s">
        <v>1753</v>
      </c>
      <c r="P40" s="69" t="s">
        <v>1686</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1754</v>
      </c>
      <c r="N41" s="69"/>
      <c r="O41" s="69" t="s">
        <v>1755</v>
      </c>
      <c r="P41" s="69" t="s">
        <v>1686</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1756</v>
      </c>
      <c r="P42" s="69" t="s">
        <v>1729</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1757</v>
      </c>
      <c r="P43" s="69" t="s">
        <v>1729</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1758</v>
      </c>
      <c r="P44" s="69" t="s">
        <v>1686</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1759</v>
      </c>
      <c r="P45" s="69" t="s">
        <v>1686</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1760</v>
      </c>
      <c r="N46" s="69"/>
      <c r="O46" s="69" t="s">
        <v>1761</v>
      </c>
      <c r="P46" s="69" t="s">
        <v>1686</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1762</v>
      </c>
      <c r="N47" s="69"/>
      <c r="O47" s="69" t="s">
        <v>1763</v>
      </c>
      <c r="P47" s="69" t="s">
        <v>1686</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1764</v>
      </c>
      <c r="N48" s="69"/>
      <c r="O48" s="69" t="s">
        <v>1765</v>
      </c>
      <c r="P48" s="69" t="s">
        <v>1686</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t="s">
        <v>1766</v>
      </c>
      <c r="N49" s="69"/>
      <c r="O49" s="69" t="s">
        <v>1767</v>
      </c>
      <c r="P49" s="69" t="s">
        <v>1686</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1768</v>
      </c>
      <c r="N50" s="69"/>
      <c r="O50" s="69" t="s">
        <v>1769</v>
      </c>
      <c r="P50" s="69" t="s">
        <v>1729</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1770</v>
      </c>
      <c r="P51" s="69" t="s">
        <v>1729</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1771</v>
      </c>
      <c r="P52" s="69" t="s">
        <v>1686</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1772</v>
      </c>
      <c r="P53" s="69" t="s">
        <v>1686</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1773</v>
      </c>
      <c r="P54" s="69" t="s">
        <v>1686</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1774</v>
      </c>
      <c r="P55" s="69" t="s">
        <v>1686</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t="s">
        <v>1775</v>
      </c>
      <c r="N56" s="69"/>
      <c r="O56" s="69" t="s">
        <v>1776</v>
      </c>
      <c r="P56" s="69" t="s">
        <v>1686</v>
      </c>
      <c r="Q56"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7" customFormat="false" ht="15" hidden="false" customHeight="false" outlineLevel="0" collapsed="false">
      <c r="A57" s="70" t="n">
        <v>46374</v>
      </c>
      <c r="B57" s="69"/>
      <c r="C57" s="69"/>
      <c r="D57" s="69"/>
      <c r="E57" s="69"/>
      <c r="F57" s="69"/>
      <c r="G57" s="69"/>
      <c r="H57" s="69"/>
      <c r="I57" s="69"/>
      <c r="J57" s="69"/>
      <c r="K57" s="69"/>
      <c r="L57" s="69"/>
      <c r="M57" s="69" t="s">
        <v>1777</v>
      </c>
      <c r="N57" s="69"/>
      <c r="O57" s="69" t="s">
        <v>1778</v>
      </c>
      <c r="P57" s="69" t="s">
        <v>1686</v>
      </c>
      <c r="Q57"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8" customFormat="false" ht="15" hidden="false" customHeight="false" outlineLevel="0" collapsed="false">
      <c r="A58" s="70" t="n">
        <v>46393</v>
      </c>
      <c r="B58" s="69"/>
      <c r="C58" s="69"/>
      <c r="D58" s="69"/>
      <c r="E58" s="69"/>
      <c r="F58" s="69"/>
      <c r="G58" s="69"/>
      <c r="H58" s="69"/>
      <c r="I58" s="69"/>
      <c r="J58" s="69"/>
      <c r="K58" s="69"/>
      <c r="L58" s="69"/>
      <c r="M58" s="69" t="s">
        <v>1779</v>
      </c>
      <c r="N58" s="69"/>
      <c r="O58" s="69" t="s">
        <v>1780</v>
      </c>
      <c r="P58" s="69" t="s">
        <v>1729</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1781</v>
      </c>
      <c r="N59" s="69"/>
      <c r="O59" s="69" t="s">
        <v>1782</v>
      </c>
      <c r="P59" s="69" t="s">
        <v>1729</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1783</v>
      </c>
      <c r="N60" s="69"/>
      <c r="O60" s="69" t="s">
        <v>1784</v>
      </c>
      <c r="P60" s="69" t="s">
        <v>1686</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1785</v>
      </c>
      <c r="N61" s="69"/>
      <c r="O61" s="69" t="s">
        <v>1786</v>
      </c>
      <c r="P61" s="69" t="s">
        <v>1686</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1787</v>
      </c>
      <c r="N62" s="69"/>
      <c r="O62" s="69" t="s">
        <v>1788</v>
      </c>
      <c r="P62" s="69" t="s">
        <v>1686</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1789</v>
      </c>
      <c r="P63" s="69" t="s">
        <v>1686</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1790</v>
      </c>
      <c r="P64" s="69" t="s">
        <v>1686</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1791</v>
      </c>
      <c r="P65" s="69" t="s">
        <v>1686</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1792</v>
      </c>
      <c r="P66" s="69" t="s">
        <v>1729</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1793</v>
      </c>
      <c r="P67" s="69" t="s">
        <v>1686</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1794</v>
      </c>
      <c r="P68" s="69" t="s">
        <v>1686</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1795</v>
      </c>
      <c r="P69" s="69" t="s">
        <v>1686</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1796</v>
      </c>
      <c r="N70" s="69"/>
      <c r="O70" s="69" t="s">
        <v>1797</v>
      </c>
      <c r="P70" s="69" t="s">
        <v>1686</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1798</v>
      </c>
      <c r="N71" s="69"/>
      <c r="O71" s="69" t="s">
        <v>1799</v>
      </c>
      <c r="P71" s="69" t="s">
        <v>1686</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1800</v>
      </c>
      <c r="N72" s="69"/>
      <c r="O72" s="69" t="s">
        <v>1801</v>
      </c>
      <c r="P72" s="69" t="s">
        <v>1686</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1802</v>
      </c>
      <c r="N73" s="69"/>
      <c r="O73" s="69" t="s">
        <v>1803</v>
      </c>
      <c r="P73" s="69" t="s">
        <v>1686</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1804</v>
      </c>
      <c r="N74" s="69"/>
      <c r="O74" s="69" t="s">
        <v>1805</v>
      </c>
      <c r="P74" s="69" t="s">
        <v>1686</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1806</v>
      </c>
      <c r="N75" s="69"/>
      <c r="O75" s="69" t="s">
        <v>1807</v>
      </c>
      <c r="P75" s="69" t="s">
        <v>1686</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1808</v>
      </c>
      <c r="N76" s="69"/>
      <c r="O76" s="69" t="s">
        <v>1809</v>
      </c>
      <c r="P76" s="69" t="s">
        <v>1686</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1810</v>
      </c>
      <c r="N77" s="69"/>
      <c r="O77" s="69" t="s">
        <v>1811</v>
      </c>
      <c r="P77" s="69" t="s">
        <v>1686</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1812</v>
      </c>
      <c r="P78" s="69" t="s">
        <v>1686</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1813</v>
      </c>
      <c r="P79" s="69" t="s">
        <v>1686</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1814</v>
      </c>
      <c r="N80" s="69"/>
      <c r="O80" s="69" t="s">
        <v>1815</v>
      </c>
      <c r="P80" s="69" t="s">
        <v>1686</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1816</v>
      </c>
      <c r="N81" s="69"/>
      <c r="O81" s="69" t="s">
        <v>1817</v>
      </c>
      <c r="P81" s="69" t="s">
        <v>1686</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1818</v>
      </c>
      <c r="N82" s="69"/>
      <c r="O82" s="69" t="s">
        <v>1819</v>
      </c>
      <c r="P82" s="69" t="s">
        <v>1686</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1820</v>
      </c>
      <c r="N83" s="69"/>
      <c r="O83" s="69" t="s">
        <v>1821</v>
      </c>
      <c r="P83" s="69" t="s">
        <v>1686</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1822</v>
      </c>
      <c r="N84" s="69"/>
      <c r="O84" s="69" t="s">
        <v>1823</v>
      </c>
      <c r="P84" s="69" t="s">
        <v>1686</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1824</v>
      </c>
      <c r="N85" s="69"/>
      <c r="O85" s="69" t="s">
        <v>1825</v>
      </c>
      <c r="P85" s="69" t="s">
        <v>1686</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1826</v>
      </c>
      <c r="N86" s="69"/>
      <c r="O86" s="69" t="s">
        <v>1827</v>
      </c>
      <c r="P86" s="69" t="s">
        <v>1686</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1828</v>
      </c>
      <c r="P87" s="69" t="s">
        <v>1686</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1829</v>
      </c>
      <c r="P88" s="69" t="s">
        <v>1686</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1830</v>
      </c>
      <c r="P89" s="69" t="s">
        <v>1686</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1831</v>
      </c>
      <c r="N90" s="69"/>
      <c r="O90" s="69" t="s">
        <v>1832</v>
      </c>
      <c r="P90" s="69" t="s">
        <v>1686</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1833</v>
      </c>
      <c r="N91" s="69"/>
      <c r="O91" s="69" t="s">
        <v>1834</v>
      </c>
      <c r="P91" s="69" t="s">
        <v>1686</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1835</v>
      </c>
      <c r="N92" s="69"/>
      <c r="O92" s="69" t="s">
        <v>1836</v>
      </c>
      <c r="P92" s="69" t="s">
        <v>1686</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1837</v>
      </c>
      <c r="N93" s="69"/>
      <c r="O93" s="69" t="s">
        <v>1838</v>
      </c>
      <c r="P93" s="69" t="s">
        <v>1686</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1839</v>
      </c>
      <c r="P94" s="69" t="s">
        <v>1686</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1840</v>
      </c>
      <c r="N95" s="69"/>
      <c r="O95" s="69" t="s">
        <v>1841</v>
      </c>
      <c r="P95" s="69" t="s">
        <v>1686</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1842</v>
      </c>
      <c r="N96" s="69"/>
      <c r="O96" s="69" t="s">
        <v>1843</v>
      </c>
      <c r="P96" s="69" t="s">
        <v>1686</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1844</v>
      </c>
      <c r="P97" s="69" t="s">
        <v>1686</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1845</v>
      </c>
      <c r="P98" s="69" t="s">
        <v>1686</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1846</v>
      </c>
      <c r="P99" s="69" t="s">
        <v>1686</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1847</v>
      </c>
      <c r="P100" s="69" t="s">
        <v>1686</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1848</v>
      </c>
      <c r="N101" s="69"/>
      <c r="O101" s="69" t="s">
        <v>1849</v>
      </c>
      <c r="P101" s="69" t="s">
        <v>1686</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1850</v>
      </c>
      <c r="N102" s="69"/>
      <c r="O102" s="69" t="s">
        <v>1851</v>
      </c>
      <c r="P102" s="69" t="s">
        <v>1686</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1852</v>
      </c>
      <c r="N103" s="69"/>
      <c r="O103" s="69" t="s">
        <v>1853</v>
      </c>
      <c r="P103" s="69" t="s">
        <v>1686</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1854</v>
      </c>
      <c r="N104" s="69"/>
      <c r="O104" s="69" t="s">
        <v>1855</v>
      </c>
      <c r="P104" s="69" t="s">
        <v>1686</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1856</v>
      </c>
      <c r="N105" s="69"/>
      <c r="O105" s="69" t="s">
        <v>1857</v>
      </c>
      <c r="P105" s="69" t="s">
        <v>1686</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1858</v>
      </c>
      <c r="N106" s="69"/>
      <c r="O106" s="69" t="s">
        <v>1859</v>
      </c>
      <c r="P106" s="69" t="s">
        <v>1686</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t="s">
        <v>1860</v>
      </c>
      <c r="N107" s="69"/>
      <c r="O107" s="69" t="s">
        <v>1861</v>
      </c>
      <c r="P107" s="69" t="s">
        <v>1686</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1862</v>
      </c>
      <c r="P108" s="69" t="s">
        <v>1686</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1863</v>
      </c>
      <c r="P109" s="69" t="s">
        <v>1686</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1864</v>
      </c>
      <c r="N110" s="69"/>
      <c r="O110" s="69" t="s">
        <v>1865</v>
      </c>
      <c r="P110" s="69" t="s">
        <v>1686</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1866</v>
      </c>
      <c r="N111" s="69"/>
      <c r="O111" s="69" t="s">
        <v>1867</v>
      </c>
      <c r="P111" s="69" t="s">
        <v>1686</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1868</v>
      </c>
      <c r="N112" s="69"/>
      <c r="O112" s="69" t="s">
        <v>1869</v>
      </c>
      <c r="P112" s="69" t="s">
        <v>1686</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1870</v>
      </c>
      <c r="P113" s="69" t="s">
        <v>1686</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1871</v>
      </c>
      <c r="P114" s="69" t="s">
        <v>1686</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1872</v>
      </c>
      <c r="N115" s="69"/>
      <c r="O115" s="69" t="s">
        <v>1873</v>
      </c>
      <c r="P115" s="69" t="s">
        <v>1686</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1874</v>
      </c>
      <c r="N116" s="69"/>
      <c r="O116" s="69" t="s">
        <v>1875</v>
      </c>
      <c r="P116" s="69" t="s">
        <v>1686</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1876</v>
      </c>
      <c r="N117" s="69"/>
      <c r="O117" s="69" t="s">
        <v>1877</v>
      </c>
      <c r="P117" s="69" t="s">
        <v>1686</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1878</v>
      </c>
      <c r="N118" s="69"/>
      <c r="O118" s="69" t="s">
        <v>1879</v>
      </c>
      <c r="P118" s="69" t="s">
        <v>1686</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1880</v>
      </c>
      <c r="N119" s="69"/>
      <c r="O119" s="69" t="s">
        <v>1881</v>
      </c>
      <c r="P119" s="69" t="s">
        <v>1686</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1882</v>
      </c>
      <c r="N120" s="69"/>
      <c r="O120" s="69" t="s">
        <v>1883</v>
      </c>
      <c r="P120" s="69" t="s">
        <v>1686</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1884</v>
      </c>
      <c r="N121" s="69"/>
      <c r="O121" s="69" t="s">
        <v>1885</v>
      </c>
      <c r="P121" s="69" t="s">
        <v>1686</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1886</v>
      </c>
      <c r="N122" s="69"/>
      <c r="O122" s="69" t="s">
        <v>1887</v>
      </c>
      <c r="P122" s="69" t="s">
        <v>1686</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1888</v>
      </c>
      <c r="N123" s="69"/>
      <c r="O123" s="69" t="s">
        <v>1889</v>
      </c>
      <c r="P123" s="69" t="s">
        <v>1686</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1890</v>
      </c>
      <c r="N124" s="69"/>
      <c r="O124" s="69" t="s">
        <v>1891</v>
      </c>
      <c r="P124" s="69" t="s">
        <v>1686</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1892</v>
      </c>
      <c r="P125" s="69" t="s">
        <v>1686</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1893</v>
      </c>
      <c r="P126" s="69" t="s">
        <v>1686</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1894</v>
      </c>
      <c r="N127" s="69"/>
      <c r="O127" s="69" t="s">
        <v>1895</v>
      </c>
      <c r="P127" s="69" t="s">
        <v>1686</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1896</v>
      </c>
      <c r="N128" s="69"/>
      <c r="O128" s="69" t="s">
        <v>1897</v>
      </c>
      <c r="P128" s="69" t="s">
        <v>1686</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1898</v>
      </c>
      <c r="P129" s="69" t="s">
        <v>1686</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1899</v>
      </c>
      <c r="P130" s="69" t="s">
        <v>1686</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1900</v>
      </c>
      <c r="P131" s="69" t="s">
        <v>1686</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1901</v>
      </c>
      <c r="P132" s="69" t="s">
        <v>1686</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1902</v>
      </c>
      <c r="P133" s="69" t="s">
        <v>1686</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1903</v>
      </c>
      <c r="P134" s="69" t="s">
        <v>1686</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1904</v>
      </c>
      <c r="P135" s="69" t="s">
        <v>1686</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1905</v>
      </c>
      <c r="P136" s="69" t="s">
        <v>1686</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1906</v>
      </c>
      <c r="P137" s="69" t="s">
        <v>1686</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1907</v>
      </c>
      <c r="P138" s="69" t="s">
        <v>1686</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1908</v>
      </c>
      <c r="P139" s="69" t="s">
        <v>1686</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1909</v>
      </c>
      <c r="P140" s="69" t="s">
        <v>1686</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1910</v>
      </c>
      <c r="P141" s="69" t="s">
        <v>1686</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1911</v>
      </c>
      <c r="P142" s="69" t="s">
        <v>1686</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1912</v>
      </c>
      <c r="P143" s="69" t="s">
        <v>1686</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1913</v>
      </c>
      <c r="P144" s="69" t="s">
        <v>1686</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1914</v>
      </c>
      <c r="P145" s="69" t="s">
        <v>1686</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1915</v>
      </c>
      <c r="P146" s="69" t="s">
        <v>1686</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1916</v>
      </c>
      <c r="P147" s="69" t="s">
        <v>1686</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1917</v>
      </c>
      <c r="P148" s="69" t="s">
        <v>1686</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1918</v>
      </c>
      <c r="P149" s="69" t="s">
        <v>1686</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1919</v>
      </c>
      <c r="P150" s="69" t="s">
        <v>1686</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1920</v>
      </c>
      <c r="P151" s="69" t="s">
        <v>1686</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1921</v>
      </c>
      <c r="P152" s="69" t="s">
        <v>1686</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1922</v>
      </c>
      <c r="P153" s="69" t="s">
        <v>1686</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1923</v>
      </c>
      <c r="P154" s="69" t="s">
        <v>1686</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1924</v>
      </c>
      <c r="P155" s="69" t="s">
        <v>1686</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1925</v>
      </c>
      <c r="P156" s="69" t="s">
        <v>1686</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1926</v>
      </c>
      <c r="P157" s="69" t="s">
        <v>1686</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1927</v>
      </c>
      <c r="P158" s="69" t="s">
        <v>1686</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1928</v>
      </c>
      <c r="P159" s="69" t="s">
        <v>1686</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1929</v>
      </c>
      <c r="P160" s="69" t="s">
        <v>1686</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1930</v>
      </c>
      <c r="B1" s="71" t="s">
        <v>1931</v>
      </c>
      <c r="C1" s="71" t="s">
        <v>1932</v>
      </c>
      <c r="D1" s="71" t="s">
        <v>1933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2026-10-18T13:42:22Z</dcterms:created>
  <dc:creator>openpyxl</dc:creator>
  <dc:description/>
  <dc:language>en-US</dc:language>
  <cp:lastModifiedBy/>
  <dcterms:modified xsi:type="dcterms:W3CDTF">2026-10-18T13:42:23Z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