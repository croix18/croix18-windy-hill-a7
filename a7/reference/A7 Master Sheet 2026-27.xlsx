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9"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Z21"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<sst xmlns="http://schemas.openxmlformats.org/spreadsheetml/2006/main" count="2720" uniqueCount="1839">
  <si>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</si>
  <si>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</si>
  <si>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</si>
  <si>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</si>
  <si>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</si>
  <si>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</si>
  <si>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</si>
  <si>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</si>
  <si>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</si>
  <si>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</si>
  <si>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</si>
  <si>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</si>
  <si>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</si>
  <si>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</si>
  <si>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</si>
  <si>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</si>
  <si>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</si>
  <si>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</si>
  <si>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</si>
  <si>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</si>
  <si>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</si>
  <si>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</si>
  <si>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</si>
  <si>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</si>
  <si>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</si>
  <si>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</si>
  <si>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</si>
  <si>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</si>
  <si>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</si>
  <si>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</si>
  <si>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</si>
  <si>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</si>
  <si>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</si>
  <si>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</si>
  <si>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</si>
  <si>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</si>
  <si>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</si>
  <si>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</si>
  <si>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</si>
  <si>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</si>
  <si>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</si>
  <si>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</si>
  <si>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</si>
  <si>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</si>
  <si>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</si>
  <si>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</si>
  <si>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</si>
  <si>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</si>
  <si>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</si>
  <si>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</si>
  <si>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</si>
  <si>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</si>
  <si>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</si>
  <si>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</si>
  <si>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</si>
  <si>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</si>
  <si>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</si>
  <si>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</si>
  <si>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</si>
  <si>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</si>
  <si>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</si>
  <si>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</si>
  <si>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</si>
  <si>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</si>
  <si>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</si>
  <si>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</si>
  <si>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</si>
  <si>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</si>
  <si>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</si>
  <si>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</si>
  <si>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</si>
  <si>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</si>
  <si>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</si>
  <si>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</si>
  <si>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</si>
  <si>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</si>
  <si>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</si>
  <si>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</si>
  <si>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</si>
  <si>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</si>
  <si>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</si>
  <si>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</si>
  <si>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</si>
  <si>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</si>
  <si>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</si>
  <si>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</si>
  <si>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</si>
  <si>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</si>
  <si>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</si>
  <si>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</si>
  <si>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</si>
  <si>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</si>
  <si>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</si>
  <si>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</si>
  <si>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</si>
  <si>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</si>
  <si>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</si>
  <si>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</si>
  <si>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</si>
  <si>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</si>
  <si>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</si>
  <si>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</si>
  <si>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</si>
  <si>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</si>
  <si>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</si>
  <si>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</si>
  <si>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</si>
  <si>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</si>
  <si>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</si>
  <si>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</si>
  <si>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</si>
  <si>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</si>
  <si>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</si>
  <si>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</si>
  <si>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</si>
  <si>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</si>
  <si>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</si>
  <si>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</si>
  <si>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</si>
  <si>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</si>
  <si>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</si>
  <si>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</si>
  <si>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</si>
  <si>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</si>
  <si>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</si>
  <si>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</si>
  <si>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</si>
  <si>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</si>
  <si>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</si>
  <si>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</si>
  <si>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</si>
  <si>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</si>
  <si>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</si>
  <si>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</si>
  <si>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</si>
  <si>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</si>
  <si>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</si>
  <si>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</si>
  <si>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</si>
  <si>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</si>
  <si>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</si>
  <si>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</si>
  <si>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</si>
  <si>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</si>
  <si>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</si>
  <si>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</si>
  <si>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</si>
  <si>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</si>
  <si>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</si>
  <si>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</si>
  <si>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</si>
  <si>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</si>
  <si>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</si>
  <si>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</si>
  <si>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</si>
  <si>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</si>
  <si>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</si>
  <si>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</si>
  <si>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</si>
  <si>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</si>
  <si>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</si>
  <si>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</si>
  <si>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</si>
  <si>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</si>
  <si>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</si>
  <si>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</si>
  <si>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</si>
  <si>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</si>
  <si>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</si>
  <si>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</si>
  <si>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</si>
  <si>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</si>
  <si>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</si>
  <si>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</si>
  <si>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</si>
  <si>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</si>
  <si>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</si>
  <si>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</si>
  <si>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</si>
  <si>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</si>
  <si>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</si>
  <si>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</si>
  <si>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</si>
  <si>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</si>
  <si>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</si>
  <si>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</si>
  <si>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</si>
  <si>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</si>
  <si>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</si>
  <si>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</si>
  <si>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</si>
  <si>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</si>
  <si>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</si>
  <si>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</si>
  <si>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</si>
  <si>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</si>
  <si>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</si>
  <si>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</si>
  <si>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</si>
  <si>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</si>
  <si>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</si>
  <si>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</si>
  <si>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</si>
  <si>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</si>
  <si>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</si>
  <si>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</si>
  <si>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</si>
  <si>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</si>
  <si>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</si>
  <si>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</si>
  <si>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</si>
  <si>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</si>
  <si>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</si>
  <si>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</si>
  <si>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</si>
  <si>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</si>
  <si>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</si>
  <si>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</si>
  <si>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</si>
  <si>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</si>
  <si>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</si>
  <si>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</si>
  <si>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</si>
  <si>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</si>
  <si>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</si>
  <si>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</si>
  <si>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</si>
  <si>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</si>
  <si>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</si>
  <si>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</si>
  <si>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</si>
  <si>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</si>
  <si>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</si>
  <si>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</si>
  <si>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</si>
  <si>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</si>
  <si>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</si>
  <si>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</si>
  <si>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</si>
  <si>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</si>
  <si>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</si>
  <si>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</si>
  <si>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</si>
  <si>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</si>
  <si>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</si>
  <si>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</si>
  <si>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</si>
  <si>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</si>
  <si>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</si>
  <si>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</si>
  <si>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</si>
  <si>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</si>
  <si>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</si>
  <si>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</si>
  <si>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</si>
  <si>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</si>
  <si>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</si>
  <si>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</si>
  <si>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</si>
  <si>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</si>
  <si>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</si>
  <si>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</si>
  <si>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</si>
  <si>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</si>
  <si>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</si>
  <si>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</si>
  <si>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</si>
  <si>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</si>
  <si>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</si>
  <si>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</si>
  <si>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</si>
  <si>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</si>
  <si>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</si>
  <si>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</si>
  <si>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</si>
  <si>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</si>
  <si>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</si>
  <si>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</si>
  <si>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</si>
  <si>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</si>
  <si>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</si>
  <si>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</si>
  <si>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</si>
  <si>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</si>
  <si>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</si>
  <si>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</si>
  <si>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</si>
  <si>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</si>
  <si>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</si>
  <si>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</si>
  <si>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</si>
  <si>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</si>
  <si>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</si>
  <si>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</si>
  <si>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</si>
  <si>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</si>
  <si>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</si>
  <si>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</si>
  <si>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</si>
  <si>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</si>
  <si>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</si>
  <si>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</si>
  <si>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</si>
  <si>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</si>
  <si>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</si>
  <si>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</si>
  <si>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</si>
  <si>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</si>
  <si>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</si>
  <si>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</si>
  <si>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</si>
  <si>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</si>
  <si>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</si>
  <si>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</si>
  <si>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</si>
  <si>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</si>
  <si>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</si>
  <si>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</si>
  <si>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</si>
  <si>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</si>
  <si>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</si>
  <si>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</si>
  <si>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</si>
  <si>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</si>
  <si>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</si>
  <si>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</si>
  <si>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</si>
  <si>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</si>
  <si>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</si>
  <si>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</si>
  <si>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</si>
  <si>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</si>
  <si>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</si>
  <si>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</si>
  <si>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</si>
  <si>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</si>
  <si>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</si>
  <si>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</si>
  <si>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</si>
  <si>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</si>
  <si>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</si>
  <si>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</si>
  <si>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</si>
  <si>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</si>
  <si>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</si>
  <si>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</si>
  <si>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</si>
  <si>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</si>
  <si>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</si>
  <si>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</si>
  <si>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</si>
  <si>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</si>
  <si>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</si>
  <si>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</si>
  <si>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</si>
  <si>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</si>
  <si>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</si>
  <si>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</si>
  <si>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</si>
  <si>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</si>
  <si>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</si>
  <si>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</si>
  <si>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</si>
  <si>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</si>
  <si>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</si>
  <si>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</si>
  <si>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</si>
  <si>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</si>
  <si>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</si>
  <si>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</si>
  <si>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</si>
  <si>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</si>
  <si>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</si>
  <si>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</si>
  <si>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</si>
  <si>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</si>
  <si>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</si>
  <si>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</si>
  <si>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</si>
  <si>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</si>
  <si>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</si>
  <si>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</si>
  <si>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</si>
  <si>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</si>
  <si>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</si>
  <si>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</si>
  <si>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</si>
  <si>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</si>
  <si>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</si>
  <si>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</si>
  <si>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</si>
  <si>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</si>
  <si>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</si>
  <si>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</si>
  <si>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</si>
  <si>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</si>
  <si>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</si>
  <si>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</si>
  <si>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</si>
  <si>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</si>
  <si>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</si>
  <si>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</si>
  <si>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</si>
  <si>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</si>
  <si>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</si>
  <si>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</si>
  <si>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</si>
  <si>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</si>
  <si>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</si>
  <si>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</si>
  <si>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</si>
  <si>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</si>
  <si>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</si>
  <si>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</si>
  <si>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</si>
  <si>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</si>
  <si>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</si>
  <si>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</si>
  <si>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</si>
  <si>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</si>
  <si>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</si>
  <si>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</si>
  <si>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</si>
  <si>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</si>
  <si>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</si>
  <si>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</si>
  <si>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</si>
  <si>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</si>
  <si>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</si>
  <si>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</si>
  <si>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</si>
  <si>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</si>
  <si>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</si>
  <si>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</si>
  <si>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</si>
  <si>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</si>
  <si>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</si>
  <si>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</si>
  <si>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</si>
  <si>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</si>
  <si>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</si>
  <si>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</si>
  <si>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</si>
  <si>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</si>
  <si>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</si>
  <si>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</si>
  <si>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</si>
  <si>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</si>
  <si>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</si>
  <si>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</si>
  <si>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</si>
  <si>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</si>
  <si>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</si>
  <si>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</si>
  <si>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</si>
  <si>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</si>
  <si>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</si>
  <si>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</si>
  <si>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</si>
  <si>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</si>
  <si>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</si>
  <si>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</si>
  <si>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</si>
  <si>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</si>
  <si>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</si>
  <si>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</si>
  <si>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</si>
  <si>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</si>
  <si>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</si>
  <si>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</si>
  <si>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</si>
  <si>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</si>
  <si>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</si>
  <si>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</si>
  <si>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</si>
  <si>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</si>
  <si>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</si>
  <si>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</si>
  <si>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</si>
  <si>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</si>
  <si>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</si>
  <si>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</si>
  <si>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</si>
  <si>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</si>
  <si>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</si>
  <si>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</si>
  <si>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</si>
  <si>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</si>
  <si>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</si>
  <si>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</si>
  <si>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</si>
  <si>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</si>
  <si>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</si>
  <si>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</si>
  <si>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</si>
  <si>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</si>
  <si>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</si>
  <si>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</si>
  <si>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</si>
  <si>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</si>
  <si>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</si>
  <si>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</si>
  <si>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</si>
  <si>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</si>
  <si>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</si>
  <si>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</si>
  <si>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</si>
  <si>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</si>
  <si>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</si>
  <si>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</si>
  <si>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</si>
  <si>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</si>
  <si>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</si>
  <si>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</si>
  <si>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</si>
  <si>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</si>
  <si>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</si>
  <si>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</si>
  <si>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</si>
  <si>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</si>
  <si>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</si>
  <si>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</si>
  <si>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</si>
  <si>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</si>
  <si>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</si>
  <si>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</si>
  <si>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</si>
  <si>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</si>
  <si>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</si>
  <si>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</si>
  <si>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</si>
  <si>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</si>
  <si>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</si>
  <si>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</si>
  <si>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</si>
  <si>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</si>
  <si>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</si>
  <si>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</si>
  <si>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</si>
  <si>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</si>
  <si>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</si>
  <si>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</si>
  <si>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</si>
  <si>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</si>
  <si>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</si>
  <si>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</si>
  <si>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</si>
  <si>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</si>
  <si>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</si>
  <si>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</si>
  <si>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</si>
  <si>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</si>
  <si>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</si>
  <si>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</si>
  <si>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</si>
  <si>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</si>
  <si>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</si>
  <si>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</si>
  <si>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</si>
  <si>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</si>
  <si>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</si>
  <si>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</si>
  <si>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</si>
  <si>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</si>
  <si>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</si>
  <si>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</si>
  <si>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</si>
  <si>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</si>
  <si>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</si>
  <si>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</si>
  <si>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</si>
  <si>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</si>
  <si>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</si>
  <si>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</si>
  <si>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</si>
  <si>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</si>
  <si>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</si>
  <si>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</si>
  <si>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</si>
  <si>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</si>
  <si>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</si>
  <si>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</si>
  <si>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</si>
  <si>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</si>
  <si>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</si>
  <si>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</si>
  <si>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</si>
  <si>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</si>
  <si>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</si>
  <si>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</si>
  <si>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</si>
  <si>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</si>
  <si>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</si>
  <si>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</si>
  <si>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</si>
  <si>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</si>
  <si>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</si>
  <si>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</si>
  <si>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</si>
  <si>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</si>
  <si>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</si>
  <si>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</si>
  <si>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</si>
  <si>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</si>
  <si>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</si>
  <si>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</si>
  <si>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</si>
  <si>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</si>
  <si>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</si>
  <si>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</si>
  <si>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</si>
  <si>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</si>
  <si>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</si>
  <si>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</si>
  <si>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</si>
  <si>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</si>
  <si>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</si>
  <si>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</si>
  <si>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</si>
  <si>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</si>
  <si>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</si>
  <si>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</si>
  <si>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</si>
  <si>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</si>
  <si>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</si>
  <si>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</si>
  <si>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</si>
  <si>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</si>
  <si>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</si>
  <si>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</si>
  <si>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</si>
  <si>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</si>
  <si>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</si>
  <si>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</si>
  <si>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</si>
  <si>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</si>
  <si>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</si>
  <si>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</si>
  <si>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</si>
  <si>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</si>
  <si>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</si>
  <si>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</si>
  <si>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</si>
  <si>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</si>
  <si>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</si>
  <si>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</si>
  <si>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</si>
  <si>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</si>
  <si>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</si>
  <si>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</si>
  <si>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</si>
  <si>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</si>
  <si>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</si>
  <si>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</si>
  <si>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</si>
  <si>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</si>
  <si>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</si>
  <si>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</si>
  <si>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</si>
  <si>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</si>
  <si>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</si>
  <si>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</si>
  <si>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</si>
  <si>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</si>
  <si>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</si>
  <si>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</si>
  <si>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</si>
  <si>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</si>
  <si>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</si>
  <si>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</si>
  <si>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</si>
  <si>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</si>
  <si>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</si>
  <si>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</si>
  <si>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</si>
  <si>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</si>
  <si>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</si>
  <si>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</si>
  <si>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</si>
  <si>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</si>
  <si>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</si>
  <si>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</si>
  <si>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</si>
  <si>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</si>
  <si>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</si>
  <si>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</si>
  <si>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</si>
  <si>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</si>
  <si>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</si>
  <si>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</si>
  <si>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</si>
  <si>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</si>
  <si>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</si>
  <si>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</si>
  <si>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</si>
  <si>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</si>
  <si>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</si>
  <si>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</si>
  <si>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</si>
  <si>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</si>
  <si>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</si>
  <si>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</si>
  <si>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</si>
  <si>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</si>
  <si>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</si>
  <si>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</si>
  <si>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</si>
  <si>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</si>
  <si>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</si>
  <si>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</si>
  <si>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</si>
  <si>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</si>
  <si>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</si>
  <si>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</si>
  <si>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</si>
  <si>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</si>
  <si>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</si>
  <si>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</si>
  <si>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</si>
  <si>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</si>
  <si>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</si>
  <si>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</si>
  <si>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</si>
  <si>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</si>
  <si>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</si>
  <si>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</si>
  <si>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</si>
  <si>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</si>
  <si>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</si>
  <si>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</si>
  <si>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</si>
  <si>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</si>
  <si>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</si>
  <si>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</si>
  <si>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</si>
  <si>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</si>
  <si>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</si>
  <si>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</si>
  <si>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</si>
  <si>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</si>
  <si>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</si>
  <si>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</si>
  <si>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</si>
  <si>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</si>
  <si>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</si>
  <si>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</si>
  <si>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</si>
  <si>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</si>
  <si>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</si>
  <si>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</si>
  <si>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</si>
  <si>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</si>
  <si>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</si>
  <si>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</si>
  <si>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</si>
  <si>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</si>
  <si>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</si>
  <si>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</si>
  <si>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</si>
  <si>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</si>
  <si>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</si>
  <si>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</si>
  <si>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</si>
  <si>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</si>
  <si>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</si>
  <si>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</si>
  <si>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</si>
  <si>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</si>
  <si>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</si>
  <si>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</si>
  <si>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</si>
  <si>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</si>
  <si>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</si>
  <si>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</si>
  <si>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</si>
  <si>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</si>
  <si>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</si>
  <si>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</si>
  <si>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</si>
  <si>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</si>
  <si>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</si>
  <si>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</si>
  <si>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</si>
  <si>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</si>
  <si>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</si>
  <si>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</si>
  <si>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</si>
  <si>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</si>
  <si>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</si>
  <si>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</si>
  <si>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</si>
  <si>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</si>
  <si>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</si>
  <si>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</si>
  <si>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</si>
  <si>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</si>
  <si>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</si>
  <si>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</si>
  <si>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</si>
  <si>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</si>
  <si>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</si>
  <si>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</si>
  <si>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</si>
  <si>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</si>
  <si>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</si>
  <si>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</si>
  <si>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</si>
  <si>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</si>
  <si>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</si>
  <si>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</si>
  <si>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</si>
  <si>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</si>
  <si>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</si>
  <si>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</si>
  <si>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</si>
  <si>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</si>
  <si>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</si>
  <si>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</si>
  <si>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</si>
  <si>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</si>
  <si>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</si>
  <si>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</si>
  <si>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</si>
  <si>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</si>
  <si>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</si>
  <si>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</si>
  <si>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</si>
  <si>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</si>
  <si>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</si>
  <si>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</si>
  <si>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</si>
  <si>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</si>
  <si>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</si>
  <si>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</si>
  <si>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</si>
  <si>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</si>
  <si>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</si>
  <si>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</si>
  <si>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</si>
  <si>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</si>
  <si>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</si>
  <si>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</si>
  <si>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</si>
  <si>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</si>
  <si>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</si>
  <si>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</si>
  <si>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</si>
  <si>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</si>
  <si>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</si>
  <si>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</si>
  <si>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</si>
  <si>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</si>
  <si>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</si>
  <si>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</si>
  <si>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</si>
  <si>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</si>
  <si>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</si>
  <si>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</si>
  <si>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</si>
  <si>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</si>
  <si>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</si>
  <si>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</si>
  <si>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</si>
  <si>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</si>
  <si>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</si>
  <si>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</si>
  <si>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</si>
  <si>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</si>
  <si>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</si>
  <si>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</si>
  <si>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</si>
  <si>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</si>
  <si>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</si>
  <si>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</si>
  <si>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</si>
  <si>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</si>
  <si>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</si>
  <si>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</si>
  <si>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</si>
  <si>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</si>
  <si>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</si>
  <si>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</si>
  <si>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</si>
  <si>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</si>
  <si>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</si>
  <si>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</si>
  <si>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</si>
  <si>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</si>
  <si>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</si>
  <si>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</si>
  <si>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</si>
  <si>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</si>
  <si>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</si>
  <si>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</si>
  <si>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</si>
  <si>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</si>
  <si>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</si>
  <si>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</si>
  <si>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</si>
  <si>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</si>
  <si>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</si>
  <si>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</si>
  <si>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</si>
  <si>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</si>
  <si>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</si>
  <si>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</si>
  <si>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</si>
  <si>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</si>
  <si>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</si>
  <si>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</si>
  <si>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</si>
  <si>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</si>
  <si>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</si>
  <si>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</si>
  <si>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</si>
  <si>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</si>
  <si>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</si>
  <si>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</si>
  <si>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</si>
  <si>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</si>
  <si>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</si>
  <si>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</si>
  <si>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</si>
  <si>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</si>
  <si>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</si>
  <si>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</si>
  <si>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</si>
  <si>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</si>
  <si>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</si>
  <si>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</si>
  <si>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</si>
  <si>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</si>
  <si>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</si>
  <si>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</si>
  <si>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</si>
  <si>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</si>
  <si>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</si>
  <si>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</si>
  <si>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</si>
  <si>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</si>
  <si>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</si>
  <si>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</si>
  <si>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</si>
  <si>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</si>
  <si>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</si>
  <si>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</si>
  <si>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</si>
  <si>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</si>
  <si>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</si>
  <si>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</si>
  <si>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</si>
  <si>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</si>
  <si>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</si>
  <si>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</si>
  <si>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</si>
  <si>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</si>
  <si>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</si>
  <si>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</si>
  <si>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</si>
  <si>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</si>
  <si>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</si>
  <si>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</si>
  <si>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</si>
  <si>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</si>
  <si>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</si>
  <si>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</si>
  <si>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</si>
  <si>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</si>
  <si>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</si>
  <si>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</si>
  <si>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</si>
  <si>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</si>
  <si>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</si>
  <si>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</si>
  <si>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</si>
  <si>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</si>
  <si>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</si>
  <si>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</si>
  <si>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</si>
  <si>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</si>
  <si>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</si>
  <si>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</si>
  <si>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</si>
  <si>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</si>
  <si>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</si>
  <si>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</si>
  <si>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</si>
  <si>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</si>
  <si>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</si>
  <si>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</si>
  <si>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</si>
  <si>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</si>
  <si>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</si>
  <si>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</si>
  <si>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</si>
  <si>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</si>
  <si>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</si>
  <si>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</si>
  <si>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</si>
  <si>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</si>
  <si>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</si>
  <si>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</si>
  <si>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</si>
  <si>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</si>
  <si>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</si>
  <si>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</si>
  <si>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</si>
  <si>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</si>
  <si>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</si>
  <si>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</si>
  <si>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</si>
  <si>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</si>
  <si>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</si>
  <si>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</si>
  <si>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</si>
  <si>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</si>
  <si>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</si>
  <si>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</si>
  <si>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</si>
  <si>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</si>
  <si>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</si>
  <si>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</si>
  <si>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</si>
  <si>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</si>
  <si>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</si>
  <si>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</si>
  <si>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</si>
  <si>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</si>
  <si>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</si>
  <si>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</si>
  <si>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</si>
  <si>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</si>
  <si>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</si>
  <si>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</si>
  <si>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</si>
  <si>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</si>
  <si>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</si>
  <si>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</si>
  <si>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</si>
  <si>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</si>
  <si>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</si>
  <si>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</si>
  <si>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</si>
  <si>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</si>
  <si>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</si>
  <si>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</si>
  <si>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</si>
  <si>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</si>
  <si>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</si>
  <si>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</si>
  <si>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</si>
  <si>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</si>
  <si>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</si>
  <si>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</si>
  <si>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</si>
  <si>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</si>
  <si>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</si>
  <si>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</si>
  <si>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</si>
  <si>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</si>
  <si>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</si>
  <si>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</si>
  <si>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</si>
  <si>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</si>
  <si>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</si>
  <si>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</si>
  <si>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</si>
  <si>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</si>
  <si>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</si>
  <si>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</si>
  <si>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</si>
  <si>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</si>
  <si>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</si>
  <si>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</si>
  <si>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</si>
  <si>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</si>
  <si>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</si>
  <si>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</si>
  <si>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</si>
  <si>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</si>
  <si>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</si>
  <si>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</si>
  <si>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</si>
  <si>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</si>
  <si>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</si>
  <si>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</si>
  <si>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</si>
  <si>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</si>
  <si>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</si>
  <si>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</si>
  <si>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</si>
  <si>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</si>
  <si>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</si>
  <si>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</si>
  <si>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</si>
  <si>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</si>
  <si>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</si>
  <si>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</si>
  <si>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</si>
  <si>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</si>
  <si>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</si>
  <si>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</si>
  <si>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</si>
  <si>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</si>
  <si>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</si>
  <si>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</si>
  <si>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</si>
  <si>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</si>
  <si>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</si>
  <si>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</si>
  <si>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</si>
  <si>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</si>
  <si>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</si>
  <si>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</si>
  <si>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</si>
  <si>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</si>
  <si>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</si>
  <si>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</si>
  <si>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</si>
  <si>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</si>
  <si>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</si>
  <si>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</si>
  <si>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</si>
  <si>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</si>
  <si>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</si>
  <si>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</si>
  <si>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</si>
  <si>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</si>
  <si>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</si>
  <si>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</si>
  <si>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</si>
  <si>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</si>
  <si>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</si>
  <si>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</si>
  <si>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</si>
  <si>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</si>
  <si>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</si>
  <si>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</si>
  <si>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</si>
  <si>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</si>
  <si>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</si>
  <si>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</si>
  <si>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</si>
  <si>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</si>
  <si>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</si>
  <si>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</si>
  <si>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</si>
  <si>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</si>
  <si>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</si>
  <si>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</si>
  <si>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</si>
  <si>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</si>
  <si>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</si>
  <si>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</si>
  <si>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</si>
  <si>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</si>
  <si>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</si>
  <si>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</si>
  <si>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</si>
  <si>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</si>
  <si>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</si>
  <si>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</si>
  <si>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</si>
  <si>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</si>
  <si>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</si>
  <si>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</si>
  <si>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</si>
  <si>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</si>
  <si>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</si>
  <si>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</si>
  <si>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</si>
  <si>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</si>
  <si>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</si>
  <si>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</si>
  <si>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</si>
  <si>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</si>
  <si>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</si>
  <si>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</si>
  <si>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</si>
  <si>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</si>
  <si>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</si>
  <si>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</si>
  <si>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</si>
  <si>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</si>
  <si>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</si>
  <si>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</si>
  <si>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</si>
  <si>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</si>
  <si>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</si>
  <si>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</si>
  <si>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</si>
  <si>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</si>
  <si>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</si>
  <si>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</si>
  <si>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</si>
  <si>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</si>
  <si>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</si>
  <si>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</si>
  <si>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</si>
  <si>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</si>
  <si>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</si>
  <si>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</si>
  <si>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</si>
  <si>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</si>
  <si>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</si>
  <si>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</si>
  <si>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</si>
  <si>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</si>
  <si>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</si>
  <si>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</si>
  <si>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</si>
  <si>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</si>
  <si>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</si>
  <si>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</si>
  <si>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</si>
  <si>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</si>
  <si>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</si>
  <si>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</si>
  <si>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</si>
  <si>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</si>
  <si>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</si>
  <si>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</si>
  <si>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</si>
  <si>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</si>
  <si>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</si>
  <si>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</si>
  <si>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</si>
  <si>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</si>
  <si>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</si>
  <si>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</si>
  <si>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</si>
  <si>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</si>
  <si>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</si>
  <si>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</si>
  <si>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</si>
  <si>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</si>
  <si>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</si>
  <si>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</si>
  <si>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</si>
  <si>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</si>
  <si>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</si>
  <si>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</si>
  <si>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</si>
  <si>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</si>
  <si>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</si>
  <si>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</si>
  <si>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</si>
  <si>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</si>
  <si>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</si>
  <si>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</si>
  <si>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</si>
  <si>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</si>
  <si>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</si>
  <si>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</si>
  <si>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</si>
  <si>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</si>
  <si>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</si>
  <si>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</si>
  <si>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</si>
  <si>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</si>
  <si>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</si>
  <si>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</si>
  <si>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</si>
  <si>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</si>
  <si>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</si>
  <si>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</si>
  <si>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</si>
  <si>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</si>
  <si>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</si>
  <si>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</si>
  <si>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</si>
  <si>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</si>
  <si>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</si>
  <si>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</si>
  <si>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</si>
  <si>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</si>
  <si>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</si>
  <si>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</si>
  <si>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</si>
  <si>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</si>
  <si>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</si>
  <si>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</si>
  <si>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</si>
  <si>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</si>
  <si>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</si>
  <si>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</si>
  <si>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</si>
  <si>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</si>
  <si>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</si>
  <si>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</si>
  <si>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</si>
  <si>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</si>
  <si>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</si>
  <si>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</si>
  <si>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</si>
  <si>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</si>
  <si>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</si>
  <si>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</si>
  <si>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</si>
  <si>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</si>
  <si>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</si>
  <si>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</si>
  <si>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</si>
  <si>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</si>
  <si>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</si>
  <si>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</si>
  <si>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</si>
  <si>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</si>
  <si>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</si>
  <si>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</si>
  <si>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</si>
  <si>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</si>
  <si>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</si>
  <si>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</si>
  <si>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</si>
  <si>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</si>
  <si>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</si>
  <si>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</si>
  <si>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</si>
  <si>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</si>
  <si>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</si>
  <si>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</si>
  <si>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</si>
  <si>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</si>
  <si>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</si>
  <si>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</si>
  <si>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</si>
  <si>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</si>
  <si>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</si>
  <si>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</si>
  <si>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</si>
  <si>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</si>
  <si>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</si>
  <si>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</si>
  <si>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</si>
  <si>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</si>
  <si>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</si>
  <si>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</si>
  <si>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</si>
  <si>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</si>
  <si>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</si>
  <si>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</si>
  <si>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</si>
  <si>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</si>
  <si>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</si>
  <si>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</si>
  <si>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</si>
  <si>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</si>
  <si>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</si>
  <si>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</si>
  <si>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</si>
  <si>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</si>
  <si>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</si>
  <si>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</si>
  <si>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</si>
  <si>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</si>
  <si>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</si>
  <si>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</si>
  <si>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</si>
  <si>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</si>
  <si>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</si>
  <si>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</si>
  <si>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</si>
  <si>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</si>
  <si>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</si>
  <si>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</si>
  <si>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</si>
  <si>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</si>
  <si>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</si>
  <si>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</si>
  <si>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</si>
  <si>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</si>
  <si>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</si>
  <si>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</si>
  <si>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</si>
  <si>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</si>
  <si>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</si>
  <si>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</si>
  <si>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</si>
  <si>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</si>
  <si>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</si>
  <si>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</si>
  <si>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</si>
  <si>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</si>
  <si>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</si>
  <si>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</si>
  <si>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</si>
  <si>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</si>
  <si>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</si>
  <si>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</si>
  <si>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</si>
  <si>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</si>
  <si>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</si>
  <si>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</si>
  <si>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</si>
  <si>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</si>
  <si>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</si>
  <si>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</si>
  <si>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</si>
  <si>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</si>
  <si>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</si>
  <si>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</si>
  <si>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</si>
  <si>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</si>
  <si>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</si>
  <si>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</si>
  <si>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</si>
  <si>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</si>
  <si>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</si>
  <si>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</si>
  <si>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</si>
  <si>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</si>
  <si>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</si>
  <si>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</si>
  <si>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</si>
  <si>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</si>
  <si>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</si>
  <si>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</si>
  <si>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</si>
  <si>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</si>
  <si>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</si>
  <si>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</si>
  <si>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</si>
  <si>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</si>
  <si>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</si>
  <si>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</si>
  <si>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</si>
  <si>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</si>
  <si>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</si>
  <si>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</si>
  <si>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</si>
  <si>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</si>
  <si>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</si>
  <si>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</si>
  <si>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</si>
  <si>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</si>
  <si>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</si>
  <si>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</si>
  <si>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</si>
  <si>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</si>
  <si>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</si>
  <si>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</si>
  <si>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</si>
  <si>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</si>
  <si>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</si>
  <si>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</si>
  <si>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</si>
  <si>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</si>
  <si>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</si>
  <si>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</si>
  <si>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</si>
  <si>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</si>
  <si>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</si>
  <si>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</si>
  <si>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</si>
  <si>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</si>
  <si>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</si>
  <si>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</si>
  <si>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</si>
  <si>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</si>
  <si>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</si>
  <si>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</si>
  <si>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</si>
  <si>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</si>
  <si>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</si>
  <si>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</si>
  <si>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</si>
  <si>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</si>
  <si>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</si>
  <si>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</si>
  <si>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</si>
  <si>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</si>
  <si>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</si>
  <si>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</si>
  <si>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</si>
  <si>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</si>
  <si>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</si>
  <si>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</si>
  <si>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</si>
  <si>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</si>
  <si>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</si>
  <si>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</si>
  <si>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</si>
  <si>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</si>
  <si>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</si>
  <si>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</si>
  <si>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</si>
  <si>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</si>
  <si>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</si>
  <si>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</si>
  <si>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</si>
  <si>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</si>
  <si>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</si>
  <si>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</si>
  <si>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</si>
  <si>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</si>
  <si>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</si>
  <si>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</si>
  <si>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</si>
  <si>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</si>
  <si>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</si>
  <si>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</si>
  <si>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</si>
  <si>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</si>
  <si>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</si>
  <si>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</si>
  <si>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</si>
  <si>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</si>
  <si>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</si>
  <si>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</si>
  <si>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</si>
  <si>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</si>
  <si>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</si>
  <si>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</si>
  <si>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</si>
  <si>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</si>
  <si>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</si>
  <si>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</si>
  <si>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</si>
  <si>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</si>
  <si>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</si>
  <si>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</si>
  <si>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</si>
  <si>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</si>
  <si>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</si>
  <si>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</si>
  <si>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</si>
  <si>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</si>
  <si>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</si>
  <si>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</si>
  <si>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</si>
  <si>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</si>
  <si>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</si>
  <si>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</si>
  <si>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</si>
  <si>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</si>
  <si>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</si>
  <si>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</si>
  <si>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</si>
  <si>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</si>
  <si>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</si>
  <si>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</si>
  <si>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</si>
  <si>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</si>
  <si>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</si>
  <si>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</si>
  <si>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</si>
  <si>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</si>
  <si>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</si>
  <si>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</si>
  <si>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</si>
  <si>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</si>
  <si>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</si>
  <si>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</si>
  <si>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</si>
  <si>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</si>
  <si>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</si>
  <si>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</si>
  <si>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</si>
  <si>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</si>
  <si>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</si>
  <si>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</si>
  <si>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</si>
  <si>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</si>
  <si>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</si>
  <si>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</si>
  <si>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</si>
  <si>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</si>
  <si>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</si>
  <si>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</si>
  <si>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</si>
  <si>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</si>
  <si>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</si>
  <si>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</si>
  <si>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</si>
  <si>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</si>
  <si>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</si>
  <si>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</si>
  <si>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</si>
  <si>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</si>
  <si>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</si>
  <si>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</si>
  <si>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</si>
  <si>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</si>
  <si>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</si>
  <si>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</si>
  <si>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</si>
  <si>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</si>
  <si>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</si>
  <si>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</si>
  <si>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</si>
  <si>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</si>
  <si>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</si>
  <si>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</si>
  <si>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</si>
  <si>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</si>
  <si>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</si>
  <si>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</si>
  <si>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e613d4b on 07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</si>
  <si>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</si>
  <si>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</si>
  <si>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</si>
  <si>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</si>
  <si>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</si>
  <si>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</si>
  <si>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</si>
  <si>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</si>
  <si>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</si>
  <si>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</si>
  <si>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</si>
  <si>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</si>
  <si>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</si>
  <si>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</si>
  <si>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</si>
  <si>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</si>
  <si>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</si>
  <si>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</si>
  <si>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</si>
  <si>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</si>
  <si>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</si>
  <si>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</si>
  <si>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</si>
  <si>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</si>
  <si>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</si>
  <si>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</si>
  <si>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</si>
  <si>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</si>
  <si>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</si>
  <si>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</si>
  <si>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'Unit tests'!F7</t>
  </si>
  <si>
    <t xml:space="preserve">https://drive.google.com/drive/search?q=title:%22A7%204.01%22</t>
  </si>
  <si>
    <t xml:space="preserve">'Unit tests'!G7</t>
  </si>
  <si>
    <t xml:space="preserve">https://drive.google.com/drive/search?q=title:%22A7%204.02%22</t>
  </si>
  <si>
    <t xml:space="preserve">'Unit tests'!H7</t>
  </si>
  <si>
    <t xml:space="preserve">https://drive.google.com/drive/search?q=title:%22A7%204.04%22</t>
  </si>
  <si>
    <t xml:space="preserve">'Unit tests'!I7</t>
  </si>
  <si>
    <t xml:space="preserve">https://drive.google.com/drive/search?q=title:%22A7%204.05%22</t>
  </si>
  <si>
    <t xml:space="preserve">'Units'!G2</t>
  </si>
  <si>
    <t xml:space="preserve">folder</t>
  </si>
  <si>
    <t xml:space="preserve">https://drive.google.com/drive/search?q=title:%22A7%204.06%22</t>
  </si>
  <si>
    <t xml:space="preserve">'Units'!H2</t>
  </si>
  <si>
    <t xml:space="preserve">https://drive.google.com/drive/search?q=title:%22A7%204.07%22</t>
  </si>
  <si>
    <t xml:space="preserve">'Units'!I2</t>
  </si>
  <si>
    <t xml:space="preserve">'Units'!J2</t>
  </si>
  <si>
    <t xml:space="preserve">'Units'!K2</t>
  </si>
  <si>
    <t xml:space="preserve">'Units'!L2</t>
  </si>
  <si>
    <t xml:space="preserve">'Units'!M2</t>
  </si>
  <si>
    <t xml:space="preserve">https://drive.google.com/drive/search?q=title:%22A7%205.01%22</t>
  </si>
  <si>
    <t xml:space="preserve">'Units'!N2</t>
  </si>
  <si>
    <t xml:space="preserve">https://drive.google.com/drive/search?q=title:%22A7%205.02%22</t>
  </si>
  <si>
    <t xml:space="preserve">'Units'!G3</t>
  </si>
  <si>
    <t xml:space="preserve">https://drive.google.com/drive/search?q=title:%22A7%205.04%22</t>
  </si>
  <si>
    <t xml:space="preserve">'Units'!H3</t>
  </si>
  <si>
    <t xml:space="preserve">https://drive.google.com/drive/search?q=title:%22A7%205.06%22</t>
  </si>
  <si>
    <t xml:space="preserve">'Units'!I3</t>
  </si>
  <si>
    <t xml:space="preserve">https://drive.google.com/drive/search?q=title:%22A7%205.08%22</t>
  </si>
  <si>
    <t xml:space="preserve">'Units'!J3</t>
  </si>
  <si>
    <t xml:space="preserve">https://drive.google.com/drive/search?q=title:%22A7%205.10%22</t>
  </si>
  <si>
    <t xml:space="preserve">'Units'!K3</t>
  </si>
  <si>
    <t xml:space="preserve">'Units'!L3</t>
  </si>
  <si>
    <t xml:space="preserve">'Units'!M3</t>
  </si>
  <si>
    <t xml:space="preserve">'Units'!N3</t>
  </si>
  <si>
    <t xml:space="preserve">https://drive.google.com/drive/search?q=title:%22A7%206.01%22</t>
  </si>
  <si>
    <t xml:space="preserve">'Units'!G4</t>
  </si>
  <si>
    <t xml:space="preserve">https://drive.google.com/drive/search?q=title:%22A7%206.03%22</t>
  </si>
  <si>
    <t xml:space="preserve">'Units'!H4</t>
  </si>
  <si>
    <t xml:space="preserve">https://drive.google.com/drive/search?q=title:%22A7%206.04%22</t>
  </si>
  <si>
    <t xml:space="preserve">'Units'!I4</t>
  </si>
  <si>
    <t xml:space="preserve">https://drive.google.com/drive/search?q=title:%22A7%206.05%22</t>
  </si>
  <si>
    <t xml:space="preserve">'Units'!J4</t>
  </si>
  <si>
    <t xml:space="preserve">https://drive.google.com/drive/search?q=title:%22A7%206.06%22</t>
  </si>
  <si>
    <t xml:space="preserve">'Units'!K4</t>
  </si>
  <si>
    <t xml:space="preserve">https://drive.google.com/drive/search?q=title:%22A7%206.T1%22</t>
  </si>
  <si>
    <t xml:space="preserve">'Units'!L4</t>
  </si>
  <si>
    <t xml:space="preserve">https://drive.google.com/drive/search?q=title:%22A7%206.T2%22</t>
  </si>
  <si>
    <t xml:space="preserve">'Units'!M4</t>
  </si>
  <si>
    <t xml:space="preserve">https://drive.google.com/drive/search?q=title:%22A7%206.07%22</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</si>
  <si>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</si>
  <si>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</si>
  <si>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</si>
  <si>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</si>
  <si>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</si>
  <si>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</si>
  <si>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</si>
  <si>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</si>
  <si>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</si>
  <si>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</si>
  <si>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</si>
  <si>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</si>
  <si>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</si>
  <si>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</si>
  <si>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 1–2 decks'!C2</t>
  </si>
  <si>
    <t xml:space="preserve">'Units 1–2 decks'!D2</t>
  </si>
  <si>
    <t xml:space="preserve">'Units 1–2 decks'!E2</t>
  </si>
  <si>
    <t xml:space="preserve">'Units 1–2 decks'!F2</t>
  </si>
  <si>
    <t xml:space="preserve">https://drive.google.com/drive/search?q=title:%22A7%208.01%22</t>
  </si>
  <si>
    <t xml:space="preserve">'Units 1–2 decks'!G2</t>
  </si>
  <si>
    <t xml:space="preserve">https://drive.google.com/drive/search?q=title:%22A7%208.03%22</t>
  </si>
  <si>
    <t xml:space="preserve">'Units 1–2 decks'!H2</t>
  </si>
  <si>
    <t xml:space="preserve">https://drive.google.com/drive/search?q=title:%22A7%208.04%22</t>
  </si>
  <si>
    <t xml:space="preserve">'Units 1–2 decks'!C3</t>
  </si>
  <si>
    <t xml:space="preserve">https://drive.google.com/drive/search?q=title:%22A7%208.06%22</t>
  </si>
  <si>
    <t xml:space="preserve">'Units 1–2 decks'!D3</t>
  </si>
  <si>
    <t xml:space="preserve">https://drive.google.com/drive/search?q=title:%22A7%208.08%22</t>
  </si>
  <si>
    <t xml:space="preserve">'Units 1–2 decks'!E3</t>
  </si>
  <si>
    <t xml:space="preserve">https://drive.google.com/drive/search?q=title:%22A7%209.01%22</t>
  </si>
  <si>
    <t xml:space="preserve">'Units 1–2 decks'!F3</t>
  </si>
  <si>
    <t xml:space="preserve">'Units 1–2 decks'!G3</t>
  </si>
  <si>
    <t xml:space="preserve">https://drive.google.com/drive/search?q=title:%22A7%209.03%22</t>
  </si>
  <si>
    <t xml:space="preserve">'Units 1–2 decks'!H3</t>
  </si>
  <si>
    <t xml:space="preserve">'Units 1–2 decks'!C4</t>
  </si>
  <si>
    <t xml:space="preserve">'Units 1–2 decks'!D4</t>
  </si>
  <si>
    <t xml:space="preserve">'Units 1–2 decks'!E4</t>
  </si>
  <si>
    <t xml:space="preserve">'Units 1–2 decks'!F4</t>
  </si>
  <si>
    <t xml:space="preserve">https://drive.google.com/drive/search?q=title:%22A7%2010.01%22</t>
  </si>
  <si>
    <t xml:space="preserve">'Units 1–2 decks'!G4</t>
  </si>
  <si>
    <t xml:space="preserve">https://drive.google.com/drive/search?q=title:%22A7%2010.02%22</t>
  </si>
  <si>
    <t xml:space="preserve">'Units 1–2 decks'!H4</t>
  </si>
  <si>
    <t xml:space="preserve">https://drive.google.com/drive/search?q=title:%22A7%2010.04%22</t>
  </si>
  <si>
    <t xml:space="preserve">'Units 1–2 decks'!C5</t>
  </si>
  <si>
    <t xml:space="preserve">https://drive.google.com/drive/search?q=title:%22A7%2010.05%22</t>
  </si>
  <si>
    <t xml:space="preserve">'Units 1–2 decks'!D5</t>
  </si>
  <si>
    <t xml:space="preserve">https://drive.google.com/drive/search?q=title:%22A7%2010.06%22</t>
  </si>
  <si>
    <t xml:space="preserve">'Units 1–2 decks'!E5</t>
  </si>
  <si>
    <t xml:space="preserve">https://drive.google.com/drive/search?q=title:%22A7%2010.07%22</t>
  </si>
  <si>
    <t xml:space="preserve">'Units 1–2 decks'!F5</t>
  </si>
  <si>
    <t xml:space="preserve">https://drive.google.com/drive/search?q=title:%22A7%2010.09%22</t>
  </si>
  <si>
    <t xml:space="preserve">'Units 1–2 decks'!G5</t>
  </si>
  <si>
    <t xml:space="preserve">https://drive.google.com/drive/search?q=title:%22A7%2010.10%22</t>
  </si>
  <si>
    <t xml:space="preserve">'Units 1–2 decks'!H5</t>
  </si>
  <si>
    <t xml:space="preserve">'Units 1–2 decks'!C6</t>
  </si>
  <si>
    <t xml:space="preserve">'Units 1–2 decks'!D6</t>
  </si>
  <si>
    <t xml:space="preserve">https://drive.google.com/drive/search?q=title:%22A7%2011.01%22</t>
  </si>
  <si>
    <t xml:space="preserve">'Units 1–2 decks'!E6</t>
  </si>
  <si>
    <t xml:space="preserve">https://drive.google.com/drive/search?q=title:%22A7%2011.02%22</t>
  </si>
  <si>
    <t xml:space="preserve">'Units 1–2 decks'!F6</t>
  </si>
  <si>
    <t xml:space="preserve">https://drive.google.com/drive/search?q=title:%22A7%2011.03%22</t>
  </si>
  <si>
    <t xml:space="preserve">'Units 1–2 decks'!G6</t>
  </si>
  <si>
    <t xml:space="preserve">https://drive.google.com/drive/search?q=title:%22A7%2011.04%22</t>
  </si>
  <si>
    <t xml:space="preserve">'Units 1–2 decks'!H6</t>
  </si>
  <si>
    <t xml:space="preserve">https://drive.google.com/drive/search?q=title:%22A7%2011.05%22</t>
  </si>
  <si>
    <t xml:space="preserve">'Units 1–2 decks'!C7</t>
  </si>
  <si>
    <t xml:space="preserve">https://drive.google.com/drive/search?q=title:%22A7%2011.07%22</t>
  </si>
  <si>
    <t xml:space="preserve">'Units 1–2 decks'!D7</t>
  </si>
  <si>
    <t xml:space="preserve">https://drive.google.com/drive/search?q=title:%22A7%2011.08%22</t>
  </si>
  <si>
    <t xml:space="preserve">'Units 1–2 decks'!E7</t>
  </si>
  <si>
    <t xml:space="preserve">'Units 1–2 decks'!F7</t>
  </si>
  <si>
    <t xml:space="preserve">'Units 1–2 decks'!G7</t>
  </si>
  <si>
    <t xml:space="preserve">'Units 1–2 decks'!H7</t>
  </si>
  <si>
    <t xml:space="preserve">https://drive.google.com/drive/search?q=title:%22A7%2012.01%22</t>
  </si>
  <si>
    <t xml:space="preserve">'Units 1–2 decks'!C8</t>
  </si>
  <si>
    <t xml:space="preserve">https://drive.google.com/drive/search?q=title:%22A7%2012.03%22</t>
  </si>
  <si>
    <t xml:space="preserve">'Units 1–2 decks'!D8</t>
  </si>
  <si>
    <t xml:space="preserve">https://drive.google.com/drive/search?q=title:%22A7%2012.04%22</t>
  </si>
  <si>
    <t xml:space="preserve">'Units 1–2 decks'!E8</t>
  </si>
  <si>
    <t xml:space="preserve">https://drive.google.com/drive/search?q=title:%22A7%2012.06%22</t>
  </si>
  <si>
    <t xml:space="preserve">'Units 1–2 decks'!F8</t>
  </si>
  <si>
    <t xml:space="preserve">'Units 1–2 decks'!G8</t>
  </si>
  <si>
    <t xml:space="preserve">https://drive.google.com/drive/search?q=title:%22A7%2012.07%22</t>
  </si>
  <si>
    <t xml:space="preserve">'Units 1–2 decks'!H8</t>
  </si>
  <si>
    <t xml:space="preserve">https://drive.google.com/drive/search?q=title:%22A7%2012.08%22</t>
  </si>
  <si>
    <t xml:space="preserve">'Units 1–2 decks'!C9</t>
  </si>
  <si>
    <t xml:space="preserve">'Units 1–2 decks'!D9</t>
  </si>
  <si>
    <t xml:space="preserve">'Units 1–2 decks'!E9</t>
  </si>
  <si>
    <t xml:space="preserve">'Units 1–2 decks'!F9</t>
  </si>
  <si>
    <t xml:space="preserve">'Units 1–2 decks'!G9</t>
  </si>
  <si>
    <t xml:space="preserve">https://drive.google.com/drive/search?q=title:%22A7%2013.01%22</t>
  </si>
  <si>
    <t xml:space="preserve">'Units 1–2 decks'!H9</t>
  </si>
  <si>
    <t xml:space="preserve">https://drive.google.com/drive/search?q=title:%22A7%2013.04%22</t>
  </si>
  <si>
    <t xml:space="preserve">'Units 1–2 decks'!C10</t>
  </si>
  <si>
    <t xml:space="preserve">https://drive.google.com/drive/search?q=title:%22A7%2013.06%22</t>
  </si>
  <si>
    <t xml:space="preserve">'Units 1–2 decks'!D10</t>
  </si>
  <si>
    <t xml:space="preserve">https://drive.google.com/drive/search?q=title:%22A7%2013.07%22</t>
  </si>
  <si>
    <t xml:space="preserve">'Units 1–2 decks'!E10</t>
  </si>
  <si>
    <t xml:space="preserve">https://drive.google.com/drive/search?q=title:%22A7%2013.09%22</t>
  </si>
  <si>
    <t xml:space="preserve">'Units 1–2 decks'!F10</t>
  </si>
  <si>
    <t xml:space="preserve">https://drive.google.com/drive/search?q=title:%22A7%2013.T1%22</t>
  </si>
  <si>
    <t xml:space="preserve">'Units 1–2 decks'!G10</t>
  </si>
  <si>
    <t xml:space="preserve">https://drive.google.com/drive/search?q=title:%22A7%2013.T2%22</t>
  </si>
  <si>
    <t xml:space="preserve">'Units 1–2 decks'!H10</t>
  </si>
  <si>
    <t xml:space="preserve">'Units 1–2 decks'!C11</t>
  </si>
  <si>
    <t xml:space="preserve">'Units 1–2 decks'!D11</t>
  </si>
  <si>
    <t xml:space="preserve">https://drive.google.com/drive/search?q=title:%22A7%2014.01%22</t>
  </si>
  <si>
    <t xml:space="preserve">'Units 1–2 decks'!E11</t>
  </si>
  <si>
    <t xml:space="preserve">https://drive.google.com/drive/search?q=title:%22A7%2014.05%22</t>
  </si>
  <si>
    <t xml:space="preserve">'Units 1–2 decks'!F11</t>
  </si>
  <si>
    <t xml:space="preserve">https://drive.google.com/drive/search?q=title:%22A7%2014.07%22</t>
  </si>
  <si>
    <t xml:space="preserve">'Units 1–2 decks'!G11</t>
  </si>
  <si>
    <t xml:space="preserve">'Units 1–2 decks'!H11</t>
  </si>
  <si>
    <t xml:space="preserve">'Units 1–2 decks'!C12</t>
  </si>
  <si>
    <t xml:space="preserve">https://drive.google.com/drive/search?q=title:%22A7%2015.01%22</t>
  </si>
  <si>
    <t xml:space="preserve">'Units 1–2 decks'!D12</t>
  </si>
  <si>
    <t xml:space="preserve">https://drive.google.com/drive/search?q=title:%22A7%2015.02%22</t>
  </si>
  <si>
    <t xml:space="preserve">'Units 1–2 decks'!E12</t>
  </si>
  <si>
    <t xml:space="preserve">https://drive.google.com/drive/search?q=title:%22A7%2015.03b%22</t>
  </si>
  <si>
    <t xml:space="preserve">'Units 1–2 decks'!F12</t>
  </si>
  <si>
    <t xml:space="preserve">https://drive.google.com/drive/search?q=title:%22A7%2015.04%22</t>
  </si>
  <si>
    <t xml:space="preserve">'Units 1–2 decks'!G12</t>
  </si>
  <si>
    <t xml:space="preserve">https://drive.google.com/drive/search?q=title:%22A7%2015.05%22</t>
  </si>
  <si>
    <t xml:space="preserve">'Units 1–2 decks'!H12</t>
  </si>
  <si>
    <t xml:space="preserve">https://drive.google.com/drive/search?q=title:%22A7%2015.06%22</t>
  </si>
  <si>
    <t xml:space="preserve">'Units 1–2 decks'!C13</t>
  </si>
  <si>
    <t xml:space="preserve">https://drive.google.com/drive/search?q=title:%22A7%2015.07%22</t>
  </si>
  <si>
    <t xml:space="preserve">'Units 1–2 decks'!D13</t>
  </si>
  <si>
    <t xml:space="preserve">https://drive.google.com/drive/search?q=title:%22A7%2015.08%22</t>
  </si>
  <si>
    <t xml:space="preserve">'Units 1–2 decks'!E13</t>
  </si>
  <si>
    <t xml:space="preserve">https://drive.google.com/drive/search?q=title:%22A7%2016.01%22</t>
  </si>
  <si>
    <t xml:space="preserve">'Units 1–2 decks'!F13</t>
  </si>
  <si>
    <t xml:space="preserve">https://drive.google.com/drive/search?q=title:%22A7%2016.03%22</t>
  </si>
  <si>
    <t xml:space="preserve">'Units 1–2 decks'!G13</t>
  </si>
  <si>
    <t xml:space="preserve">'Units 1–2 decks'!H13</t>
  </si>
  <si>
    <t xml:space="preserve">'Units 1–2 decks'!C14</t>
  </si>
  <si>
    <t xml:space="preserve">https://drive.google.com/drive/search?q=title:%22A7%2017.01%22</t>
  </si>
  <si>
    <t xml:space="preserve">'Units 1–2 decks'!D14</t>
  </si>
  <si>
    <t xml:space="preserve">https://drive.google.com/drive/search?q=title:%22A7%2017.04%22</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</si>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</sst>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46302</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3.08   Large numbers in scientific notation</v>
      </c>
    </row>
    <row r="6" customFormat="false" ht="23.85" hidden="false" customHeight="false" outlineLevel="0" collapsed="false">
      <c r="A6" s="5" t="s">
        <v>3</v>
      </c>
      <c r="B6" s="6" t="str">
        <f aca="false">IF($B$44&gt;131,"",INDEX('Scope &amp; Sequence'!$T$2:$T$132,$B$44)&amp;"")</f>
        <v>I can write a large number in scientific notation, read one back into standard form, and find how many times larger one number is than another.</v>
      </c>
    </row>
    <row r="7" customFormat="false" ht="23.85" hidden="false" customHeight="false" outlineLevel="0" collapsed="false">
      <c r="A7" s="5" t="s">
        <v>4</v>
      </c>
      <c r="B7" s="6" t="str">
        <f aca="false">IF($B$44&gt;131,"",INDEX('Scope &amp; Sequence'!$U$2:$U$132,$B$44)&amp;"")</f>
        <v>How does a power of 10 let us write a very large number briefly, and compare two of them?</v>
      </c>
    </row>
    <row r="8" customFormat="false" ht="15" hidden="false" customHeight="false" outlineLevel="0" collapsed="false">
      <c r="A8" s="5" t="s">
        <v>5</v>
      </c>
      <c r="B8" s="6" t="str">
        <f aca="false">IF($B$44&gt;131,"",INDEX('Scope &amp; Sequence'!$V$2:$V$132,$B$44)&amp;"")</f>
        <v>scientific notation, standard form, coefficient</v>
      </c>
    </row>
    <row r="9" customFormat="false" ht="15" hidden="false" customHeight="false" outlineLevel="0" collapsed="false">
      <c r="A9" s="5" t="s">
        <v>6</v>
      </c>
      <c r="B9" s="6" t="str">
        <f aca="false">IF($B$44&gt;131,"",INDEX('Scope &amp; Sequence'!$W$2:$W$132,$B$44)&amp;"")</f>
        <v>8.NSO.1.4</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Convert between standard and scientific notation: large numbers — 2AL; Compare large numbers — WEZ; Powers of ten — LJQ   — due Fri 9 Oct</v>
      </c>
    </row>
    <row r="11" customFormat="false" ht="23.85" hidden="false" customHeight="false" outlineLevel="0" collapsed="false">
      <c r="A11" s="5" t="s">
        <v>8</v>
      </c>
      <c r="B11" s="6" t="str">
        <f aca="false">IF($B$44&gt;131,"",IFERROR(INDEX('IXL tracker'!$D$5:$D$86,MATCH(INDEX('Scope &amp; Sequence'!$A$2:$A$132,$B$44),'IXL tracker'!$G$5:$G$86,0)),"nothing due"))</f>
        <v>Variables with negative exponents (2NL); Multiply and divide powers: variable bases (85P)</v>
      </c>
    </row>
    <row r="12" customFormat="false" ht="23.85" hidden="false" customHeight="false" outlineLevel="0" collapsed="false">
      <c r="A12" s="5" t="s">
        <v>9</v>
      </c>
      <c r="B12" s="6" t="str">
        <f aca="false">IF($B$44&gt;131,"",INDEX('Scope &amp; Sequence'!$Z$2:$Z$132,$B$44)&amp;"")</f>
        <v>Marcus writes 70,000,000 as 70 × 10⁶. Is his expression equal to 70,000,000? Is it scientific notation? Explain.</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46303</v>
      </c>
      <c r="B30" s="6" t="str">
        <f aca="false">IF(($B$44+1)&gt;131,"",INDEX('Scope &amp; Sequence'!$D$2:$D$132,($B$44+1))&amp;"   "&amp;INDEX('Scope &amp; Sequence'!$E$2:$E$132,($B$44+1)))</f>
        <v>off   State test — no class</v>
      </c>
      <c r="C30" s="8" t="str">
        <f aca="false">IF(($B$44+1)&gt;131,"",IF(INDEX(Links!$B$2:$B$132,($B$44+1))&amp;""="","—",HYPERLINK(INDEX(Links!$B$2:$B$132,($B$44+1)),INDEX('Scope &amp; Sequence'!$F$2:$F$132,($B$44+1))&amp;"")))</f>
        <v>—</v>
      </c>
    </row>
    <row r="31" customFormat="false" ht="15" hidden="false" customHeight="false" outlineLevel="0" collapsed="false">
      <c r="A31" s="10" t="n">
        <f aca="false">IF(($B$44+2)&gt;131,"",INDEX('Scope &amp; Sequence'!$A$2:$A$132,($B$44+2)))</f>
        <v>46304</v>
      </c>
      <c r="B31" s="6" t="str">
        <f aca="false">IF(($B$44+2)&gt;131,"",INDEX('Scope &amp; Sequence'!$D$2:$D$132,($B$44+2))&amp;"   "&amp;INDEX('Scope &amp; Sequence'!$E$2:$E$132,($B$44+2)))</f>
        <v>3.09   Small numbers in scientific notation; how many times larger</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46308</v>
      </c>
      <c r="B32" s="6" t="str">
        <f aca="false">IF(($B$44+3)&gt;131,"",INDEX('Scope &amp; Sequence'!$D$2:$D$132,($B$44+3))&amp;"   "&amp;INDEX('Scope &amp; Sequence'!$E$2:$E$132,($B$44+3)))</f>
        <v>spiral   Spiral day — mixed retrieval from the unit just finished and the two before it</v>
      </c>
      <c r="C32" s="8" t="str">
        <f aca="false">IF(($B$44+3)&gt;131,"",IF(INDEX(Links!$B$2:$B$132,($B$44+3))&amp;""="","—",HYPERLINK(INDEX(Links!$B$2:$B$132,($B$44+3)),INDEX('Scope &amp; Sequence'!$F$2:$F$132,($B$44+3))&amp;"")))</f>
        <v>Unit Review</v>
      </c>
    </row>
    <row r="33" customFormat="false" ht="15" hidden="false" customHeight="false" outlineLevel="0" collapsed="false">
      <c r="A33" s="10" t="n">
        <f aca="false">IF(($B$44+4)&gt;131,"",INDEX('Scope &amp; Sequence'!$A$2:$A$132,($B$44+4)))</f>
        <v>46309</v>
      </c>
      <c r="B33" s="6" t="str">
        <f aca="false">IF(($B$44+4)&gt;131,"",INDEX('Scope &amp; Sequence'!$D$2:$D$132,($B$44+4))&amp;"   "&amp;INDEX('Scope &amp; Sequence'!$E$2:$E$132,($B$44+4)))</f>
        <v>spiral   Spiral day — mixed retrieval from the unit just finished and the two before it</v>
      </c>
      <c r="C33" s="8" t="str">
        <f aca="false">IF(($B$44+4)&gt;131,"",IF(INDEX(Links!$B$2:$B$132,($B$44+4))&amp;""="","—",HYPERLINK(INDEX(Links!$B$2:$B$132,($B$44+4)),INDEX('Scope &amp; Sequence'!$F$2:$F$132,($B$44+4))&amp;"")))</f>
        <v>Unit Review</v>
      </c>
    </row>
    <row r="34" customFormat="false" ht="15" hidden="false" customHeight="false" outlineLevel="0" collapsed="false">
      <c r="A34" s="10" t="n">
        <f aca="false">IF(($B$44+5)&gt;131,"",INDEX('Scope &amp; Sequence'!$A$2:$A$132,($B$44+5)))</f>
        <v>46310</v>
      </c>
      <c r="B34" s="6" t="str">
        <f aca="false">IF(($B$44+5)&gt;131,"",INDEX('Scope &amp; Sequence'!$D$2:$D$132,($B$44+5))&amp;"   "&amp;INDEX('Scope &amp; Sequence'!$E$2:$E$132,($B$44+5)))</f>
        <v>3.X1   Unit 3 exam, day 1</v>
      </c>
      <c r="C34" s="8" t="str">
        <f aca="false">IF(($B$44+5)&gt;131,"",IF(INDEX(Links!$B$2:$B$132,($B$44+5))&amp;""="","—",HYPERLINK(INDEX(Links!$B$2:$B$132,($B$44+5)),INDEX('Scope &amp; Sequence'!$F$2:$F$132,($B$44+5))&amp;"")))</f>
        <v>Unit Assessment</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11</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15" hidden="false" customHeight="false" outlineLevel="0" collapsed="false">
      <c r="A18" s="29" t="n">
        <v>46311</v>
      </c>
      <c r="B18" s="30" t="s">
        <v>63</v>
      </c>
      <c r="C18" s="31" t="n">
        <v>3</v>
      </c>
      <c r="D18" s="32" t="s">
        <v>158</v>
      </c>
      <c r="E18" s="33" t="s">
        <v>159</v>
      </c>
      <c r="F18" s="34" t="str">
        <f aca="false">HYPERLINK(Links!$B$18,"Unit Assessment")</f>
        <v>Unit Assessment</v>
      </c>
      <c r="G18" s="30"/>
      <c r="H18" s="30"/>
      <c r="I18" s="30"/>
      <c r="J18" s="30"/>
      <c r="K18" s="34" t="str">
        <f aca="false">HYPERLINK(Links!$G$18,"Assessment key")</f>
        <v>Assessment key</v>
      </c>
      <c r="L18" s="30"/>
      <c r="M18" s="30"/>
      <c r="N18" s="30"/>
      <c r="O18" s="30"/>
      <c r="P18" s="34" t="str">
        <f aca="false">HYPERLINK(Links!$L$18,"folder")</f>
        <v>folder</v>
      </c>
      <c r="Q18" s="30"/>
      <c r="R18" s="33"/>
      <c r="S18" s="35"/>
      <c r="T18" s="30"/>
      <c r="U18" s="30"/>
      <c r="V18" s="30"/>
      <c r="W18" s="33"/>
      <c r="X18" s="33"/>
      <c r="Y18" s="30"/>
      <c r="Z18" s="30"/>
      <c r="AA18" s="30"/>
      <c r="AB18" s="33"/>
    </row>
    <row r="19" customFormat="false" ht="68.65" hidden="false" customHeight="false" outlineLevel="0" collapsed="false">
      <c r="A19" s="36" t="n">
        <v>46314</v>
      </c>
      <c r="B19" s="37" t="s">
        <v>74</v>
      </c>
      <c r="C19" s="38" t="n">
        <v>4</v>
      </c>
      <c r="D19" s="39" t="s">
        <v>160</v>
      </c>
      <c r="E19" s="40" t="s">
        <v>161</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162</v>
      </c>
      <c r="S19" s="42" t="n">
        <v>46315</v>
      </c>
      <c r="T19" s="40" t="s">
        <v>163</v>
      </c>
      <c r="U19" s="40" t="s">
        <v>164</v>
      </c>
      <c r="V19" s="40" t="s">
        <v>165</v>
      </c>
      <c r="W19" s="40" t="s">
        <v>166</v>
      </c>
      <c r="X19" s="40" t="s">
        <v>167</v>
      </c>
      <c r="Y19" s="40" t="s">
        <v>59</v>
      </c>
      <c r="Z19" s="40" t="s">
        <v>168</v>
      </c>
      <c r="AA19" s="40" t="s">
        <v>169</v>
      </c>
      <c r="AB19" s="40" t="s">
        <v>170</v>
      </c>
    </row>
    <row r="20" customFormat="false" ht="68.65" hidden="false" customHeight="false" outlineLevel="0" collapsed="false">
      <c r="A20" s="36" t="n">
        <v>46315</v>
      </c>
      <c r="B20" s="37" t="s">
        <v>87</v>
      </c>
      <c r="C20" s="38" t="n">
        <v>4</v>
      </c>
      <c r="D20" s="39" t="s">
        <v>171</v>
      </c>
      <c r="E20" s="40" t="s">
        <v>172</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173</v>
      </c>
      <c r="S20" s="42" t="n">
        <v>46316</v>
      </c>
      <c r="T20" s="40" t="s">
        <v>174</v>
      </c>
      <c r="U20" s="40" t="s">
        <v>175</v>
      </c>
      <c r="V20" s="40" t="s">
        <v>176</v>
      </c>
      <c r="W20" s="40" t="s">
        <v>166</v>
      </c>
      <c r="X20" s="40" t="s">
        <v>167</v>
      </c>
      <c r="Y20" s="40" t="s">
        <v>48</v>
      </c>
      <c r="Z20" s="40" t="s">
        <v>177</v>
      </c>
      <c r="AA20" s="40" t="s">
        <v>178</v>
      </c>
      <c r="AB20" s="40" t="s">
        <v>179</v>
      </c>
    </row>
    <row r="21" customFormat="false" ht="68.65" hidden="false" customHeight="false" outlineLevel="0" collapsed="false">
      <c r="A21" s="36" t="n">
        <v>46316</v>
      </c>
      <c r="B21" s="37" t="s">
        <v>39</v>
      </c>
      <c r="C21" s="38" t="n">
        <v>4</v>
      </c>
      <c r="D21" s="39" t="s">
        <v>180</v>
      </c>
      <c r="E21" s="40" t="s">
        <v>181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182</v>
      </c>
      <c r="S21" s="42" t="n">
        <v>46317</v>
      </c>
      <c r="T21" s="40" t="s">
        <v>183</v>
      </c>
      <c r="U21" s="40" t="s">
        <v>184</v>
      </c>
      <c r="V21" s="40" t="s">
        <v>185</v>
      </c>
      <c r="W21" s="40" t="s">
        <v>186</v>
      </c>
      <c r="X21" s="40" t="s">
        <v>187</v>
      </c>
      <c r="Y21" s="40" t="s">
        <v>188</v>
      </c>
      <c r="Z21" s="40" t="s">
        <v>189</v>
      </c>
      <c r="AA21" s="40" t="s">
        <v>190</v>
      </c>
      <c r="AB21" s="40" t="s">
        <v>191</v>
      </c>
    </row>
    <row r="22" customFormat="false" ht="68.65" hidden="false" customHeight="false" outlineLevel="0" collapsed="false">
      <c r="A22" s="36" t="n">
        <v>46317</v>
      </c>
      <c r="B22" s="37" t="s">
        <v>52</v>
      </c>
      <c r="C22" s="38" t="n">
        <v>4</v>
      </c>
      <c r="D22" s="39" t="s">
        <v>192</v>
      </c>
      <c r="E22" s="40" t="s">
        <v>193</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194</v>
      </c>
      <c r="S22" s="42" t="n">
        <v>46321</v>
      </c>
      <c r="T22" s="40" t="s">
        <v>195</v>
      </c>
      <c r="U22" s="40" t="s">
        <v>196</v>
      </c>
      <c r="V22" s="40" t="s">
        <v>197</v>
      </c>
      <c r="W22" s="40" t="s">
        <v>198</v>
      </c>
      <c r="X22" s="40" t="s">
        <v>199</v>
      </c>
      <c r="Y22" s="40" t="s">
        <v>59</v>
      </c>
      <c r="Z22" s="40" t="s">
        <v>200</v>
      </c>
      <c r="AA22" s="40" t="s">
        <v>201</v>
      </c>
      <c r="AB22" s="40" t="s">
        <v>202</v>
      </c>
    </row>
    <row r="23" customFormat="false" ht="68.65" hidden="false" customHeight="false" outlineLevel="0" collapsed="false">
      <c r="A23" s="36" t="n">
        <v>46318</v>
      </c>
      <c r="B23" s="37" t="s">
        <v>63</v>
      </c>
      <c r="C23" s="38" t="n">
        <v>4</v>
      </c>
      <c r="D23" s="39" t="s">
        <v>203</v>
      </c>
      <c r="E23" s="40" t="s">
        <v>204</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194</v>
      </c>
      <c r="S23" s="42" t="n">
        <v>46321</v>
      </c>
      <c r="T23" s="40" t="s">
        <v>205</v>
      </c>
      <c r="U23" s="40" t="s">
        <v>206</v>
      </c>
      <c r="V23" s="40" t="s">
        <v>207</v>
      </c>
      <c r="W23" s="40" t="s">
        <v>198</v>
      </c>
      <c r="X23" s="40" t="s">
        <v>199</v>
      </c>
      <c r="Y23" s="40" t="s">
        <v>48</v>
      </c>
      <c r="Z23" s="40" t="s">
        <v>208</v>
      </c>
      <c r="AA23" s="40" t="s">
        <v>209</v>
      </c>
      <c r="AB23" s="40" t="s">
        <v>210</v>
      </c>
    </row>
    <row r="24" customFormat="false" ht="68.65" hidden="false" customHeight="false" outlineLevel="0" collapsed="false">
      <c r="A24" s="36" t="n">
        <v>46321</v>
      </c>
      <c r="B24" s="37" t="s">
        <v>74</v>
      </c>
      <c r="C24" s="38" t="n">
        <v>4</v>
      </c>
      <c r="D24" s="39" t="s">
        <v>211</v>
      </c>
      <c r="E24" s="40" t="s">
        <v>212</v>
      </c>
      <c r="F24" s="41" t="str">
        <f aca="false">HYPERLINK(Links!$B$24,"open")</f>
        <v>open</v>
      </c>
      <c r="G24" s="41" t="str">
        <f aca="false">HYPERLINK(Links!$C$24,"open")</f>
        <v>open</v>
      </c>
      <c r="H24" s="41" t="str">
        <f aca="false">HYPERLINK(Links!$D$24,"open")</f>
        <v>open</v>
      </c>
      <c r="I24" s="41" t="str">
        <f aca="false">HYPERLINK(Links!$E$24,"open")</f>
        <v>open</v>
      </c>
      <c r="J24" s="41" t="str">
        <f aca="false">HYPERLINK(Links!$F$24,"open")</f>
        <v>open</v>
      </c>
      <c r="K24" s="41" t="str">
        <f aca="false">HYPERLINK(Links!$G$24,"key")</f>
        <v>key</v>
      </c>
      <c r="L24" s="41" t="str">
        <f aca="false">HYPERLINK(Links!$H$24,"open")</f>
        <v>open</v>
      </c>
      <c r="M24" s="41" t="str">
        <f aca="false">HYPERLINK(Links!$I$24,"key")</f>
        <v>key</v>
      </c>
      <c r="N24" s="41" t="str">
        <f aca="false">HYPERLINK(Links!$J$24,"open")</f>
        <v>open</v>
      </c>
      <c r="O24" s="41" t="str">
        <f aca="false">HYPERLINK(Links!$K$24,"key")</f>
        <v>key</v>
      </c>
      <c r="P24" s="41" t="str">
        <f aca="false">HYPERLINK(Links!$L$24,"folder")</f>
        <v>folder</v>
      </c>
      <c r="Q24" s="41" t="str">
        <f aca="false">HYPERLINK(Links!$M$24,"search")</f>
        <v>search</v>
      </c>
      <c r="R24" s="40" t="s">
        <v>213</v>
      </c>
      <c r="S24" s="42" t="n">
        <v>46322</v>
      </c>
      <c r="T24" s="40" t="s">
        <v>214</v>
      </c>
      <c r="U24" s="40" t="s">
        <v>215</v>
      </c>
      <c r="V24" s="40" t="s">
        <v>216</v>
      </c>
      <c r="W24" s="40" t="s">
        <v>198</v>
      </c>
      <c r="X24" s="40" t="s">
        <v>199</v>
      </c>
      <c r="Y24" s="40" t="s">
        <v>217</v>
      </c>
      <c r="Z24" s="40" t="s">
        <v>218</v>
      </c>
      <c r="AA24" s="40" t="s">
        <v>219</v>
      </c>
      <c r="AB24" s="40" t="s">
        <v>220</v>
      </c>
    </row>
    <row r="25" customFormat="false" ht="23.85" hidden="false" customHeight="false" outlineLevel="0" collapsed="false">
      <c r="A25" s="22" t="n">
        <v>46322</v>
      </c>
      <c r="B25" s="23" t="s">
        <v>87</v>
      </c>
      <c r="C25" s="24" t="n">
        <v>4</v>
      </c>
      <c r="D25" s="25" t="s">
        <v>154</v>
      </c>
      <c r="E25" s="26" t="s">
        <v>155</v>
      </c>
      <c r="F25" s="27" t="str">
        <f aca="false">HYPERLINK(Links!$B$25,"Unit Review")</f>
        <v>Unit Review</v>
      </c>
      <c r="G25" s="23"/>
      <c r="H25" s="23"/>
      <c r="I25" s="23"/>
      <c r="J25" s="23"/>
      <c r="K25" s="27" t="str">
        <f aca="false">HYPERLINK(Links!$G$25,"Review key")</f>
        <v>Review key</v>
      </c>
      <c r="L25" s="23"/>
      <c r="M25" s="23"/>
      <c r="N25" s="23"/>
      <c r="O25" s="23"/>
      <c r="P25" s="27" t="str">
        <f aca="false">HYPERLINK(Links!$L$25,"folder")</f>
        <v>folder</v>
      </c>
      <c r="Q25" s="23"/>
      <c r="R25" s="26"/>
      <c r="S25" s="28"/>
      <c r="T25" s="23"/>
      <c r="U25" s="23"/>
      <c r="V25" s="23"/>
      <c r="W25" s="26"/>
      <c r="X25" s="26"/>
      <c r="Y25" s="23"/>
      <c r="Z25" s="23"/>
      <c r="AA25" s="23"/>
      <c r="AB25" s="26"/>
    </row>
    <row r="26" customFormat="false" ht="23.85" hidden="false" customHeight="false" outlineLevel="0" collapsed="false">
      <c r="A26" s="22" t="n">
        <v>46323</v>
      </c>
      <c r="B26" s="23" t="s">
        <v>39</v>
      </c>
      <c r="C26" s="24" t="n">
        <v>4</v>
      </c>
      <c r="D26" s="25" t="s">
        <v>154</v>
      </c>
      <c r="E26" s="26" t="s">
        <v>155</v>
      </c>
      <c r="F26" s="27" t="str">
        <f aca="false">HYPERLINK(Links!$B$26,"Unit Review")</f>
        <v>Unit Review</v>
      </c>
      <c r="G26" s="23"/>
      <c r="H26" s="23"/>
      <c r="I26" s="23"/>
      <c r="J26" s="23"/>
      <c r="K26" s="27" t="str">
        <f aca="false">HYPERLINK(Links!$G$26,"Review key")</f>
        <v>Review key</v>
      </c>
      <c r="L26" s="23"/>
      <c r="M26" s="23"/>
      <c r="N26" s="23"/>
      <c r="O26" s="23"/>
      <c r="P26" s="27" t="str">
        <f aca="false">HYPERLINK(Links!$L$26,"folder")</f>
        <v>folder</v>
      </c>
      <c r="Q26" s="23"/>
      <c r="R26" s="26"/>
      <c r="S26" s="28"/>
      <c r="T26" s="23"/>
      <c r="U26" s="23"/>
      <c r="V26" s="23"/>
      <c r="W26" s="26"/>
      <c r="X26" s="26"/>
      <c r="Y26" s="23"/>
      <c r="Z26" s="23"/>
      <c r="AA26" s="23"/>
      <c r="AB26" s="26"/>
    </row>
    <row r="27" customFormat="false" ht="15" hidden="false" customHeight="false" outlineLevel="0" collapsed="false">
      <c r="A27" s="29" t="n">
        <v>46324</v>
      </c>
      <c r="B27" s="30" t="s">
        <v>52</v>
      </c>
      <c r="C27" s="31" t="n">
        <v>4</v>
      </c>
      <c r="D27" s="32" t="s">
        <v>221</v>
      </c>
      <c r="E27" s="33" t="s">
        <v>222</v>
      </c>
      <c r="F27" s="34" t="str">
        <f aca="false">HYPERLINK(Links!$B$27,"Unit Assessment")</f>
        <v>Unit Assessment</v>
      </c>
      <c r="G27" s="30"/>
      <c r="H27" s="30"/>
      <c r="I27" s="30"/>
      <c r="J27" s="30"/>
      <c r="K27" s="34" t="str">
        <f aca="false">HYPERLINK(Links!$G$27,"Assessment key")</f>
        <v>Assessment key</v>
      </c>
      <c r="L27" s="30"/>
      <c r="M27" s="30"/>
      <c r="N27" s="30"/>
      <c r="O27" s="30"/>
      <c r="P27" s="34" t="str">
        <f aca="false">HYPERLINK(Links!$L$27,"folder")</f>
        <v>folder</v>
      </c>
      <c r="Q27" s="30"/>
      <c r="R27" s="33"/>
      <c r="S27" s="35"/>
      <c r="T27" s="30"/>
      <c r="U27" s="30"/>
      <c r="V27" s="30"/>
      <c r="W27" s="33"/>
      <c r="X27" s="33"/>
      <c r="Y27" s="30"/>
      <c r="Z27" s="30"/>
      <c r="AA27" s="30"/>
      <c r="AB27" s="33"/>
    </row>
    <row r="28" customFormat="false" ht="15" hidden="false" customHeight="false" outlineLevel="0" collapsed="false">
      <c r="A28" s="29" t="n">
        <v>46325</v>
      </c>
      <c r="B28" s="30" t="s">
        <v>63</v>
      </c>
      <c r="C28" s="31" t="n">
        <v>4</v>
      </c>
      <c r="D28" s="32" t="s">
        <v>223</v>
      </c>
      <c r="E28" s="33" t="s">
        <v>224</v>
      </c>
      <c r="F28" s="34" t="str">
        <f aca="false">HYPERLINK(Links!$B$28,"Unit Assessment")</f>
        <v>Unit Assessment</v>
      </c>
      <c r="G28" s="30"/>
      <c r="H28" s="30"/>
      <c r="I28" s="30"/>
      <c r="J28" s="30"/>
      <c r="K28" s="34" t="str">
        <f aca="false">HYPERLINK(Links!$G$28,"Assessment key")</f>
        <v>Assessment key</v>
      </c>
      <c r="L28" s="30"/>
      <c r="M28" s="30"/>
      <c r="N28" s="30"/>
      <c r="O28" s="30"/>
      <c r="P28" s="34" t="str">
        <f aca="false">HYPERLINK(Links!$L$28,"folder")</f>
        <v>folder</v>
      </c>
      <c r="Q28" s="30"/>
      <c r="R28" s="33"/>
      <c r="S28" s="35"/>
      <c r="T28" s="30"/>
      <c r="U28" s="30"/>
      <c r="V28" s="30"/>
      <c r="W28" s="33"/>
      <c r="X28" s="33"/>
      <c r="Y28" s="30"/>
      <c r="Z28" s="30"/>
      <c r="AA28" s="30"/>
      <c r="AB28" s="33"/>
    </row>
    <row r="29" customFormat="false" ht="35.05" hidden="false" customHeight="false" outlineLevel="0" collapsed="false">
      <c r="A29" s="15" t="n">
        <v>46328</v>
      </c>
      <c r="B29" s="16" t="s">
        <v>74</v>
      </c>
      <c r="C29" s="17" t="n">
        <v>5</v>
      </c>
      <c r="D29" s="18" t="s">
        <v>225</v>
      </c>
      <c r="E29" s="19" t="s">
        <v>226</v>
      </c>
      <c r="F29" s="43" t="s">
        <v>227</v>
      </c>
      <c r="G29" s="16"/>
      <c r="H29" s="16"/>
      <c r="I29" s="16"/>
      <c r="J29" s="16"/>
      <c r="K29" s="16"/>
      <c r="L29" s="16"/>
      <c r="M29" s="16"/>
      <c r="N29" s="16"/>
      <c r="O29" s="16"/>
      <c r="P29" s="16"/>
      <c r="Q29" s="20" t="str">
        <f aca="false">HYPERLINK(Links!$M$29,"search")</f>
        <v>search</v>
      </c>
      <c r="R29" s="19" t="s">
        <v>228</v>
      </c>
      <c r="S29" s="21" t="n">
        <v>46329</v>
      </c>
      <c r="T29" s="16"/>
      <c r="U29" s="16"/>
      <c r="V29" s="16"/>
      <c r="W29" s="19" t="s">
        <v>229</v>
      </c>
      <c r="X29" s="19" t="s">
        <v>230</v>
      </c>
      <c r="Y29" s="16"/>
      <c r="Z29" s="16"/>
      <c r="AA29" s="16"/>
      <c r="AB29" s="19" t="s">
        <v>231</v>
      </c>
    </row>
    <row r="30" customFormat="false" ht="35.05" hidden="false" customHeight="false" outlineLevel="0" collapsed="false">
      <c r="A30" s="15" t="n">
        <v>46329</v>
      </c>
      <c r="B30" s="16" t="s">
        <v>87</v>
      </c>
      <c r="C30" s="17" t="n">
        <v>5</v>
      </c>
      <c r="D30" s="18" t="s">
        <v>232</v>
      </c>
      <c r="E30" s="19" t="s">
        <v>233</v>
      </c>
      <c r="F30" s="43" t="s">
        <v>227</v>
      </c>
      <c r="G30" s="16"/>
      <c r="H30" s="16"/>
      <c r="I30" s="16"/>
      <c r="J30" s="16"/>
      <c r="K30" s="16"/>
      <c r="L30" s="16"/>
      <c r="M30" s="16"/>
      <c r="N30" s="16"/>
      <c r="O30" s="16"/>
      <c r="P30" s="16"/>
      <c r="Q30" s="20" t="str">
        <f aca="false">HYPERLINK(Links!$M$30,"search")</f>
        <v>search</v>
      </c>
      <c r="R30" s="19" t="s">
        <v>234</v>
      </c>
      <c r="S30" s="21" t="n">
        <v>46330</v>
      </c>
      <c r="T30" s="16"/>
      <c r="U30" s="16"/>
      <c r="V30" s="16"/>
      <c r="W30" s="19" t="s">
        <v>229</v>
      </c>
      <c r="X30" s="19" t="s">
        <v>230</v>
      </c>
      <c r="Y30" s="16"/>
      <c r="Z30" s="16"/>
      <c r="AA30" s="16"/>
      <c r="AB30" s="19" t="s">
        <v>235</v>
      </c>
    </row>
    <row r="31" customFormat="false" ht="35.05" hidden="false" customHeight="false" outlineLevel="0" collapsed="false">
      <c r="A31" s="15" t="n">
        <v>46330</v>
      </c>
      <c r="B31" s="16" t="s">
        <v>39</v>
      </c>
      <c r="C31" s="17" t="n">
        <v>5</v>
      </c>
      <c r="D31" s="18" t="s">
        <v>236</v>
      </c>
      <c r="E31" s="19" t="s">
        <v>237</v>
      </c>
      <c r="F31" s="43" t="s">
        <v>227</v>
      </c>
      <c r="G31" s="16"/>
      <c r="H31" s="16"/>
      <c r="I31" s="16"/>
      <c r="J31" s="16"/>
      <c r="K31" s="16"/>
      <c r="L31" s="16"/>
      <c r="M31" s="16"/>
      <c r="N31" s="16"/>
      <c r="O31" s="16"/>
      <c r="P31" s="16"/>
      <c r="Q31" s="20" t="str">
        <f aca="false">HYPERLINK(Links!$M$31,"search")</f>
        <v>search</v>
      </c>
      <c r="R31" s="19" t="s">
        <v>238</v>
      </c>
      <c r="S31" s="21" t="n">
        <v>46331</v>
      </c>
      <c r="T31" s="16"/>
      <c r="U31" s="16"/>
      <c r="V31" s="16"/>
      <c r="W31" s="19" t="s">
        <v>229</v>
      </c>
      <c r="X31" s="19" t="s">
        <v>230</v>
      </c>
      <c r="Y31" s="16"/>
      <c r="Z31" s="16"/>
      <c r="AA31" s="16"/>
      <c r="AB31" s="19" t="s">
        <v>239</v>
      </c>
    </row>
    <row r="32" customFormat="false" ht="35.05" hidden="false" customHeight="false" outlineLevel="0" collapsed="false">
      <c r="A32" s="15" t="n">
        <v>46331</v>
      </c>
      <c r="B32" s="16" t="s">
        <v>52</v>
      </c>
      <c r="C32" s="17" t="n">
        <v>5</v>
      </c>
      <c r="D32" s="18" t="s">
        <v>240</v>
      </c>
      <c r="E32" s="19" t="s">
        <v>241</v>
      </c>
      <c r="F32" s="43" t="s">
        <v>227</v>
      </c>
      <c r="G32" s="16"/>
      <c r="H32" s="16"/>
      <c r="I32" s="16"/>
      <c r="J32" s="16"/>
      <c r="K32" s="16"/>
      <c r="L32" s="16"/>
      <c r="M32" s="16"/>
      <c r="N32" s="16"/>
      <c r="O32" s="16"/>
      <c r="P32" s="16"/>
      <c r="Q32" s="20" t="str">
        <f aca="false">HYPERLINK(Links!$M$32,"search")</f>
        <v>search</v>
      </c>
      <c r="R32" s="19" t="s">
        <v>242</v>
      </c>
      <c r="S32" s="21" t="n">
        <v>46335</v>
      </c>
      <c r="T32" s="16"/>
      <c r="U32" s="16"/>
      <c r="V32" s="16"/>
      <c r="W32" s="19" t="s">
        <v>243</v>
      </c>
      <c r="X32" s="19" t="s">
        <v>244</v>
      </c>
      <c r="Y32" s="16"/>
      <c r="Z32" s="16"/>
      <c r="AA32" s="16"/>
      <c r="AB32" s="19" t="s">
        <v>245</v>
      </c>
    </row>
    <row r="33" customFormat="false" ht="35.05" hidden="false" customHeight="false" outlineLevel="0" collapsed="false">
      <c r="A33" s="15" t="n">
        <v>46332</v>
      </c>
      <c r="B33" s="16" t="s">
        <v>63</v>
      </c>
      <c r="C33" s="17" t="n">
        <v>5</v>
      </c>
      <c r="D33" s="18" t="s">
        <v>246</v>
      </c>
      <c r="E33" s="19" t="s">
        <v>247</v>
      </c>
      <c r="F33" s="43" t="s">
        <v>227</v>
      </c>
      <c r="G33" s="16"/>
      <c r="H33" s="16"/>
      <c r="I33" s="16"/>
      <c r="J33" s="16"/>
      <c r="K33" s="16"/>
      <c r="L33" s="16"/>
      <c r="M33" s="16"/>
      <c r="N33" s="16"/>
      <c r="O33" s="16"/>
      <c r="P33" s="16"/>
      <c r="Q33" s="20" t="str">
        <f aca="false">HYPERLINK(Links!$M$33,"search")</f>
        <v>search</v>
      </c>
      <c r="R33" s="19" t="s">
        <v>242</v>
      </c>
      <c r="S33" s="21" t="n">
        <v>46335</v>
      </c>
      <c r="T33" s="16"/>
      <c r="U33" s="16"/>
      <c r="V33" s="16"/>
      <c r="W33" s="19" t="s">
        <v>243</v>
      </c>
      <c r="X33" s="19" t="s">
        <v>244</v>
      </c>
      <c r="Y33" s="16"/>
      <c r="Z33" s="16"/>
      <c r="AA33" s="16"/>
      <c r="AB33" s="19" t="s">
        <v>248</v>
      </c>
    </row>
    <row r="34" customFormat="false" ht="57.45" hidden="false" customHeight="false" outlineLevel="0" collapsed="false">
      <c r="A34" s="15" t="n">
        <v>46335</v>
      </c>
      <c r="B34" s="16" t="s">
        <v>74</v>
      </c>
      <c r="C34" s="17" t="n">
        <v>5</v>
      </c>
      <c r="D34" s="18" t="s">
        <v>249</v>
      </c>
      <c r="E34" s="19" t="s">
        <v>250</v>
      </c>
      <c r="F34" s="43" t="s">
        <v>227</v>
      </c>
      <c r="G34" s="16"/>
      <c r="H34" s="16"/>
      <c r="I34" s="16"/>
      <c r="J34" s="16"/>
      <c r="K34" s="16"/>
      <c r="L34" s="16"/>
      <c r="M34" s="16"/>
      <c r="N34" s="16"/>
      <c r="O34" s="16"/>
      <c r="P34" s="16"/>
      <c r="Q34" s="20" t="str">
        <f aca="false">HYPERLINK(Links!$M$34,"search")</f>
        <v>search</v>
      </c>
      <c r="R34" s="19" t="s">
        <v>251</v>
      </c>
      <c r="S34" s="21" t="n">
        <v>46336</v>
      </c>
      <c r="T34" s="16"/>
      <c r="U34" s="16"/>
      <c r="V34" s="16"/>
      <c r="W34" s="19" t="s">
        <v>252</v>
      </c>
      <c r="X34" s="19" t="s">
        <v>253</v>
      </c>
      <c r="Y34" s="16"/>
      <c r="Z34" s="16"/>
      <c r="AA34" s="16"/>
      <c r="AB34" s="19" t="s">
        <v>254</v>
      </c>
    </row>
    <row r="35" customFormat="false" ht="23.85" hidden="false" customHeight="false" outlineLevel="0" collapsed="false">
      <c r="A35" s="22" t="n">
        <v>46336</v>
      </c>
      <c r="B35" s="23" t="s">
        <v>87</v>
      </c>
      <c r="C35" s="24" t="n">
        <v>5</v>
      </c>
      <c r="D35" s="25" t="s">
        <v>154</v>
      </c>
      <c r="E35" s="26" t="s">
        <v>155</v>
      </c>
      <c r="F35" s="44" t="s">
        <v>227</v>
      </c>
      <c r="G35" s="23"/>
      <c r="H35" s="23"/>
      <c r="I35" s="23"/>
      <c r="J35" s="23"/>
      <c r="K35" s="23"/>
      <c r="L35" s="23"/>
      <c r="M35" s="23"/>
      <c r="N35" s="23"/>
      <c r="O35" s="23"/>
      <c r="P35" s="23"/>
      <c r="Q35" s="23"/>
      <c r="R35" s="26"/>
      <c r="S35" s="28"/>
      <c r="T35" s="23"/>
      <c r="U35" s="23"/>
      <c r="V35" s="23"/>
      <c r="W35" s="26"/>
      <c r="X35" s="26"/>
      <c r="Y35" s="23"/>
      <c r="Z35" s="23"/>
      <c r="AA35" s="23"/>
      <c r="AB35" s="26"/>
    </row>
    <row r="36" customFormat="false" ht="15" hidden="false" customHeight="false" outlineLevel="0" collapsed="false">
      <c r="A36" s="29" t="n">
        <v>46338</v>
      </c>
      <c r="B36" s="30" t="s">
        <v>52</v>
      </c>
      <c r="C36" s="31" t="n">
        <v>5</v>
      </c>
      <c r="D36" s="32" t="s">
        <v>255</v>
      </c>
      <c r="E36" s="33" t="s">
        <v>256</v>
      </c>
      <c r="F36" s="45" t="s">
        <v>227</v>
      </c>
      <c r="G36" s="30"/>
      <c r="H36" s="30"/>
      <c r="I36" s="30"/>
      <c r="J36" s="30"/>
      <c r="K36" s="30"/>
      <c r="L36" s="30"/>
      <c r="M36" s="30"/>
      <c r="N36" s="30"/>
      <c r="O36" s="30"/>
      <c r="P36" s="30"/>
      <c r="Q36" s="30"/>
      <c r="R36" s="33"/>
      <c r="S36" s="35"/>
      <c r="T36" s="30"/>
      <c r="U36" s="30"/>
      <c r="V36" s="30"/>
      <c r="W36" s="33"/>
      <c r="X36" s="33"/>
      <c r="Y36" s="30"/>
      <c r="Z36" s="30"/>
      <c r="AA36" s="30"/>
      <c r="AB36" s="33"/>
    </row>
    <row r="37" customFormat="false" ht="15" hidden="false" customHeight="false" outlineLevel="0" collapsed="false">
      <c r="A37" s="29" t="n">
        <v>46339</v>
      </c>
      <c r="B37" s="30" t="s">
        <v>63</v>
      </c>
      <c r="C37" s="31" t="n">
        <v>5</v>
      </c>
      <c r="D37" s="32" t="s">
        <v>257</v>
      </c>
      <c r="E37" s="33" t="s">
        <v>258</v>
      </c>
      <c r="F37" s="45" t="s">
        <v>227</v>
      </c>
      <c r="G37" s="30"/>
      <c r="H37" s="30"/>
      <c r="I37" s="30"/>
      <c r="J37" s="30"/>
      <c r="K37" s="30"/>
      <c r="L37" s="30"/>
      <c r="M37" s="30"/>
      <c r="N37" s="30"/>
      <c r="O37" s="30"/>
      <c r="P37" s="30"/>
      <c r="Q37" s="30"/>
      <c r="R37" s="33"/>
      <c r="S37" s="35"/>
      <c r="T37" s="30"/>
      <c r="U37" s="30"/>
      <c r="V37" s="30"/>
      <c r="W37" s="33"/>
      <c r="X37" s="33"/>
      <c r="Y37" s="30"/>
      <c r="Z37" s="30"/>
      <c r="AA37" s="30"/>
      <c r="AB37" s="33"/>
    </row>
    <row r="38" customFormat="false" ht="46.25" hidden="false" customHeight="false" outlineLevel="0" collapsed="false">
      <c r="A38" s="36" t="n">
        <v>46342</v>
      </c>
      <c r="B38" s="37" t="s">
        <v>74</v>
      </c>
      <c r="C38" s="38" t="n">
        <v>6</v>
      </c>
      <c r="D38" s="39" t="s">
        <v>259</v>
      </c>
      <c r="E38" s="40" t="s">
        <v>260</v>
      </c>
      <c r="F38" s="46" t="s">
        <v>227</v>
      </c>
      <c r="G38" s="37"/>
      <c r="H38" s="37"/>
      <c r="I38" s="37"/>
      <c r="J38" s="37"/>
      <c r="K38" s="37"/>
      <c r="L38" s="37"/>
      <c r="M38" s="37"/>
      <c r="N38" s="37"/>
      <c r="O38" s="37"/>
      <c r="P38" s="37"/>
      <c r="Q38" s="41" t="str">
        <f aca="false">HYPERLINK(Links!$M$38,"search")</f>
        <v>search</v>
      </c>
      <c r="R38" s="40" t="s">
        <v>261</v>
      </c>
      <c r="S38" s="42" t="n">
        <v>46343</v>
      </c>
      <c r="T38" s="37"/>
      <c r="U38" s="37"/>
      <c r="V38" s="37"/>
      <c r="W38" s="40" t="s">
        <v>262</v>
      </c>
      <c r="X38" s="40" t="s">
        <v>263</v>
      </c>
      <c r="Y38" s="37"/>
      <c r="Z38" s="37"/>
      <c r="AA38" s="37"/>
      <c r="AB38" s="40" t="s">
        <v>264</v>
      </c>
    </row>
    <row r="39" customFormat="false" ht="23.85" hidden="false" customHeight="false" outlineLevel="0" collapsed="false">
      <c r="A39" s="36" t="n">
        <v>46343</v>
      </c>
      <c r="B39" s="37" t="s">
        <v>87</v>
      </c>
      <c r="C39" s="38" t="n">
        <v>6</v>
      </c>
      <c r="D39" s="39" t="s">
        <v>265</v>
      </c>
      <c r="E39" s="40" t="s">
        <v>266</v>
      </c>
      <c r="F39" s="46" t="s">
        <v>227</v>
      </c>
      <c r="G39" s="37"/>
      <c r="H39" s="37"/>
      <c r="I39" s="37"/>
      <c r="J39" s="37"/>
      <c r="K39" s="37"/>
      <c r="L39" s="37"/>
      <c r="M39" s="37"/>
      <c r="N39" s="37"/>
      <c r="O39" s="37"/>
      <c r="P39" s="37"/>
      <c r="Q39" s="41" t="str">
        <f aca="false">HYPERLINK(Links!$M$39,"search")</f>
        <v>search</v>
      </c>
      <c r="R39" s="40" t="s">
        <v>267</v>
      </c>
      <c r="S39" s="42" t="n">
        <v>46344</v>
      </c>
      <c r="T39" s="37"/>
      <c r="U39" s="37"/>
      <c r="V39" s="37"/>
      <c r="W39" s="40" t="s">
        <v>268</v>
      </c>
      <c r="X39" s="40" t="s">
        <v>269</v>
      </c>
      <c r="Y39" s="37"/>
      <c r="Z39" s="37"/>
      <c r="AA39" s="37"/>
      <c r="AB39" s="40" t="s">
        <v>270</v>
      </c>
    </row>
    <row r="40" customFormat="false" ht="23.85" hidden="false" customHeight="false" outlineLevel="0" collapsed="false">
      <c r="A40" s="36" t="n">
        <v>46344</v>
      </c>
      <c r="B40" s="37" t="s">
        <v>39</v>
      </c>
      <c r="C40" s="38" t="n">
        <v>6</v>
      </c>
      <c r="D40" s="39" t="s">
        <v>271</v>
      </c>
      <c r="E40" s="40" t="s">
        <v>272</v>
      </c>
      <c r="F40" s="46" t="s">
        <v>227</v>
      </c>
      <c r="G40" s="37"/>
      <c r="H40" s="37"/>
      <c r="I40" s="37"/>
      <c r="J40" s="37"/>
      <c r="K40" s="37"/>
      <c r="L40" s="37"/>
      <c r="M40" s="37"/>
      <c r="N40" s="37"/>
      <c r="O40" s="37"/>
      <c r="P40" s="37"/>
      <c r="Q40" s="41" t="str">
        <f aca="false">HYPERLINK(Links!$M$40,"search")</f>
        <v>search</v>
      </c>
      <c r="R40" s="40" t="s">
        <v>273</v>
      </c>
      <c r="S40" s="42" t="n">
        <v>46345</v>
      </c>
      <c r="T40" s="37"/>
      <c r="U40" s="37"/>
      <c r="V40" s="37"/>
      <c r="W40" s="40" t="s">
        <v>268</v>
      </c>
      <c r="X40" s="40" t="s">
        <v>269</v>
      </c>
      <c r="Y40" s="37"/>
      <c r="Z40" s="37"/>
      <c r="AA40" s="37"/>
      <c r="AB40" s="40" t="s">
        <v>274</v>
      </c>
    </row>
    <row r="41" customFormat="false" ht="35.05" hidden="false" customHeight="false" outlineLevel="0" collapsed="false">
      <c r="A41" s="36" t="n">
        <v>46345</v>
      </c>
      <c r="B41" s="37" t="s">
        <v>52</v>
      </c>
      <c r="C41" s="38" t="n">
        <v>6</v>
      </c>
      <c r="D41" s="39" t="s">
        <v>275</v>
      </c>
      <c r="E41" s="40" t="s">
        <v>276</v>
      </c>
      <c r="F41" s="46" t="s">
        <v>227</v>
      </c>
      <c r="G41" s="37"/>
      <c r="H41" s="37"/>
      <c r="I41" s="37"/>
      <c r="J41" s="37"/>
      <c r="K41" s="37"/>
      <c r="L41" s="37"/>
      <c r="M41" s="37"/>
      <c r="N41" s="37"/>
      <c r="O41" s="37"/>
      <c r="P41" s="37"/>
      <c r="Q41" s="41" t="str">
        <f aca="false">HYPERLINK(Links!$M$41,"search")</f>
        <v>search</v>
      </c>
      <c r="R41" s="40" t="s">
        <v>277</v>
      </c>
      <c r="S41" s="42" t="n">
        <v>46346</v>
      </c>
      <c r="T41" s="37"/>
      <c r="U41" s="37"/>
      <c r="V41" s="37"/>
      <c r="W41" s="40" t="s">
        <v>278</v>
      </c>
      <c r="X41" s="40" t="s">
        <v>279</v>
      </c>
      <c r="Y41" s="37"/>
      <c r="Z41" s="37"/>
      <c r="AA41" s="37"/>
      <c r="AB41" s="40" t="s">
        <v>280</v>
      </c>
    </row>
    <row r="42" customFormat="false" ht="35.05" hidden="false" customHeight="false" outlineLevel="0" collapsed="false">
      <c r="A42" s="36" t="n">
        <v>46346</v>
      </c>
      <c r="B42" s="37" t="s">
        <v>63</v>
      </c>
      <c r="C42" s="38" t="n">
        <v>6</v>
      </c>
      <c r="D42" s="39" t="s">
        <v>281</v>
      </c>
      <c r="E42" s="40" t="s">
        <v>282</v>
      </c>
      <c r="F42" s="46" t="s">
        <v>227</v>
      </c>
      <c r="G42" s="37"/>
      <c r="H42" s="37"/>
      <c r="I42" s="37"/>
      <c r="J42" s="37"/>
      <c r="K42" s="37"/>
      <c r="L42" s="37"/>
      <c r="M42" s="37"/>
      <c r="N42" s="37"/>
      <c r="O42" s="37"/>
      <c r="P42" s="37"/>
      <c r="Q42" s="41" t="str">
        <f aca="false">HYPERLINK(Links!$M$42,"search")</f>
        <v>search</v>
      </c>
      <c r="R42" s="40" t="s">
        <v>283</v>
      </c>
      <c r="S42" s="42" t="n">
        <v>46356</v>
      </c>
      <c r="T42" s="37"/>
      <c r="U42" s="37"/>
      <c r="V42" s="37"/>
      <c r="W42" s="40" t="s">
        <v>278</v>
      </c>
      <c r="X42" s="40" t="s">
        <v>279</v>
      </c>
      <c r="Y42" s="37"/>
      <c r="Z42" s="37"/>
      <c r="AA42" s="37"/>
      <c r="AB42" s="40" t="s">
        <v>284</v>
      </c>
    </row>
    <row r="43" customFormat="false" ht="57.45" hidden="false" customHeight="false" outlineLevel="0" collapsed="false">
      <c r="A43" s="36" t="n">
        <v>46356</v>
      </c>
      <c r="B43" s="37" t="s">
        <v>74</v>
      </c>
      <c r="C43" s="38" t="n">
        <v>6</v>
      </c>
      <c r="D43" s="39" t="s">
        <v>285</v>
      </c>
      <c r="E43" s="40" t="s">
        <v>286</v>
      </c>
      <c r="F43" s="46" t="s">
        <v>227</v>
      </c>
      <c r="G43" s="37"/>
      <c r="H43" s="37"/>
      <c r="I43" s="37"/>
      <c r="J43" s="37"/>
      <c r="K43" s="37"/>
      <c r="L43" s="37"/>
      <c r="M43" s="37"/>
      <c r="N43" s="37"/>
      <c r="O43" s="37"/>
      <c r="P43" s="37"/>
      <c r="Q43" s="41" t="str">
        <f aca="false">HYPERLINK(Links!$M$43,"search")</f>
        <v>search</v>
      </c>
      <c r="R43" s="40" t="s">
        <v>287</v>
      </c>
      <c r="S43" s="42" t="n">
        <v>46357</v>
      </c>
      <c r="T43" s="37"/>
      <c r="U43" s="37"/>
      <c r="V43" s="37"/>
      <c r="W43" s="40" t="s">
        <v>288</v>
      </c>
      <c r="X43" s="40" t="s">
        <v>289</v>
      </c>
      <c r="Y43" s="37"/>
      <c r="Z43" s="37"/>
      <c r="AA43" s="37"/>
      <c r="AB43" s="40" t="s">
        <v>290</v>
      </c>
    </row>
    <row r="44" customFormat="false" ht="35.05" hidden="false" customHeight="false" outlineLevel="0" collapsed="false">
      <c r="A44" s="36" t="n">
        <v>46357</v>
      </c>
      <c r="B44" s="37" t="s">
        <v>87</v>
      </c>
      <c r="C44" s="38" t="n">
        <v>6</v>
      </c>
      <c r="D44" s="39" t="s">
        <v>291</v>
      </c>
      <c r="E44" s="40" t="s">
        <v>292</v>
      </c>
      <c r="F44" s="46" t="s">
        <v>227</v>
      </c>
      <c r="G44" s="37"/>
      <c r="H44" s="37"/>
      <c r="I44" s="37"/>
      <c r="J44" s="37"/>
      <c r="K44" s="37"/>
      <c r="L44" s="37"/>
      <c r="M44" s="37"/>
      <c r="N44" s="37"/>
      <c r="O44" s="37"/>
      <c r="P44" s="37"/>
      <c r="Q44" s="41" t="str">
        <f aca="false">HYPERLINK(Links!$M$44,"search")</f>
        <v>search</v>
      </c>
      <c r="R44" s="40" t="s">
        <v>293</v>
      </c>
      <c r="S44" s="42" t="n">
        <v>46358</v>
      </c>
      <c r="T44" s="37"/>
      <c r="U44" s="37"/>
      <c r="V44" s="37"/>
      <c r="W44" s="40" t="s">
        <v>294</v>
      </c>
      <c r="X44" s="40" t="s">
        <v>295</v>
      </c>
      <c r="Y44" s="37"/>
      <c r="Z44" s="37"/>
      <c r="AA44" s="37"/>
      <c r="AB44" s="40" t="s">
        <v>296</v>
      </c>
    </row>
    <row r="45" customFormat="false" ht="46.25" hidden="false" customHeight="false" outlineLevel="0" collapsed="false">
      <c r="A45" s="36" t="n">
        <v>46358</v>
      </c>
      <c r="B45" s="37" t="s">
        <v>39</v>
      </c>
      <c r="C45" s="38" t="n">
        <v>6</v>
      </c>
      <c r="D45" s="39" t="s">
        <v>297</v>
      </c>
      <c r="E45" s="40" t="s">
        <v>298</v>
      </c>
      <c r="F45" s="46" t="s">
        <v>227</v>
      </c>
      <c r="G45" s="37"/>
      <c r="H45" s="37"/>
      <c r="I45" s="37"/>
      <c r="J45" s="37"/>
      <c r="K45" s="37"/>
      <c r="L45" s="37"/>
      <c r="M45" s="37"/>
      <c r="N45" s="37"/>
      <c r="O45" s="37"/>
      <c r="P45" s="37"/>
      <c r="Q45" s="41" t="str">
        <f aca="false">HYPERLINK(Links!$M$45,"search")</f>
        <v>search</v>
      </c>
      <c r="R45" s="40" t="s">
        <v>299</v>
      </c>
      <c r="S45" s="42" t="n">
        <v>46359</v>
      </c>
      <c r="T45" s="37"/>
      <c r="U45" s="37"/>
      <c r="V45" s="37"/>
      <c r="W45" s="40" t="s">
        <v>300</v>
      </c>
      <c r="X45" s="40" t="s">
        <v>301</v>
      </c>
      <c r="Y45" s="37"/>
      <c r="Z45" s="37"/>
      <c r="AA45" s="37"/>
      <c r="AB45" s="40" t="s">
        <v>302</v>
      </c>
    </row>
    <row r="46" customFormat="false" ht="15" hidden="false" customHeight="false" outlineLevel="0" collapsed="false">
      <c r="A46" s="29" t="n">
        <v>46359</v>
      </c>
      <c r="B46" s="30" t="s">
        <v>52</v>
      </c>
      <c r="C46" s="31" t="n">
        <v>6</v>
      </c>
      <c r="D46" s="32" t="s">
        <v>303</v>
      </c>
      <c r="E46" s="33" t="s">
        <v>304</v>
      </c>
      <c r="F46" s="45" t="s">
        <v>227</v>
      </c>
      <c r="G46" s="30"/>
      <c r="H46" s="30"/>
      <c r="I46" s="30"/>
      <c r="J46" s="30"/>
      <c r="K46" s="30"/>
      <c r="L46" s="30"/>
      <c r="M46" s="30"/>
      <c r="N46" s="30"/>
      <c r="O46" s="30"/>
      <c r="P46" s="30"/>
      <c r="Q46" s="30"/>
      <c r="R46" s="33"/>
      <c r="S46" s="35"/>
      <c r="T46" s="30"/>
      <c r="U46" s="30"/>
      <c r="V46" s="30"/>
      <c r="W46" s="33"/>
      <c r="X46" s="33"/>
      <c r="Y46" s="30"/>
      <c r="Z46" s="30"/>
      <c r="AA46" s="30"/>
      <c r="AB46" s="33"/>
    </row>
    <row r="47" customFormat="false" ht="15" hidden="false" customHeight="false" outlineLevel="0" collapsed="false">
      <c r="A47" s="29" t="n">
        <v>46360</v>
      </c>
      <c r="B47" s="30" t="s">
        <v>63</v>
      </c>
      <c r="C47" s="31" t="n">
        <v>6</v>
      </c>
      <c r="D47" s="32" t="s">
        <v>305</v>
      </c>
      <c r="E47" s="33" t="s">
        <v>306</v>
      </c>
      <c r="F47" s="45" t="s">
        <v>227</v>
      </c>
      <c r="G47" s="30"/>
      <c r="H47" s="30"/>
      <c r="I47" s="30"/>
      <c r="J47" s="30"/>
      <c r="K47" s="30"/>
      <c r="L47" s="30"/>
      <c r="M47" s="30"/>
      <c r="N47" s="30"/>
      <c r="O47" s="30"/>
      <c r="P47" s="30"/>
      <c r="Q47" s="30"/>
      <c r="R47" s="33"/>
      <c r="S47" s="35"/>
      <c r="T47" s="30"/>
      <c r="U47" s="30"/>
      <c r="V47" s="30"/>
      <c r="W47" s="33"/>
      <c r="X47" s="33"/>
      <c r="Y47" s="30"/>
      <c r="Z47" s="30"/>
      <c r="AA47" s="30"/>
      <c r="AB47" s="33"/>
    </row>
    <row r="48" customFormat="false" ht="23.85" hidden="false" customHeight="false" outlineLevel="0" collapsed="false">
      <c r="A48" s="15" t="n">
        <v>46363</v>
      </c>
      <c r="B48" s="16" t="s">
        <v>74</v>
      </c>
      <c r="C48" s="17" t="n">
        <v>7</v>
      </c>
      <c r="D48" s="18" t="s">
        <v>307</v>
      </c>
      <c r="E48" s="19" t="s">
        <v>308</v>
      </c>
      <c r="F48" s="43" t="s">
        <v>227</v>
      </c>
      <c r="G48" s="16"/>
      <c r="H48" s="16"/>
      <c r="I48" s="16"/>
      <c r="J48" s="16"/>
      <c r="K48" s="16"/>
      <c r="L48" s="16"/>
      <c r="M48" s="16"/>
      <c r="N48" s="16"/>
      <c r="O48" s="16"/>
      <c r="P48" s="16"/>
      <c r="Q48" s="20" t="str">
        <f aca="false">HYPERLINK(Links!$M$48,"search")</f>
        <v>search</v>
      </c>
      <c r="R48" s="19" t="s">
        <v>309</v>
      </c>
      <c r="S48" s="21" t="n">
        <v>46364</v>
      </c>
      <c r="T48" s="16"/>
      <c r="U48" s="16"/>
      <c r="V48" s="16"/>
      <c r="W48" s="19" t="s">
        <v>310</v>
      </c>
      <c r="X48" s="19" t="s">
        <v>311</v>
      </c>
      <c r="Y48" s="16"/>
      <c r="Z48" s="16"/>
      <c r="AA48" s="16"/>
      <c r="AB48" s="19" t="s">
        <v>312</v>
      </c>
    </row>
    <row r="49" customFormat="false" ht="46.25" hidden="false" customHeight="false" outlineLevel="0" collapsed="false">
      <c r="A49" s="15" t="n">
        <v>46364</v>
      </c>
      <c r="B49" s="16" t="s">
        <v>87</v>
      </c>
      <c r="C49" s="17" t="n">
        <v>7</v>
      </c>
      <c r="D49" s="18" t="s">
        <v>313</v>
      </c>
      <c r="E49" s="19" t="s">
        <v>314</v>
      </c>
      <c r="F49" s="43" t="s">
        <v>227</v>
      </c>
      <c r="G49" s="16"/>
      <c r="H49" s="16"/>
      <c r="I49" s="16"/>
      <c r="J49" s="16"/>
      <c r="K49" s="16"/>
      <c r="L49" s="16"/>
      <c r="M49" s="16"/>
      <c r="N49" s="16"/>
      <c r="O49" s="16"/>
      <c r="P49" s="16"/>
      <c r="Q49" s="20" t="str">
        <f aca="false">HYPERLINK(Links!$M$49,"search")</f>
        <v>search</v>
      </c>
      <c r="R49" s="19" t="s">
        <v>315</v>
      </c>
      <c r="S49" s="21" t="n">
        <v>46365</v>
      </c>
      <c r="T49" s="16"/>
      <c r="U49" s="16"/>
      <c r="V49" s="16"/>
      <c r="W49" s="19" t="s">
        <v>316</v>
      </c>
      <c r="X49" s="19" t="s">
        <v>317</v>
      </c>
      <c r="Y49" s="16"/>
      <c r="Z49" s="16"/>
      <c r="AA49" s="16"/>
      <c r="AB49" s="19" t="s">
        <v>318</v>
      </c>
    </row>
    <row r="50" customFormat="false" ht="57.45" hidden="false" customHeight="false" outlineLevel="0" collapsed="false">
      <c r="A50" s="15" t="n">
        <v>46365</v>
      </c>
      <c r="B50" s="16" t="s">
        <v>39</v>
      </c>
      <c r="C50" s="17" t="n">
        <v>7</v>
      </c>
      <c r="D50" s="18" t="s">
        <v>319</v>
      </c>
      <c r="E50" s="19" t="s">
        <v>320</v>
      </c>
      <c r="F50" s="43" t="s">
        <v>227</v>
      </c>
      <c r="G50" s="16"/>
      <c r="H50" s="16"/>
      <c r="I50" s="16"/>
      <c r="J50" s="16"/>
      <c r="K50" s="16"/>
      <c r="L50" s="16"/>
      <c r="M50" s="16"/>
      <c r="N50" s="16"/>
      <c r="O50" s="16"/>
      <c r="P50" s="16"/>
      <c r="Q50" s="20" t="str">
        <f aca="false">HYPERLINK(Links!$M$50,"search")</f>
        <v>search</v>
      </c>
      <c r="R50" s="19" t="s">
        <v>321</v>
      </c>
      <c r="S50" s="21" t="n">
        <v>46366</v>
      </c>
      <c r="T50" s="16"/>
      <c r="U50" s="16"/>
      <c r="V50" s="16"/>
      <c r="W50" s="19" t="s">
        <v>322</v>
      </c>
      <c r="X50" s="19" t="s">
        <v>323</v>
      </c>
      <c r="Y50" s="16"/>
      <c r="Z50" s="16"/>
      <c r="AA50" s="16"/>
      <c r="AB50" s="19" t="s">
        <v>324</v>
      </c>
    </row>
    <row r="51" customFormat="false" ht="46.25" hidden="false" customHeight="false" outlineLevel="0" collapsed="false">
      <c r="A51" s="15" t="n">
        <v>46366</v>
      </c>
      <c r="B51" s="16" t="s">
        <v>52</v>
      </c>
      <c r="C51" s="17" t="n">
        <v>7</v>
      </c>
      <c r="D51" s="18" t="s">
        <v>325</v>
      </c>
      <c r="E51" s="19" t="s">
        <v>326</v>
      </c>
      <c r="F51" s="43" t="s">
        <v>227</v>
      </c>
      <c r="G51" s="16"/>
      <c r="H51" s="16"/>
      <c r="I51" s="16"/>
      <c r="J51" s="16"/>
      <c r="K51" s="16"/>
      <c r="L51" s="16"/>
      <c r="M51" s="16"/>
      <c r="N51" s="16"/>
      <c r="O51" s="16"/>
      <c r="P51" s="16"/>
      <c r="Q51" s="20" t="str">
        <f aca="false">HYPERLINK(Links!$M$51,"search")</f>
        <v>search</v>
      </c>
      <c r="R51" s="19" t="s">
        <v>327</v>
      </c>
      <c r="S51" s="21" t="n">
        <v>46367</v>
      </c>
      <c r="T51" s="16"/>
      <c r="U51" s="16"/>
      <c r="V51" s="16"/>
      <c r="W51" s="19" t="s">
        <v>328</v>
      </c>
      <c r="X51" s="19" t="s">
        <v>329</v>
      </c>
      <c r="Y51" s="16"/>
      <c r="Z51" s="16"/>
      <c r="AA51" s="16"/>
      <c r="AB51" s="19" t="s">
        <v>330</v>
      </c>
    </row>
    <row r="52" customFormat="false" ht="23.85" hidden="false" customHeight="false" outlineLevel="0" collapsed="false">
      <c r="A52" s="15" t="n">
        <v>46367</v>
      </c>
      <c r="B52" s="16" t="s">
        <v>63</v>
      </c>
      <c r="C52" s="17" t="n">
        <v>7</v>
      </c>
      <c r="D52" s="18" t="s">
        <v>331</v>
      </c>
      <c r="E52" s="19" t="s">
        <v>332</v>
      </c>
      <c r="F52" s="43" t="s">
        <v>227</v>
      </c>
      <c r="G52" s="16"/>
      <c r="H52" s="16"/>
      <c r="I52" s="16"/>
      <c r="J52" s="16"/>
      <c r="K52" s="16"/>
      <c r="L52" s="16"/>
      <c r="M52" s="16"/>
      <c r="N52" s="16"/>
      <c r="O52" s="16"/>
      <c r="P52" s="16"/>
      <c r="Q52" s="20" t="str">
        <f aca="false">HYPERLINK(Links!$M$52,"search")</f>
        <v>search</v>
      </c>
      <c r="R52" s="19" t="s">
        <v>333</v>
      </c>
      <c r="S52" s="21" t="n">
        <v>46370</v>
      </c>
      <c r="T52" s="16"/>
      <c r="U52" s="16"/>
      <c r="V52" s="16"/>
      <c r="W52" s="19" t="s">
        <v>334</v>
      </c>
      <c r="X52" s="19" t="s">
        <v>335</v>
      </c>
      <c r="Y52" s="16"/>
      <c r="Z52" s="16"/>
      <c r="AA52" s="16"/>
      <c r="AB52" s="19" t="s">
        <v>336</v>
      </c>
    </row>
    <row r="53" customFormat="false" ht="15" hidden="false" customHeight="false" outlineLevel="0" collapsed="false">
      <c r="A53" s="29" t="n">
        <v>46370</v>
      </c>
      <c r="B53" s="30" t="s">
        <v>74</v>
      </c>
      <c r="C53" s="31" t="n">
        <v>7</v>
      </c>
      <c r="D53" s="32" t="s">
        <v>337</v>
      </c>
      <c r="E53" s="33" t="s">
        <v>338</v>
      </c>
      <c r="F53" s="45" t="s">
        <v>227</v>
      </c>
      <c r="G53" s="30"/>
      <c r="H53" s="30"/>
      <c r="I53" s="30"/>
      <c r="J53" s="30"/>
      <c r="K53" s="30"/>
      <c r="L53" s="30"/>
      <c r="M53" s="30"/>
      <c r="N53" s="30"/>
      <c r="O53" s="30"/>
      <c r="P53" s="30"/>
      <c r="Q53" s="30"/>
      <c r="R53" s="33"/>
      <c r="S53" s="35"/>
      <c r="T53" s="30"/>
      <c r="U53" s="30"/>
      <c r="V53" s="30"/>
      <c r="W53" s="33"/>
      <c r="X53" s="33"/>
      <c r="Y53" s="30"/>
      <c r="Z53" s="30"/>
      <c r="AA53" s="30"/>
      <c r="AB53" s="33"/>
    </row>
    <row r="54" customFormat="false" ht="15" hidden="false" customHeight="false" outlineLevel="0" collapsed="false">
      <c r="A54" s="29" t="n">
        <v>46371</v>
      </c>
      <c r="B54" s="30" t="s">
        <v>87</v>
      </c>
      <c r="C54" s="31" t="n">
        <v>7</v>
      </c>
      <c r="D54" s="32" t="s">
        <v>339</v>
      </c>
      <c r="E54" s="33" t="s">
        <v>340</v>
      </c>
      <c r="F54" s="45" t="s">
        <v>227</v>
      </c>
      <c r="G54" s="30"/>
      <c r="H54" s="30"/>
      <c r="I54" s="30"/>
      <c r="J54" s="30"/>
      <c r="K54" s="30"/>
      <c r="L54" s="30"/>
      <c r="M54" s="30"/>
      <c r="N54" s="30"/>
      <c r="O54" s="30"/>
      <c r="P54" s="30"/>
      <c r="Q54" s="30"/>
      <c r="R54" s="33"/>
      <c r="S54" s="35"/>
      <c r="T54" s="30"/>
      <c r="U54" s="30"/>
      <c r="V54" s="30"/>
      <c r="W54" s="33"/>
      <c r="X54" s="33"/>
      <c r="Y54" s="30"/>
      <c r="Z54" s="30"/>
      <c r="AA54" s="30"/>
      <c r="AB54" s="33"/>
    </row>
    <row r="55" customFormat="false" ht="303.7" hidden="false" customHeight="false" outlineLevel="0" collapsed="false">
      <c r="A55" s="22" t="n">
        <v>46372</v>
      </c>
      <c r="B55" s="23" t="s">
        <v>39</v>
      </c>
      <c r="C55" s="24"/>
      <c r="D55" s="25" t="s">
        <v>341</v>
      </c>
      <c r="E55" s="26" t="s">
        <v>342</v>
      </c>
      <c r="F55" s="23"/>
      <c r="G55" s="23"/>
      <c r="H55" s="23"/>
      <c r="I55" s="23"/>
      <c r="J55" s="23"/>
      <c r="K55" s="23"/>
      <c r="L55" s="23"/>
      <c r="M55" s="23"/>
      <c r="N55" s="23"/>
      <c r="O55" s="23"/>
      <c r="P55" s="23"/>
      <c r="Q55" s="23"/>
      <c r="R55" s="26"/>
      <c r="S55" s="28"/>
      <c r="T55" s="23"/>
      <c r="U55" s="23"/>
      <c r="V55" s="23"/>
      <c r="W55" s="26" t="s">
        <v>343</v>
      </c>
      <c r="X55" s="26" t="s">
        <v>344</v>
      </c>
      <c r="Y55" s="23"/>
      <c r="Z55" s="23"/>
      <c r="AA55" s="23"/>
      <c r="AB55" s="26"/>
    </row>
    <row r="56" customFormat="false" ht="35.05" hidden="false" customHeight="false" outlineLevel="0" collapsed="false">
      <c r="A56" s="22" t="n">
        <v>46373</v>
      </c>
      <c r="B56" s="23" t="s">
        <v>52</v>
      </c>
      <c r="C56" s="24"/>
      <c r="D56" s="25" t="s">
        <v>345</v>
      </c>
      <c r="E56" s="26" t="s">
        <v>346</v>
      </c>
      <c r="F56" s="23"/>
      <c r="G56" s="23"/>
      <c r="H56" s="23"/>
      <c r="I56" s="23"/>
      <c r="J56" s="23"/>
      <c r="K56" s="23"/>
      <c r="L56" s="23"/>
      <c r="M56" s="23"/>
      <c r="N56" s="23"/>
      <c r="O56" s="23"/>
      <c r="P56" s="23"/>
      <c r="Q56" s="23"/>
      <c r="R56" s="26"/>
      <c r="S56" s="28"/>
      <c r="T56" s="23"/>
      <c r="U56" s="23"/>
      <c r="V56" s="23"/>
      <c r="W56" s="26" t="s">
        <v>347</v>
      </c>
      <c r="X56" s="26" t="s">
        <v>348</v>
      </c>
      <c r="Y56" s="23"/>
      <c r="Z56" s="23"/>
      <c r="AA56" s="23"/>
      <c r="AB56" s="26"/>
    </row>
    <row r="57" customFormat="false" ht="46.25" hidden="false" customHeight="false" outlineLevel="0" collapsed="false">
      <c r="A57" s="22" t="n">
        <v>46374</v>
      </c>
      <c r="B57" s="23" t="s">
        <v>63</v>
      </c>
      <c r="C57" s="24"/>
      <c r="D57" s="25" t="s">
        <v>349</v>
      </c>
      <c r="E57" s="26" t="s">
        <v>350</v>
      </c>
      <c r="F57" s="23"/>
      <c r="G57" s="23"/>
      <c r="H57" s="23"/>
      <c r="I57" s="23"/>
      <c r="J57" s="23"/>
      <c r="K57" s="23"/>
      <c r="L57" s="23"/>
      <c r="M57" s="23"/>
      <c r="N57" s="23"/>
      <c r="O57" s="23"/>
      <c r="P57" s="23"/>
      <c r="Q57" s="23"/>
      <c r="R57" s="26"/>
      <c r="S57" s="28"/>
      <c r="T57" s="23"/>
      <c r="U57" s="23"/>
      <c r="V57" s="23"/>
      <c r="W57" s="26" t="s">
        <v>351</v>
      </c>
      <c r="X57" s="26" t="s">
        <v>352</v>
      </c>
      <c r="Y57" s="23"/>
      <c r="Z57" s="23"/>
      <c r="AA57" s="23"/>
      <c r="AB57" s="26"/>
    </row>
    <row r="58" customFormat="false" ht="35.05" hidden="false" customHeight="false" outlineLevel="0" collapsed="false">
      <c r="A58" s="36" t="n">
        <v>46393</v>
      </c>
      <c r="B58" s="37" t="s">
        <v>39</v>
      </c>
      <c r="C58" s="38" t="n">
        <v>8</v>
      </c>
      <c r="D58" s="39" t="s">
        <v>353</v>
      </c>
      <c r="E58" s="40" t="s">
        <v>354</v>
      </c>
      <c r="F58" s="46" t="s">
        <v>227</v>
      </c>
      <c r="G58" s="37"/>
      <c r="H58" s="37"/>
      <c r="I58" s="37"/>
      <c r="J58" s="37"/>
      <c r="K58" s="37"/>
      <c r="L58" s="37"/>
      <c r="M58" s="37"/>
      <c r="N58" s="37"/>
      <c r="O58" s="37"/>
      <c r="P58" s="37"/>
      <c r="Q58" s="41" t="str">
        <f aca="false">HYPERLINK(Links!$M$58,"search")</f>
        <v>search</v>
      </c>
      <c r="R58" s="40" t="s">
        <v>355</v>
      </c>
      <c r="S58" s="42" t="n">
        <v>46394</v>
      </c>
      <c r="T58" s="37"/>
      <c r="U58" s="37"/>
      <c r="V58" s="37"/>
      <c r="W58" s="40" t="s">
        <v>356</v>
      </c>
      <c r="X58" s="40" t="s">
        <v>357</v>
      </c>
      <c r="Y58" s="37"/>
      <c r="Z58" s="37"/>
      <c r="AA58" s="37"/>
      <c r="AB58" s="40" t="s">
        <v>358</v>
      </c>
    </row>
    <row r="59" customFormat="false" ht="35.05" hidden="false" customHeight="false" outlineLevel="0" collapsed="false">
      <c r="A59" s="36" t="n">
        <v>46394</v>
      </c>
      <c r="B59" s="37" t="s">
        <v>52</v>
      </c>
      <c r="C59" s="38" t="n">
        <v>8</v>
      </c>
      <c r="D59" s="39" t="s">
        <v>359</v>
      </c>
      <c r="E59" s="40" t="s">
        <v>360</v>
      </c>
      <c r="F59" s="46" t="s">
        <v>227</v>
      </c>
      <c r="G59" s="37"/>
      <c r="H59" s="37"/>
      <c r="I59" s="37"/>
      <c r="J59" s="37"/>
      <c r="K59" s="37"/>
      <c r="L59" s="37"/>
      <c r="M59" s="37"/>
      <c r="N59" s="37"/>
      <c r="O59" s="37"/>
      <c r="P59" s="37"/>
      <c r="Q59" s="41" t="str">
        <f aca="false">HYPERLINK(Links!$M$59,"search")</f>
        <v>search</v>
      </c>
      <c r="R59" s="40" t="s">
        <v>361</v>
      </c>
      <c r="S59" s="42" t="n">
        <v>46395</v>
      </c>
      <c r="T59" s="37"/>
      <c r="U59" s="37"/>
      <c r="V59" s="37"/>
      <c r="W59" s="40" t="s">
        <v>356</v>
      </c>
      <c r="X59" s="40" t="s">
        <v>357</v>
      </c>
      <c r="Y59" s="37"/>
      <c r="Z59" s="37"/>
      <c r="AA59" s="37"/>
      <c r="AB59" s="40" t="s">
        <v>362</v>
      </c>
    </row>
    <row r="60" customFormat="false" ht="23.85" hidden="false" customHeight="false" outlineLevel="0" collapsed="false">
      <c r="A60" s="36" t="n">
        <v>46395</v>
      </c>
      <c r="B60" s="37" t="s">
        <v>63</v>
      </c>
      <c r="C60" s="38" t="n">
        <v>8</v>
      </c>
      <c r="D60" s="39" t="s">
        <v>363</v>
      </c>
      <c r="E60" s="40" t="s">
        <v>364</v>
      </c>
      <c r="F60" s="46" t="s">
        <v>227</v>
      </c>
      <c r="G60" s="37"/>
      <c r="H60" s="37"/>
      <c r="I60" s="37"/>
      <c r="J60" s="37"/>
      <c r="K60" s="37"/>
      <c r="L60" s="37"/>
      <c r="M60" s="37"/>
      <c r="N60" s="37"/>
      <c r="O60" s="37"/>
      <c r="P60" s="37"/>
      <c r="Q60" s="41" t="str">
        <f aca="false">HYPERLINK(Links!$M$60,"search")</f>
        <v>search</v>
      </c>
      <c r="R60" s="40" t="s">
        <v>365</v>
      </c>
      <c r="S60" s="42" t="n">
        <v>46398</v>
      </c>
      <c r="T60" s="37"/>
      <c r="U60" s="37"/>
      <c r="V60" s="37"/>
      <c r="W60" s="40" t="s">
        <v>366</v>
      </c>
      <c r="X60" s="40" t="s">
        <v>367</v>
      </c>
      <c r="Y60" s="37"/>
      <c r="Z60" s="37"/>
      <c r="AA60" s="37"/>
      <c r="AB60" s="40" t="s">
        <v>368</v>
      </c>
    </row>
    <row r="61" customFormat="false" ht="23.85" hidden="false" customHeight="false" outlineLevel="0" collapsed="false">
      <c r="A61" s="36" t="n">
        <v>46398</v>
      </c>
      <c r="B61" s="37" t="s">
        <v>74</v>
      </c>
      <c r="C61" s="38" t="n">
        <v>8</v>
      </c>
      <c r="D61" s="39" t="s">
        <v>369</v>
      </c>
      <c r="E61" s="40" t="s">
        <v>370</v>
      </c>
      <c r="F61" s="46" t="s">
        <v>227</v>
      </c>
      <c r="G61" s="37"/>
      <c r="H61" s="37"/>
      <c r="I61" s="37"/>
      <c r="J61" s="37"/>
      <c r="K61" s="37"/>
      <c r="L61" s="37"/>
      <c r="M61" s="37"/>
      <c r="N61" s="37"/>
      <c r="O61" s="37"/>
      <c r="P61" s="37"/>
      <c r="Q61" s="41" t="str">
        <f aca="false">HYPERLINK(Links!$M$61,"search")</f>
        <v>search</v>
      </c>
      <c r="R61" s="40" t="s">
        <v>371</v>
      </c>
      <c r="S61" s="42" t="n">
        <v>46399</v>
      </c>
      <c r="T61" s="37"/>
      <c r="U61" s="37"/>
      <c r="V61" s="37"/>
      <c r="W61" s="40" t="s">
        <v>366</v>
      </c>
      <c r="X61" s="40" t="s">
        <v>367</v>
      </c>
      <c r="Y61" s="37"/>
      <c r="Z61" s="37"/>
      <c r="AA61" s="37"/>
      <c r="AB61" s="40" t="s">
        <v>372</v>
      </c>
    </row>
    <row r="62" customFormat="false" ht="57.45" hidden="false" customHeight="false" outlineLevel="0" collapsed="false">
      <c r="A62" s="36" t="n">
        <v>46399</v>
      </c>
      <c r="B62" s="37" t="s">
        <v>87</v>
      </c>
      <c r="C62" s="38" t="n">
        <v>8</v>
      </c>
      <c r="D62" s="39" t="s">
        <v>373</v>
      </c>
      <c r="E62" s="40" t="s">
        <v>374</v>
      </c>
      <c r="F62" s="46" t="s">
        <v>227</v>
      </c>
      <c r="G62" s="37"/>
      <c r="H62" s="37"/>
      <c r="I62" s="37"/>
      <c r="J62" s="37"/>
      <c r="K62" s="37"/>
      <c r="L62" s="37"/>
      <c r="M62" s="37"/>
      <c r="N62" s="37"/>
      <c r="O62" s="37"/>
      <c r="P62" s="37"/>
      <c r="Q62" s="41" t="str">
        <f aca="false">HYPERLINK(Links!$M$62,"search")</f>
        <v>search</v>
      </c>
      <c r="R62" s="40" t="s">
        <v>375</v>
      </c>
      <c r="S62" s="42" t="n">
        <v>46400</v>
      </c>
      <c r="T62" s="37"/>
      <c r="U62" s="37"/>
      <c r="V62" s="37"/>
      <c r="W62" s="40" t="s">
        <v>376</v>
      </c>
      <c r="X62" s="40" t="s">
        <v>377</v>
      </c>
      <c r="Y62" s="37"/>
      <c r="Z62" s="37"/>
      <c r="AA62" s="37"/>
      <c r="AB62" s="40" t="s">
        <v>378</v>
      </c>
    </row>
    <row r="63" customFormat="false" ht="57.45" hidden="false" customHeight="false" outlineLevel="0" collapsed="false">
      <c r="A63" s="15" t="n">
        <v>46400</v>
      </c>
      <c r="B63" s="16" t="s">
        <v>39</v>
      </c>
      <c r="C63" s="17" t="n">
        <v>9</v>
      </c>
      <c r="D63" s="18" t="s">
        <v>379</v>
      </c>
      <c r="E63" s="19" t="s">
        <v>380</v>
      </c>
      <c r="F63" s="43" t="s">
        <v>227</v>
      </c>
      <c r="G63" s="16"/>
      <c r="H63" s="16"/>
      <c r="I63" s="16"/>
      <c r="J63" s="16"/>
      <c r="K63" s="16"/>
      <c r="L63" s="16"/>
      <c r="M63" s="16"/>
      <c r="N63" s="16"/>
      <c r="O63" s="16"/>
      <c r="P63" s="16"/>
      <c r="Q63" s="20" t="str">
        <f aca="false">HYPERLINK(Links!$M$63,"search")</f>
        <v>search</v>
      </c>
      <c r="R63" s="19" t="s">
        <v>381</v>
      </c>
      <c r="S63" s="21" t="n">
        <v>46402</v>
      </c>
      <c r="T63" s="16"/>
      <c r="U63" s="16"/>
      <c r="V63" s="16"/>
      <c r="W63" s="19" t="s">
        <v>382</v>
      </c>
      <c r="X63" s="19" t="s">
        <v>383</v>
      </c>
      <c r="Y63" s="16"/>
      <c r="Z63" s="16"/>
      <c r="AA63" s="16"/>
      <c r="AB63" s="19" t="s">
        <v>384</v>
      </c>
    </row>
    <row r="64" customFormat="false" ht="15" hidden="false" customHeight="false" outlineLevel="0" collapsed="false">
      <c r="A64" s="22" t="n">
        <v>46401</v>
      </c>
      <c r="B64" s="23" t="s">
        <v>52</v>
      </c>
      <c r="C64" s="24" t="n">
        <v>9</v>
      </c>
      <c r="D64" s="25" t="s">
        <v>142</v>
      </c>
      <c r="E64" s="26" t="s">
        <v>143</v>
      </c>
      <c r="F64" s="44" t="s">
        <v>227</v>
      </c>
      <c r="G64" s="23"/>
      <c r="H64" s="23"/>
      <c r="I64" s="23"/>
      <c r="J64" s="23"/>
      <c r="K64" s="23"/>
      <c r="L64" s="23"/>
      <c r="M64" s="23"/>
      <c r="N64" s="23"/>
      <c r="O64" s="23"/>
      <c r="P64" s="23"/>
      <c r="Q64" s="23"/>
      <c r="R64" s="26"/>
      <c r="S64" s="28"/>
      <c r="T64" s="23"/>
      <c r="U64" s="23"/>
      <c r="V64" s="23"/>
      <c r="W64" s="26"/>
      <c r="X64" s="26"/>
      <c r="Y64" s="23"/>
      <c r="Z64" s="23"/>
      <c r="AA64" s="23"/>
      <c r="AB64" s="26"/>
    </row>
    <row r="65" customFormat="false" ht="46.25" hidden="false" customHeight="false" outlineLevel="0" collapsed="false">
      <c r="A65" s="15" t="n">
        <v>46402</v>
      </c>
      <c r="B65" s="16" t="s">
        <v>63</v>
      </c>
      <c r="C65" s="17" t="n">
        <v>9</v>
      </c>
      <c r="D65" s="18" t="s">
        <v>385</v>
      </c>
      <c r="E65" s="19" t="s">
        <v>386</v>
      </c>
      <c r="F65" s="43" t="s">
        <v>227</v>
      </c>
      <c r="G65" s="16"/>
      <c r="H65" s="16"/>
      <c r="I65" s="16"/>
      <c r="J65" s="16"/>
      <c r="K65" s="16"/>
      <c r="L65" s="16"/>
      <c r="M65" s="16"/>
      <c r="N65" s="16"/>
      <c r="O65" s="16"/>
      <c r="P65" s="16"/>
      <c r="Q65" s="20" t="str">
        <f aca="false">HYPERLINK(Links!$M$65,"search")</f>
        <v>search</v>
      </c>
      <c r="R65" s="19" t="s">
        <v>387</v>
      </c>
      <c r="S65" s="21" t="n">
        <v>46406</v>
      </c>
      <c r="T65" s="16"/>
      <c r="U65" s="16"/>
      <c r="V65" s="16"/>
      <c r="W65" s="19" t="s">
        <v>388</v>
      </c>
      <c r="X65" s="19" t="s">
        <v>389</v>
      </c>
      <c r="Y65" s="16"/>
      <c r="Z65" s="16"/>
      <c r="AA65" s="16"/>
      <c r="AB65" s="19" t="s">
        <v>390</v>
      </c>
    </row>
    <row r="66" customFormat="false" ht="23.85" hidden="false" customHeight="false" outlineLevel="0" collapsed="false">
      <c r="A66" s="22" t="n">
        <v>46406</v>
      </c>
      <c r="B66" s="23" t="s">
        <v>87</v>
      </c>
      <c r="C66" s="24" t="n">
        <v>9</v>
      </c>
      <c r="D66" s="25" t="s">
        <v>154</v>
      </c>
      <c r="E66" s="26" t="s">
        <v>155</v>
      </c>
      <c r="F66" s="44" t="s">
        <v>227</v>
      </c>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44" t="s">
        <v>227</v>
      </c>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391</v>
      </c>
      <c r="E68" s="33" t="s">
        <v>392</v>
      </c>
      <c r="F68" s="45" t="s">
        <v>227</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393</v>
      </c>
      <c r="E69" s="33" t="s">
        <v>394</v>
      </c>
      <c r="F69" s="45" t="s">
        <v>227</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395</v>
      </c>
      <c r="E70" s="40" t="s">
        <v>396</v>
      </c>
      <c r="F70" s="46" t="s">
        <v>227</v>
      </c>
      <c r="G70" s="37"/>
      <c r="H70" s="37"/>
      <c r="I70" s="37"/>
      <c r="J70" s="37"/>
      <c r="K70" s="37"/>
      <c r="L70" s="37"/>
      <c r="M70" s="37"/>
      <c r="N70" s="37"/>
      <c r="O70" s="37"/>
      <c r="P70" s="37"/>
      <c r="Q70" s="41" t="str">
        <f aca="false">HYPERLINK(Links!$M$70,"search")</f>
        <v>search</v>
      </c>
      <c r="R70" s="40" t="s">
        <v>397</v>
      </c>
      <c r="S70" s="42" t="n">
        <v>46413</v>
      </c>
      <c r="T70" s="37"/>
      <c r="U70" s="37"/>
      <c r="V70" s="37"/>
      <c r="W70" s="40" t="s">
        <v>398</v>
      </c>
      <c r="X70" s="40" t="s">
        <v>399</v>
      </c>
      <c r="Y70" s="37"/>
      <c r="Z70" s="37"/>
      <c r="AA70" s="37"/>
      <c r="AB70" s="40" t="s">
        <v>400</v>
      </c>
    </row>
    <row r="71" customFormat="false" ht="35.05" hidden="false" customHeight="false" outlineLevel="0" collapsed="false">
      <c r="A71" s="36" t="n">
        <v>46413</v>
      </c>
      <c r="B71" s="37" t="s">
        <v>87</v>
      </c>
      <c r="C71" s="38" t="n">
        <v>10</v>
      </c>
      <c r="D71" s="39" t="s">
        <v>401</v>
      </c>
      <c r="E71" s="40" t="s">
        <v>402</v>
      </c>
      <c r="F71" s="46" t="s">
        <v>227</v>
      </c>
      <c r="G71" s="37"/>
      <c r="H71" s="37"/>
      <c r="I71" s="37"/>
      <c r="J71" s="37"/>
      <c r="K71" s="37"/>
      <c r="L71" s="37"/>
      <c r="M71" s="37"/>
      <c r="N71" s="37"/>
      <c r="O71" s="37"/>
      <c r="P71" s="37"/>
      <c r="Q71" s="41" t="str">
        <f aca="false">HYPERLINK(Links!$M$71,"search")</f>
        <v>search</v>
      </c>
      <c r="R71" s="40" t="s">
        <v>403</v>
      </c>
      <c r="S71" s="42" t="n">
        <v>46414</v>
      </c>
      <c r="T71" s="37"/>
      <c r="U71" s="37"/>
      <c r="V71" s="37"/>
      <c r="W71" s="40" t="s">
        <v>404</v>
      </c>
      <c r="X71" s="40" t="s">
        <v>405</v>
      </c>
      <c r="Y71" s="37"/>
      <c r="Z71" s="37"/>
      <c r="AA71" s="37"/>
      <c r="AB71" s="40" t="s">
        <v>406</v>
      </c>
    </row>
    <row r="72" customFormat="false" ht="68.65" hidden="false" customHeight="false" outlineLevel="0" collapsed="false">
      <c r="A72" s="36" t="n">
        <v>46414</v>
      </c>
      <c r="B72" s="37" t="s">
        <v>39</v>
      </c>
      <c r="C72" s="38" t="n">
        <v>10</v>
      </c>
      <c r="D72" s="39" t="s">
        <v>407</v>
      </c>
      <c r="E72" s="40" t="s">
        <v>408</v>
      </c>
      <c r="F72" s="46" t="s">
        <v>227</v>
      </c>
      <c r="G72" s="37"/>
      <c r="H72" s="37"/>
      <c r="I72" s="37"/>
      <c r="J72" s="37"/>
      <c r="K72" s="37"/>
      <c r="L72" s="37"/>
      <c r="M72" s="37"/>
      <c r="N72" s="37"/>
      <c r="O72" s="37"/>
      <c r="P72" s="37"/>
      <c r="Q72" s="41" t="str">
        <f aca="false">HYPERLINK(Links!$M$72,"search")</f>
        <v>search</v>
      </c>
      <c r="R72" s="40" t="s">
        <v>409</v>
      </c>
      <c r="S72" s="42" t="n">
        <v>46415</v>
      </c>
      <c r="T72" s="37"/>
      <c r="U72" s="37"/>
      <c r="V72" s="37"/>
      <c r="W72" s="40" t="s">
        <v>410</v>
      </c>
      <c r="X72" s="40" t="s">
        <v>411</v>
      </c>
      <c r="Y72" s="37"/>
      <c r="Z72" s="37"/>
      <c r="AA72" s="37"/>
      <c r="AB72" s="40" t="s">
        <v>412</v>
      </c>
    </row>
    <row r="73" customFormat="false" ht="68.65" hidden="false" customHeight="false" outlineLevel="0" collapsed="false">
      <c r="A73" s="36" t="n">
        <v>46415</v>
      </c>
      <c r="B73" s="37" t="s">
        <v>52</v>
      </c>
      <c r="C73" s="38" t="n">
        <v>10</v>
      </c>
      <c r="D73" s="39" t="s">
        <v>413</v>
      </c>
      <c r="E73" s="40" t="s">
        <v>414</v>
      </c>
      <c r="F73" s="46" t="s">
        <v>227</v>
      </c>
      <c r="G73" s="37"/>
      <c r="H73" s="37"/>
      <c r="I73" s="37"/>
      <c r="J73" s="37"/>
      <c r="K73" s="37"/>
      <c r="L73" s="37"/>
      <c r="M73" s="37"/>
      <c r="N73" s="37"/>
      <c r="O73" s="37"/>
      <c r="P73" s="37"/>
      <c r="Q73" s="41" t="str">
        <f aca="false">HYPERLINK(Links!$M$73,"search")</f>
        <v>search</v>
      </c>
      <c r="R73" s="40" t="s">
        <v>415</v>
      </c>
      <c r="S73" s="42" t="n">
        <v>46416</v>
      </c>
      <c r="T73" s="37"/>
      <c r="U73" s="37"/>
      <c r="V73" s="37"/>
      <c r="W73" s="40" t="s">
        <v>416</v>
      </c>
      <c r="X73" s="40" t="s">
        <v>417</v>
      </c>
      <c r="Y73" s="37"/>
      <c r="Z73" s="37"/>
      <c r="AA73" s="37"/>
      <c r="AB73" s="40" t="s">
        <v>418</v>
      </c>
    </row>
    <row r="74" customFormat="false" ht="57.45" hidden="false" customHeight="false" outlineLevel="0" collapsed="false">
      <c r="A74" s="36" t="n">
        <v>46416</v>
      </c>
      <c r="B74" s="37" t="s">
        <v>63</v>
      </c>
      <c r="C74" s="38" t="n">
        <v>10</v>
      </c>
      <c r="D74" s="39" t="s">
        <v>419</v>
      </c>
      <c r="E74" s="40" t="s">
        <v>420</v>
      </c>
      <c r="F74" s="46" t="s">
        <v>227</v>
      </c>
      <c r="G74" s="37"/>
      <c r="H74" s="37"/>
      <c r="I74" s="37"/>
      <c r="J74" s="37"/>
      <c r="K74" s="37"/>
      <c r="L74" s="37"/>
      <c r="M74" s="37"/>
      <c r="N74" s="37"/>
      <c r="O74" s="37"/>
      <c r="P74" s="37"/>
      <c r="Q74" s="41" t="str">
        <f aca="false">HYPERLINK(Links!$M$74,"search")</f>
        <v>search</v>
      </c>
      <c r="R74" s="40" t="s">
        <v>421</v>
      </c>
      <c r="S74" s="42" t="n">
        <v>46419</v>
      </c>
      <c r="T74" s="37"/>
      <c r="U74" s="37"/>
      <c r="V74" s="37"/>
      <c r="W74" s="40" t="s">
        <v>416</v>
      </c>
      <c r="X74" s="40" t="s">
        <v>417</v>
      </c>
      <c r="Y74" s="37"/>
      <c r="Z74" s="37"/>
      <c r="AA74" s="37"/>
      <c r="AB74" s="40" t="s">
        <v>422</v>
      </c>
    </row>
    <row r="75" customFormat="false" ht="46.25" hidden="false" customHeight="false" outlineLevel="0" collapsed="false">
      <c r="A75" s="36" t="n">
        <v>46419</v>
      </c>
      <c r="B75" s="37" t="s">
        <v>74</v>
      </c>
      <c r="C75" s="38" t="n">
        <v>10</v>
      </c>
      <c r="D75" s="39" t="s">
        <v>423</v>
      </c>
      <c r="E75" s="40" t="s">
        <v>424</v>
      </c>
      <c r="F75" s="46" t="s">
        <v>227</v>
      </c>
      <c r="G75" s="37"/>
      <c r="H75" s="37"/>
      <c r="I75" s="37"/>
      <c r="J75" s="37"/>
      <c r="K75" s="37"/>
      <c r="L75" s="37"/>
      <c r="M75" s="37"/>
      <c r="N75" s="37"/>
      <c r="O75" s="37"/>
      <c r="P75" s="37"/>
      <c r="Q75" s="41" t="str">
        <f aca="false">HYPERLINK(Links!$M$75,"search")</f>
        <v>search</v>
      </c>
      <c r="R75" s="40" t="s">
        <v>425</v>
      </c>
      <c r="S75" s="42" t="n">
        <v>46420</v>
      </c>
      <c r="T75" s="37"/>
      <c r="U75" s="37"/>
      <c r="V75" s="37"/>
      <c r="W75" s="40" t="s">
        <v>426</v>
      </c>
      <c r="X75" s="40" t="s">
        <v>427</v>
      </c>
      <c r="Y75" s="37"/>
      <c r="Z75" s="37"/>
      <c r="AA75" s="37"/>
      <c r="AB75" s="40" t="s">
        <v>428</v>
      </c>
    </row>
    <row r="76" customFormat="false" ht="46.25" hidden="false" customHeight="false" outlineLevel="0" collapsed="false">
      <c r="A76" s="36" t="n">
        <v>46420</v>
      </c>
      <c r="B76" s="37" t="s">
        <v>87</v>
      </c>
      <c r="C76" s="38" t="n">
        <v>10</v>
      </c>
      <c r="D76" s="39" t="s">
        <v>429</v>
      </c>
      <c r="E76" s="40" t="s">
        <v>430</v>
      </c>
      <c r="F76" s="46" t="s">
        <v>227</v>
      </c>
      <c r="G76" s="37"/>
      <c r="H76" s="37"/>
      <c r="I76" s="37"/>
      <c r="J76" s="37"/>
      <c r="K76" s="37"/>
      <c r="L76" s="37"/>
      <c r="M76" s="37"/>
      <c r="N76" s="37"/>
      <c r="O76" s="37"/>
      <c r="P76" s="37"/>
      <c r="Q76" s="41" t="str">
        <f aca="false">HYPERLINK(Links!$M$76,"search")</f>
        <v>search</v>
      </c>
      <c r="R76" s="40" t="s">
        <v>431</v>
      </c>
      <c r="S76" s="42" t="n">
        <v>46421</v>
      </c>
      <c r="T76" s="37"/>
      <c r="U76" s="37"/>
      <c r="V76" s="37"/>
      <c r="W76" s="40" t="s">
        <v>432</v>
      </c>
      <c r="X76" s="40" t="s">
        <v>433</v>
      </c>
      <c r="Y76" s="37"/>
      <c r="Z76" s="37"/>
      <c r="AA76" s="37"/>
      <c r="AB76" s="40" t="s">
        <v>434</v>
      </c>
    </row>
    <row r="77" customFormat="false" ht="68.65" hidden="false" customHeight="false" outlineLevel="0" collapsed="false">
      <c r="A77" s="36" t="n">
        <v>46421</v>
      </c>
      <c r="B77" s="37" t="s">
        <v>39</v>
      </c>
      <c r="C77" s="38" t="n">
        <v>10</v>
      </c>
      <c r="D77" s="39" t="s">
        <v>435</v>
      </c>
      <c r="E77" s="40" t="s">
        <v>436</v>
      </c>
      <c r="F77" s="46" t="s">
        <v>227</v>
      </c>
      <c r="G77" s="37"/>
      <c r="H77" s="37"/>
      <c r="I77" s="37"/>
      <c r="J77" s="37"/>
      <c r="K77" s="37"/>
      <c r="L77" s="37"/>
      <c r="M77" s="37"/>
      <c r="N77" s="37"/>
      <c r="O77" s="37"/>
      <c r="P77" s="37"/>
      <c r="Q77" s="41" t="str">
        <f aca="false">HYPERLINK(Links!$M$77,"search")</f>
        <v>search</v>
      </c>
      <c r="R77" s="40" t="s">
        <v>437</v>
      </c>
      <c r="S77" s="42" t="n">
        <v>46422</v>
      </c>
      <c r="T77" s="37"/>
      <c r="U77" s="37"/>
      <c r="V77" s="37"/>
      <c r="W77" s="40" t="s">
        <v>438</v>
      </c>
      <c r="X77" s="40" t="s">
        <v>439</v>
      </c>
      <c r="Y77" s="37"/>
      <c r="Z77" s="37"/>
      <c r="AA77" s="37"/>
      <c r="AB77" s="40" t="s">
        <v>440</v>
      </c>
    </row>
    <row r="78" customFormat="false" ht="15" hidden="false" customHeight="false" outlineLevel="0" collapsed="false">
      <c r="A78" s="29" t="n">
        <v>46422</v>
      </c>
      <c r="B78" s="30" t="s">
        <v>52</v>
      </c>
      <c r="C78" s="31" t="n">
        <v>10</v>
      </c>
      <c r="D78" s="32" t="s">
        <v>441</v>
      </c>
      <c r="E78" s="33" t="s">
        <v>442</v>
      </c>
      <c r="F78" s="45" t="s">
        <v>227</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443</v>
      </c>
      <c r="E79" s="33" t="s">
        <v>444</v>
      </c>
      <c r="F79" s="45" t="s">
        <v>227</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445</v>
      </c>
      <c r="E80" s="19" t="s">
        <v>446</v>
      </c>
      <c r="F80" s="43" t="s">
        <v>227</v>
      </c>
      <c r="G80" s="16"/>
      <c r="H80" s="16"/>
      <c r="I80" s="16"/>
      <c r="J80" s="16"/>
      <c r="K80" s="16"/>
      <c r="L80" s="16"/>
      <c r="M80" s="16"/>
      <c r="N80" s="16"/>
      <c r="O80" s="16"/>
      <c r="P80" s="16"/>
      <c r="Q80" s="20" t="str">
        <f aca="false">HYPERLINK(Links!$M$80,"search")</f>
        <v>search</v>
      </c>
      <c r="R80" s="19" t="s">
        <v>447</v>
      </c>
      <c r="S80" s="21" t="n">
        <v>46427</v>
      </c>
      <c r="T80" s="16"/>
      <c r="U80" s="16"/>
      <c r="V80" s="16"/>
      <c r="W80" s="19" t="s">
        <v>448</v>
      </c>
      <c r="X80" s="19" t="s">
        <v>449</v>
      </c>
      <c r="Y80" s="16"/>
      <c r="Z80" s="16"/>
      <c r="AA80" s="16"/>
      <c r="AB80" s="19" t="s">
        <v>450</v>
      </c>
    </row>
    <row r="81" customFormat="false" ht="35.05" hidden="false" customHeight="false" outlineLevel="0" collapsed="false">
      <c r="A81" s="15" t="n">
        <v>46427</v>
      </c>
      <c r="B81" s="16" t="s">
        <v>87</v>
      </c>
      <c r="C81" s="17" t="n">
        <v>11</v>
      </c>
      <c r="D81" s="18" t="s">
        <v>451</v>
      </c>
      <c r="E81" s="19" t="s">
        <v>452</v>
      </c>
      <c r="F81" s="43" t="s">
        <v>227</v>
      </c>
      <c r="G81" s="16"/>
      <c r="H81" s="16"/>
      <c r="I81" s="16"/>
      <c r="J81" s="16"/>
      <c r="K81" s="16"/>
      <c r="L81" s="16"/>
      <c r="M81" s="16"/>
      <c r="N81" s="16"/>
      <c r="O81" s="16"/>
      <c r="P81" s="16"/>
      <c r="Q81" s="20" t="str">
        <f aca="false">HYPERLINK(Links!$M$81,"search")</f>
        <v>search</v>
      </c>
      <c r="R81" s="19" t="s">
        <v>453</v>
      </c>
      <c r="S81" s="21" t="n">
        <v>46428</v>
      </c>
      <c r="T81" s="16"/>
      <c r="U81" s="16"/>
      <c r="V81" s="16"/>
      <c r="W81" s="19" t="s">
        <v>448</v>
      </c>
      <c r="X81" s="19" t="s">
        <v>449</v>
      </c>
      <c r="Y81" s="16"/>
      <c r="Z81" s="16"/>
      <c r="AA81" s="16"/>
      <c r="AB81" s="19" t="s">
        <v>454</v>
      </c>
    </row>
    <row r="82" customFormat="false" ht="35.05" hidden="false" customHeight="false" outlineLevel="0" collapsed="false">
      <c r="A82" s="15" t="n">
        <v>46428</v>
      </c>
      <c r="B82" s="16" t="s">
        <v>39</v>
      </c>
      <c r="C82" s="17" t="n">
        <v>11</v>
      </c>
      <c r="D82" s="18" t="s">
        <v>455</v>
      </c>
      <c r="E82" s="19" t="s">
        <v>456</v>
      </c>
      <c r="F82" s="43" t="s">
        <v>227</v>
      </c>
      <c r="G82" s="16"/>
      <c r="H82" s="16"/>
      <c r="I82" s="16"/>
      <c r="J82" s="16"/>
      <c r="K82" s="16"/>
      <c r="L82" s="16"/>
      <c r="M82" s="16"/>
      <c r="N82" s="16"/>
      <c r="O82" s="16"/>
      <c r="P82" s="16"/>
      <c r="Q82" s="20" t="str">
        <f aca="false">HYPERLINK(Links!$M$82,"search")</f>
        <v>search</v>
      </c>
      <c r="R82" s="19" t="s">
        <v>457</v>
      </c>
      <c r="S82" s="21" t="n">
        <v>46429</v>
      </c>
      <c r="T82" s="16"/>
      <c r="U82" s="16"/>
      <c r="V82" s="16"/>
      <c r="W82" s="19" t="s">
        <v>448</v>
      </c>
      <c r="X82" s="19" t="s">
        <v>449</v>
      </c>
      <c r="Y82" s="16"/>
      <c r="Z82" s="16"/>
      <c r="AA82" s="16"/>
      <c r="AB82" s="19" t="s">
        <v>458</v>
      </c>
    </row>
    <row r="83" customFormat="false" ht="35.05" hidden="false" customHeight="false" outlineLevel="0" collapsed="false">
      <c r="A83" s="15" t="n">
        <v>46429</v>
      </c>
      <c r="B83" s="16" t="s">
        <v>52</v>
      </c>
      <c r="C83" s="17" t="n">
        <v>11</v>
      </c>
      <c r="D83" s="18" t="s">
        <v>459</v>
      </c>
      <c r="E83" s="19" t="s">
        <v>460</v>
      </c>
      <c r="F83" s="43" t="s">
        <v>227</v>
      </c>
      <c r="G83" s="16"/>
      <c r="H83" s="16"/>
      <c r="I83" s="16"/>
      <c r="J83" s="16"/>
      <c r="K83" s="16"/>
      <c r="L83" s="16"/>
      <c r="M83" s="16"/>
      <c r="N83" s="16"/>
      <c r="O83" s="16"/>
      <c r="P83" s="16"/>
      <c r="Q83" s="20" t="str">
        <f aca="false">HYPERLINK(Links!$M$83,"search")</f>
        <v>search</v>
      </c>
      <c r="R83" s="19" t="s">
        <v>461</v>
      </c>
      <c r="S83" s="21" t="n">
        <v>46430</v>
      </c>
      <c r="T83" s="16"/>
      <c r="U83" s="16"/>
      <c r="V83" s="16"/>
      <c r="W83" s="19" t="s">
        <v>448</v>
      </c>
      <c r="X83" s="19" t="s">
        <v>449</v>
      </c>
      <c r="Y83" s="16"/>
      <c r="Z83" s="16"/>
      <c r="AA83" s="16"/>
      <c r="AB83" s="19" t="s">
        <v>462</v>
      </c>
    </row>
    <row r="84" customFormat="false" ht="79.85" hidden="false" customHeight="false" outlineLevel="0" collapsed="false">
      <c r="A84" s="15" t="n">
        <v>46430</v>
      </c>
      <c r="B84" s="16" t="s">
        <v>63</v>
      </c>
      <c r="C84" s="17" t="n">
        <v>11</v>
      </c>
      <c r="D84" s="18" t="s">
        <v>463</v>
      </c>
      <c r="E84" s="19" t="s">
        <v>464</v>
      </c>
      <c r="F84" s="43" t="s">
        <v>227</v>
      </c>
      <c r="G84" s="16"/>
      <c r="H84" s="16"/>
      <c r="I84" s="16"/>
      <c r="J84" s="16"/>
      <c r="K84" s="16"/>
      <c r="L84" s="16"/>
      <c r="M84" s="16"/>
      <c r="N84" s="16"/>
      <c r="O84" s="16"/>
      <c r="P84" s="16"/>
      <c r="Q84" s="20" t="str">
        <f aca="false">HYPERLINK(Links!$M$84,"search")</f>
        <v>search</v>
      </c>
      <c r="R84" s="19" t="s">
        <v>465</v>
      </c>
      <c r="S84" s="21" t="n">
        <v>46434</v>
      </c>
      <c r="T84" s="16"/>
      <c r="U84" s="16"/>
      <c r="V84" s="16"/>
      <c r="W84" s="19" t="s">
        <v>466</v>
      </c>
      <c r="X84" s="19" t="s">
        <v>467</v>
      </c>
      <c r="Y84" s="16"/>
      <c r="Z84" s="16"/>
      <c r="AA84" s="16"/>
      <c r="AB84" s="19" t="s">
        <v>468</v>
      </c>
    </row>
    <row r="85" customFormat="false" ht="23.85" hidden="false" customHeight="false" outlineLevel="0" collapsed="false">
      <c r="A85" s="15" t="n">
        <v>46434</v>
      </c>
      <c r="B85" s="16" t="s">
        <v>87</v>
      </c>
      <c r="C85" s="17" t="n">
        <v>11</v>
      </c>
      <c r="D85" s="18" t="s">
        <v>469</v>
      </c>
      <c r="E85" s="19" t="s">
        <v>470</v>
      </c>
      <c r="F85" s="43" t="s">
        <v>227</v>
      </c>
      <c r="G85" s="16"/>
      <c r="H85" s="16"/>
      <c r="I85" s="16"/>
      <c r="J85" s="16"/>
      <c r="K85" s="16"/>
      <c r="L85" s="16"/>
      <c r="M85" s="16"/>
      <c r="N85" s="16"/>
      <c r="O85" s="16"/>
      <c r="P85" s="16"/>
      <c r="Q85" s="20" t="str">
        <f aca="false">HYPERLINK(Links!$M$85,"search")</f>
        <v>search</v>
      </c>
      <c r="R85" s="19" t="s">
        <v>471</v>
      </c>
      <c r="S85" s="21" t="n">
        <v>46435</v>
      </c>
      <c r="T85" s="16"/>
      <c r="U85" s="16"/>
      <c r="V85" s="16"/>
      <c r="W85" s="19" t="s">
        <v>472</v>
      </c>
      <c r="X85" s="19" t="s">
        <v>473</v>
      </c>
      <c r="Y85" s="16"/>
      <c r="Z85" s="16"/>
      <c r="AA85" s="16"/>
      <c r="AB85" s="19" t="s">
        <v>474</v>
      </c>
    </row>
    <row r="86" customFormat="false" ht="23.85" hidden="false" customHeight="false" outlineLevel="0" collapsed="false">
      <c r="A86" s="15" t="n">
        <v>46435</v>
      </c>
      <c r="B86" s="16" t="s">
        <v>39</v>
      </c>
      <c r="C86" s="17" t="n">
        <v>11</v>
      </c>
      <c r="D86" s="18" t="s">
        <v>475</v>
      </c>
      <c r="E86" s="19" t="s">
        <v>476</v>
      </c>
      <c r="F86" s="43" t="s">
        <v>227</v>
      </c>
      <c r="G86" s="16"/>
      <c r="H86" s="16"/>
      <c r="I86" s="16"/>
      <c r="J86" s="16"/>
      <c r="K86" s="16"/>
      <c r="L86" s="16"/>
      <c r="M86" s="16"/>
      <c r="N86" s="16"/>
      <c r="O86" s="16"/>
      <c r="P86" s="16"/>
      <c r="Q86" s="20" t="str">
        <f aca="false">HYPERLINK(Links!$M$86,"search")</f>
        <v>search</v>
      </c>
      <c r="R86" s="19" t="s">
        <v>477</v>
      </c>
      <c r="S86" s="21" t="n">
        <v>46436</v>
      </c>
      <c r="T86" s="16"/>
      <c r="U86" s="16"/>
      <c r="V86" s="16"/>
      <c r="W86" s="19" t="s">
        <v>472</v>
      </c>
      <c r="X86" s="19" t="s">
        <v>473</v>
      </c>
      <c r="Y86" s="16"/>
      <c r="Z86" s="16"/>
      <c r="AA86" s="16"/>
      <c r="AB86" s="19" t="s">
        <v>478</v>
      </c>
    </row>
    <row r="87" customFormat="false" ht="15" hidden="false" customHeight="false" outlineLevel="0" collapsed="false">
      <c r="A87" s="29" t="n">
        <v>46436</v>
      </c>
      <c r="B87" s="30" t="s">
        <v>52</v>
      </c>
      <c r="C87" s="31" t="n">
        <v>11</v>
      </c>
      <c r="D87" s="32" t="s">
        <v>479</v>
      </c>
      <c r="E87" s="33" t="s">
        <v>480</v>
      </c>
      <c r="F87" s="45" t="s">
        <v>227</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481</v>
      </c>
      <c r="E88" s="33" t="s">
        <v>482</v>
      </c>
      <c r="F88" s="45" t="s">
        <v>227</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483</v>
      </c>
      <c r="E89" s="26" t="s">
        <v>484</v>
      </c>
      <c r="F89" s="44" t="s">
        <v>227</v>
      </c>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485</v>
      </c>
      <c r="E90" s="40" t="s">
        <v>486</v>
      </c>
      <c r="F90" s="46" t="s">
        <v>227</v>
      </c>
      <c r="G90" s="37"/>
      <c r="H90" s="37"/>
      <c r="I90" s="37"/>
      <c r="J90" s="37"/>
      <c r="K90" s="37"/>
      <c r="L90" s="37"/>
      <c r="M90" s="37"/>
      <c r="N90" s="37"/>
      <c r="O90" s="37"/>
      <c r="P90" s="37"/>
      <c r="Q90" s="41" t="str">
        <f aca="false">HYPERLINK(Links!$M$90,"search")</f>
        <v>search</v>
      </c>
      <c r="R90" s="40" t="s">
        <v>487</v>
      </c>
      <c r="S90" s="42" t="n">
        <v>46442</v>
      </c>
      <c r="T90" s="37"/>
      <c r="U90" s="37"/>
      <c r="V90" s="37"/>
      <c r="W90" s="40" t="s">
        <v>488</v>
      </c>
      <c r="X90" s="40" t="s">
        <v>489</v>
      </c>
      <c r="Y90" s="37"/>
      <c r="Z90" s="37"/>
      <c r="AA90" s="37"/>
      <c r="AB90" s="40" t="s">
        <v>490</v>
      </c>
    </row>
    <row r="91" customFormat="false" ht="35.05" hidden="false" customHeight="false" outlineLevel="0" collapsed="false">
      <c r="A91" s="36" t="n">
        <v>46442</v>
      </c>
      <c r="B91" s="37" t="s">
        <v>39</v>
      </c>
      <c r="C91" s="38" t="n">
        <v>12</v>
      </c>
      <c r="D91" s="39" t="s">
        <v>491</v>
      </c>
      <c r="E91" s="40" t="s">
        <v>492</v>
      </c>
      <c r="F91" s="46" t="s">
        <v>227</v>
      </c>
      <c r="G91" s="37"/>
      <c r="H91" s="37"/>
      <c r="I91" s="37"/>
      <c r="J91" s="37"/>
      <c r="K91" s="37"/>
      <c r="L91" s="37"/>
      <c r="M91" s="37"/>
      <c r="N91" s="37"/>
      <c r="O91" s="37"/>
      <c r="P91" s="37"/>
      <c r="Q91" s="41" t="str">
        <f aca="false">HYPERLINK(Links!$M$91,"search")</f>
        <v>search</v>
      </c>
      <c r="R91" s="40" t="s">
        <v>493</v>
      </c>
      <c r="S91" s="42" t="n">
        <v>46443</v>
      </c>
      <c r="T91" s="37"/>
      <c r="U91" s="37"/>
      <c r="V91" s="37"/>
      <c r="W91" s="40" t="s">
        <v>488</v>
      </c>
      <c r="X91" s="40" t="s">
        <v>489</v>
      </c>
      <c r="Y91" s="37"/>
      <c r="Z91" s="37"/>
      <c r="AA91" s="37"/>
      <c r="AB91" s="40" t="s">
        <v>494</v>
      </c>
    </row>
    <row r="92" customFormat="false" ht="35.05" hidden="false" customHeight="false" outlineLevel="0" collapsed="false">
      <c r="A92" s="36" t="n">
        <v>46443</v>
      </c>
      <c r="B92" s="37" t="s">
        <v>52</v>
      </c>
      <c r="C92" s="38" t="n">
        <v>12</v>
      </c>
      <c r="D92" s="39" t="s">
        <v>495</v>
      </c>
      <c r="E92" s="40" t="s">
        <v>496</v>
      </c>
      <c r="F92" s="46" t="s">
        <v>227</v>
      </c>
      <c r="G92" s="37"/>
      <c r="H92" s="37"/>
      <c r="I92" s="37"/>
      <c r="J92" s="37"/>
      <c r="K92" s="37"/>
      <c r="L92" s="37"/>
      <c r="M92" s="37"/>
      <c r="N92" s="37"/>
      <c r="O92" s="37"/>
      <c r="P92" s="37"/>
      <c r="Q92" s="41" t="str">
        <f aca="false">HYPERLINK(Links!$M$92,"search")</f>
        <v>search</v>
      </c>
      <c r="R92" s="40" t="s">
        <v>497</v>
      </c>
      <c r="S92" s="42" t="n">
        <v>46448</v>
      </c>
      <c r="T92" s="37"/>
      <c r="U92" s="37"/>
      <c r="V92" s="37"/>
      <c r="W92" s="40" t="s">
        <v>498</v>
      </c>
      <c r="X92" s="40" t="s">
        <v>499</v>
      </c>
      <c r="Y92" s="37"/>
      <c r="Z92" s="37"/>
      <c r="AA92" s="37"/>
      <c r="AB92" s="40" t="s">
        <v>500</v>
      </c>
    </row>
    <row r="93" customFormat="false" ht="35.05" hidden="false" customHeight="false" outlineLevel="0" collapsed="false">
      <c r="A93" s="36" t="n">
        <v>46444</v>
      </c>
      <c r="B93" s="37" t="s">
        <v>63</v>
      </c>
      <c r="C93" s="38" t="n">
        <v>12</v>
      </c>
      <c r="D93" s="39" t="s">
        <v>501</v>
      </c>
      <c r="E93" s="40" t="s">
        <v>502</v>
      </c>
      <c r="F93" s="46" t="s">
        <v>227</v>
      </c>
      <c r="G93" s="37"/>
      <c r="H93" s="37"/>
      <c r="I93" s="37"/>
      <c r="J93" s="37"/>
      <c r="K93" s="37"/>
      <c r="L93" s="37"/>
      <c r="M93" s="37"/>
      <c r="N93" s="37"/>
      <c r="O93" s="37"/>
      <c r="P93" s="37"/>
      <c r="Q93" s="41" t="str">
        <f aca="false">HYPERLINK(Links!$M$93,"search")</f>
        <v>search</v>
      </c>
      <c r="R93" s="40" t="s">
        <v>497</v>
      </c>
      <c r="S93" s="42" t="n">
        <v>46448</v>
      </c>
      <c r="T93" s="37"/>
      <c r="U93" s="37"/>
      <c r="V93" s="37"/>
      <c r="W93" s="40" t="s">
        <v>498</v>
      </c>
      <c r="X93" s="40" t="s">
        <v>499</v>
      </c>
      <c r="Y93" s="37"/>
      <c r="Z93" s="37"/>
      <c r="AA93" s="37"/>
      <c r="AB93" s="40" t="s">
        <v>503</v>
      </c>
    </row>
    <row r="94" customFormat="false" ht="15" hidden="false" customHeight="false" outlineLevel="0" collapsed="false">
      <c r="A94" s="22" t="n">
        <v>46447</v>
      </c>
      <c r="B94" s="23" t="s">
        <v>74</v>
      </c>
      <c r="C94" s="24" t="n">
        <v>12</v>
      </c>
      <c r="D94" s="25" t="s">
        <v>142</v>
      </c>
      <c r="E94" s="26" t="s">
        <v>143</v>
      </c>
      <c r="F94" s="44" t="s">
        <v>227</v>
      </c>
      <c r="G94" s="23"/>
      <c r="H94" s="23"/>
      <c r="I94" s="23"/>
      <c r="J94" s="23"/>
      <c r="K94" s="23"/>
      <c r="L94" s="23"/>
      <c r="M94" s="23"/>
      <c r="N94" s="23"/>
      <c r="O94" s="23"/>
      <c r="P94" s="23"/>
      <c r="Q94" s="23"/>
      <c r="R94" s="26"/>
      <c r="S94" s="28"/>
      <c r="T94" s="23"/>
      <c r="U94" s="23"/>
      <c r="V94" s="23"/>
      <c r="W94" s="26"/>
      <c r="X94" s="26"/>
      <c r="Y94" s="23"/>
      <c r="Z94" s="23"/>
      <c r="AA94" s="23"/>
      <c r="AB94" s="26"/>
    </row>
    <row r="95" customFormat="false" ht="35.05" hidden="false" customHeight="false" outlineLevel="0" collapsed="false">
      <c r="A95" s="36" t="n">
        <v>46448</v>
      </c>
      <c r="B95" s="37" t="s">
        <v>87</v>
      </c>
      <c r="C95" s="38" t="n">
        <v>12</v>
      </c>
      <c r="D95" s="39" t="s">
        <v>504</v>
      </c>
      <c r="E95" s="40" t="s">
        <v>505</v>
      </c>
      <c r="F95" s="46" t="s">
        <v>227</v>
      </c>
      <c r="G95" s="37"/>
      <c r="H95" s="37"/>
      <c r="I95" s="37"/>
      <c r="J95" s="37"/>
      <c r="K95" s="37"/>
      <c r="L95" s="37"/>
      <c r="M95" s="37"/>
      <c r="N95" s="37"/>
      <c r="O95" s="37"/>
      <c r="P95" s="37"/>
      <c r="Q95" s="41" t="str">
        <f aca="false">HYPERLINK(Links!$M$95,"search")</f>
        <v>search</v>
      </c>
      <c r="R95" s="40" t="s">
        <v>506</v>
      </c>
      <c r="S95" s="42" t="n">
        <v>46449</v>
      </c>
      <c r="T95" s="37"/>
      <c r="U95" s="37"/>
      <c r="V95" s="37"/>
      <c r="W95" s="40" t="s">
        <v>507</v>
      </c>
      <c r="X95" s="40" t="s">
        <v>508</v>
      </c>
      <c r="Y95" s="37"/>
      <c r="Z95" s="37"/>
      <c r="AA95" s="37"/>
      <c r="AB95" s="40" t="s">
        <v>509</v>
      </c>
    </row>
    <row r="96" customFormat="false" ht="68.65" hidden="false" customHeight="false" outlineLevel="0" collapsed="false">
      <c r="A96" s="36" t="n">
        <v>46449</v>
      </c>
      <c r="B96" s="37" t="s">
        <v>39</v>
      </c>
      <c r="C96" s="38" t="n">
        <v>12</v>
      </c>
      <c r="D96" s="39" t="s">
        <v>510</v>
      </c>
      <c r="E96" s="40" t="s">
        <v>511</v>
      </c>
      <c r="F96" s="46" t="s">
        <v>227</v>
      </c>
      <c r="G96" s="37"/>
      <c r="H96" s="37"/>
      <c r="I96" s="37"/>
      <c r="J96" s="37"/>
      <c r="K96" s="37"/>
      <c r="L96" s="37"/>
      <c r="M96" s="37"/>
      <c r="N96" s="37"/>
      <c r="O96" s="37"/>
      <c r="P96" s="37"/>
      <c r="Q96" s="41" t="str">
        <f aca="false">HYPERLINK(Links!$M$96,"search")</f>
        <v>search</v>
      </c>
      <c r="R96" s="40" t="s">
        <v>512</v>
      </c>
      <c r="S96" s="42" t="n">
        <v>46450</v>
      </c>
      <c r="T96" s="37"/>
      <c r="U96" s="37"/>
      <c r="V96" s="37"/>
      <c r="W96" s="40" t="s">
        <v>513</v>
      </c>
      <c r="X96" s="40" t="s">
        <v>514</v>
      </c>
      <c r="Y96" s="37"/>
      <c r="Z96" s="37"/>
      <c r="AA96" s="37"/>
      <c r="AB96" s="40" t="s">
        <v>515</v>
      </c>
    </row>
    <row r="97" customFormat="false" ht="23.85" hidden="false" customHeight="false" outlineLevel="0" collapsed="false">
      <c r="A97" s="22" t="n">
        <v>46450</v>
      </c>
      <c r="B97" s="23" t="s">
        <v>52</v>
      </c>
      <c r="C97" s="24" t="n">
        <v>12</v>
      </c>
      <c r="D97" s="25" t="s">
        <v>154</v>
      </c>
      <c r="E97" s="26" t="s">
        <v>155</v>
      </c>
      <c r="F97" s="44" t="s">
        <v>227</v>
      </c>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516</v>
      </c>
      <c r="E98" s="33" t="s">
        <v>517</v>
      </c>
      <c r="F98" s="45" t="s">
        <v>227</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518</v>
      </c>
      <c r="E99" s="33" t="s">
        <v>519</v>
      </c>
      <c r="F99" s="45" t="s">
        <v>227</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483</v>
      </c>
      <c r="E100" s="26" t="s">
        <v>484</v>
      </c>
      <c r="F100" s="44" t="s">
        <v>227</v>
      </c>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520</v>
      </c>
      <c r="E101" s="19" t="s">
        <v>521</v>
      </c>
      <c r="F101" s="43" t="s">
        <v>227</v>
      </c>
      <c r="G101" s="16"/>
      <c r="H101" s="16"/>
      <c r="I101" s="16"/>
      <c r="J101" s="16"/>
      <c r="K101" s="16"/>
      <c r="L101" s="16"/>
      <c r="M101" s="16"/>
      <c r="N101" s="16"/>
      <c r="O101" s="16"/>
      <c r="P101" s="16"/>
      <c r="Q101" s="20" t="str">
        <f aca="false">HYPERLINK(Links!$M$101,"search")</f>
        <v>search</v>
      </c>
      <c r="R101" s="19" t="s">
        <v>522</v>
      </c>
      <c r="S101" s="21" t="n">
        <v>46458</v>
      </c>
      <c r="T101" s="16"/>
      <c r="U101" s="16"/>
      <c r="V101" s="16"/>
      <c r="W101" s="19" t="s">
        <v>523</v>
      </c>
      <c r="X101" s="19" t="s">
        <v>524</v>
      </c>
      <c r="Y101" s="16"/>
      <c r="Z101" s="16"/>
      <c r="AA101" s="16"/>
      <c r="AB101" s="19" t="s">
        <v>525</v>
      </c>
    </row>
    <row r="102" customFormat="false" ht="23.85" hidden="false" customHeight="false" outlineLevel="0" collapsed="false">
      <c r="A102" s="15" t="n">
        <v>46458</v>
      </c>
      <c r="B102" s="16" t="s">
        <v>63</v>
      </c>
      <c r="C102" s="17" t="n">
        <v>13</v>
      </c>
      <c r="D102" s="18" t="s">
        <v>526</v>
      </c>
      <c r="E102" s="19" t="s">
        <v>527</v>
      </c>
      <c r="F102" s="43" t="s">
        <v>227</v>
      </c>
      <c r="G102" s="16"/>
      <c r="H102" s="16"/>
      <c r="I102" s="16"/>
      <c r="J102" s="16"/>
      <c r="K102" s="16"/>
      <c r="L102" s="16"/>
      <c r="M102" s="16"/>
      <c r="N102" s="16"/>
      <c r="O102" s="16"/>
      <c r="P102" s="16"/>
      <c r="Q102" s="20" t="str">
        <f aca="false">HYPERLINK(Links!$M$102,"search")</f>
        <v>search</v>
      </c>
      <c r="R102" s="19" t="s">
        <v>528</v>
      </c>
      <c r="S102" s="21" t="n">
        <v>46461</v>
      </c>
      <c r="T102" s="16"/>
      <c r="U102" s="16"/>
      <c r="V102" s="16"/>
      <c r="W102" s="19" t="s">
        <v>529</v>
      </c>
      <c r="X102" s="19" t="s">
        <v>530</v>
      </c>
      <c r="Y102" s="16"/>
      <c r="Z102" s="16"/>
      <c r="AA102" s="16"/>
      <c r="AB102" s="19" t="s">
        <v>531</v>
      </c>
    </row>
    <row r="103" customFormat="false" ht="57.45" hidden="false" customHeight="false" outlineLevel="0" collapsed="false">
      <c r="A103" s="15" t="n">
        <v>46461</v>
      </c>
      <c r="B103" s="16" t="s">
        <v>74</v>
      </c>
      <c r="C103" s="17" t="n">
        <v>13</v>
      </c>
      <c r="D103" s="18" t="s">
        <v>532</v>
      </c>
      <c r="E103" s="19" t="s">
        <v>533</v>
      </c>
      <c r="F103" s="43" t="s">
        <v>227</v>
      </c>
      <c r="G103" s="16"/>
      <c r="H103" s="16"/>
      <c r="I103" s="16"/>
      <c r="J103" s="16"/>
      <c r="K103" s="16"/>
      <c r="L103" s="16"/>
      <c r="M103" s="16"/>
      <c r="N103" s="16"/>
      <c r="O103" s="16"/>
      <c r="P103" s="16"/>
      <c r="Q103" s="20" t="str">
        <f aca="false">HYPERLINK(Links!$M$103,"search")</f>
        <v>search</v>
      </c>
      <c r="R103" s="19" t="s">
        <v>534</v>
      </c>
      <c r="S103" s="21" t="n">
        <v>46462</v>
      </c>
      <c r="T103" s="16"/>
      <c r="U103" s="16"/>
      <c r="V103" s="16"/>
      <c r="W103" s="19" t="s">
        <v>535</v>
      </c>
      <c r="X103" s="19" t="s">
        <v>536</v>
      </c>
      <c r="Y103" s="16"/>
      <c r="Z103" s="16"/>
      <c r="AA103" s="16"/>
      <c r="AB103" s="19" t="s">
        <v>537</v>
      </c>
    </row>
    <row r="104" customFormat="false" ht="57.45" hidden="false" customHeight="false" outlineLevel="0" collapsed="false">
      <c r="A104" s="15" t="n">
        <v>46462</v>
      </c>
      <c r="B104" s="16" t="s">
        <v>87</v>
      </c>
      <c r="C104" s="17" t="n">
        <v>13</v>
      </c>
      <c r="D104" s="18" t="s">
        <v>538</v>
      </c>
      <c r="E104" s="19" t="s">
        <v>539</v>
      </c>
      <c r="F104" s="43" t="s">
        <v>227</v>
      </c>
      <c r="G104" s="16"/>
      <c r="H104" s="16"/>
      <c r="I104" s="16"/>
      <c r="J104" s="16"/>
      <c r="K104" s="16"/>
      <c r="L104" s="16"/>
      <c r="M104" s="16"/>
      <c r="N104" s="16"/>
      <c r="O104" s="16"/>
      <c r="P104" s="16"/>
      <c r="Q104" s="20" t="str">
        <f aca="false">HYPERLINK(Links!$M$104,"search")</f>
        <v>search</v>
      </c>
      <c r="R104" s="19" t="s">
        <v>540</v>
      </c>
      <c r="S104" s="21" t="n">
        <v>46463</v>
      </c>
      <c r="T104" s="16"/>
      <c r="U104" s="16"/>
      <c r="V104" s="16"/>
      <c r="W104" s="19" t="s">
        <v>541</v>
      </c>
      <c r="X104" s="19" t="s">
        <v>542</v>
      </c>
      <c r="Y104" s="16"/>
      <c r="Z104" s="16"/>
      <c r="AA104" s="16"/>
      <c r="AB104" s="19" t="s">
        <v>543</v>
      </c>
    </row>
    <row r="105" customFormat="false" ht="68.65" hidden="false" customHeight="false" outlineLevel="0" collapsed="false">
      <c r="A105" s="15" t="n">
        <v>46463</v>
      </c>
      <c r="B105" s="16" t="s">
        <v>39</v>
      </c>
      <c r="C105" s="17" t="n">
        <v>13</v>
      </c>
      <c r="D105" s="18" t="s">
        <v>544</v>
      </c>
      <c r="E105" s="19" t="s">
        <v>545</v>
      </c>
      <c r="F105" s="43" t="s">
        <v>227</v>
      </c>
      <c r="G105" s="16"/>
      <c r="H105" s="16"/>
      <c r="I105" s="16"/>
      <c r="J105" s="16"/>
      <c r="K105" s="16"/>
      <c r="L105" s="16"/>
      <c r="M105" s="16"/>
      <c r="N105" s="16"/>
      <c r="O105" s="16"/>
      <c r="P105" s="16"/>
      <c r="Q105" s="20" t="str">
        <f aca="false">HYPERLINK(Links!$M$105,"search")</f>
        <v>search</v>
      </c>
      <c r="R105" s="19" t="s">
        <v>546</v>
      </c>
      <c r="S105" s="21" t="n">
        <v>46464</v>
      </c>
      <c r="T105" s="16"/>
      <c r="U105" s="16"/>
      <c r="V105" s="16"/>
      <c r="W105" s="19" t="s">
        <v>547</v>
      </c>
      <c r="X105" s="19" t="s">
        <v>548</v>
      </c>
      <c r="Y105" s="16"/>
      <c r="Z105" s="16"/>
      <c r="AA105" s="16"/>
      <c r="AB105" s="19" t="s">
        <v>549</v>
      </c>
    </row>
    <row r="106" customFormat="false" ht="23.85" hidden="false" customHeight="false" outlineLevel="0" collapsed="false">
      <c r="A106" s="15" t="n">
        <v>46464</v>
      </c>
      <c r="B106" s="16" t="s">
        <v>52</v>
      </c>
      <c r="C106" s="17" t="n">
        <v>13</v>
      </c>
      <c r="D106" s="18" t="s">
        <v>550</v>
      </c>
      <c r="E106" s="19" t="s">
        <v>551</v>
      </c>
      <c r="F106" s="43" t="s">
        <v>227</v>
      </c>
      <c r="G106" s="16"/>
      <c r="H106" s="16"/>
      <c r="I106" s="16"/>
      <c r="J106" s="16"/>
      <c r="K106" s="16"/>
      <c r="L106" s="16"/>
      <c r="M106" s="16"/>
      <c r="N106" s="16"/>
      <c r="O106" s="16"/>
      <c r="P106" s="16"/>
      <c r="Q106" s="20" t="str">
        <f aca="false">HYPERLINK(Links!$M$106,"search")</f>
        <v>search</v>
      </c>
      <c r="R106" s="19" t="s">
        <v>552</v>
      </c>
      <c r="S106" s="21" t="n">
        <v>46465</v>
      </c>
      <c r="T106" s="16"/>
      <c r="U106" s="16"/>
      <c r="V106" s="16"/>
      <c r="W106" s="19" t="s">
        <v>553</v>
      </c>
      <c r="X106" s="19" t="s">
        <v>554</v>
      </c>
      <c r="Y106" s="16"/>
      <c r="Z106" s="16"/>
      <c r="AA106" s="16"/>
      <c r="AB106" s="19" t="s">
        <v>555</v>
      </c>
    </row>
    <row r="107" customFormat="false" ht="35.05" hidden="false" customHeight="false" outlineLevel="0" collapsed="false">
      <c r="A107" s="15" t="n">
        <v>46465</v>
      </c>
      <c r="B107" s="16" t="s">
        <v>63</v>
      </c>
      <c r="C107" s="17" t="n">
        <v>13</v>
      </c>
      <c r="D107" s="18" t="s">
        <v>556</v>
      </c>
      <c r="E107" s="19" t="s">
        <v>557</v>
      </c>
      <c r="F107" s="43" t="s">
        <v>227</v>
      </c>
      <c r="G107" s="16"/>
      <c r="H107" s="16"/>
      <c r="I107" s="16"/>
      <c r="J107" s="16"/>
      <c r="K107" s="16"/>
      <c r="L107" s="16"/>
      <c r="M107" s="16"/>
      <c r="N107" s="16"/>
      <c r="O107" s="16"/>
      <c r="P107" s="16"/>
      <c r="Q107" s="20" t="str">
        <f aca="false">HYPERLINK(Links!$M$107,"search")</f>
        <v>search</v>
      </c>
      <c r="R107" s="19" t="s">
        <v>558</v>
      </c>
      <c r="S107" s="21" t="n">
        <v>46475</v>
      </c>
      <c r="T107" s="16"/>
      <c r="U107" s="16"/>
      <c r="V107" s="16"/>
      <c r="W107" s="19" t="s">
        <v>559</v>
      </c>
      <c r="X107" s="19" t="s">
        <v>560</v>
      </c>
      <c r="Y107" s="16"/>
      <c r="Z107" s="16"/>
      <c r="AA107" s="16"/>
      <c r="AB107" s="19" t="s">
        <v>561</v>
      </c>
    </row>
    <row r="108" customFormat="false" ht="15" hidden="false" customHeight="false" outlineLevel="0" collapsed="false">
      <c r="A108" s="29" t="n">
        <v>46475</v>
      </c>
      <c r="B108" s="30" t="s">
        <v>74</v>
      </c>
      <c r="C108" s="31" t="n">
        <v>13</v>
      </c>
      <c r="D108" s="32" t="s">
        <v>562</v>
      </c>
      <c r="E108" s="33" t="s">
        <v>563</v>
      </c>
      <c r="F108" s="45" t="s">
        <v>227</v>
      </c>
      <c r="G108" s="30"/>
      <c r="H108" s="30"/>
      <c r="I108" s="30"/>
      <c r="J108" s="30"/>
      <c r="K108" s="30"/>
      <c r="L108" s="30"/>
      <c r="M108" s="30"/>
      <c r="N108" s="30"/>
      <c r="O108" s="30"/>
      <c r="P108" s="30"/>
      <c r="Q108" s="30"/>
      <c r="R108" s="33"/>
      <c r="S108" s="35"/>
      <c r="T108" s="30"/>
      <c r="U108" s="30"/>
      <c r="V108" s="30"/>
      <c r="W108" s="33"/>
      <c r="X108" s="33"/>
      <c r="Y108" s="30"/>
      <c r="Z108" s="30"/>
      <c r="AA108" s="30"/>
      <c r="AB108" s="33"/>
    </row>
    <row r="109" customFormat="false" ht="15" hidden="false" customHeight="false" outlineLevel="0" collapsed="false">
      <c r="A109" s="29" t="n">
        <v>46476</v>
      </c>
      <c r="B109" s="30" t="s">
        <v>87</v>
      </c>
      <c r="C109" s="31" t="n">
        <v>13</v>
      </c>
      <c r="D109" s="32" t="s">
        <v>564</v>
      </c>
      <c r="E109" s="33" t="s">
        <v>565</v>
      </c>
      <c r="F109" s="45" t="s">
        <v>227</v>
      </c>
      <c r="G109" s="30"/>
      <c r="H109" s="30"/>
      <c r="I109" s="30"/>
      <c r="J109" s="30"/>
      <c r="K109" s="30"/>
      <c r="L109" s="30"/>
      <c r="M109" s="30"/>
      <c r="N109" s="30"/>
      <c r="O109" s="30"/>
      <c r="P109" s="30"/>
      <c r="Q109" s="30"/>
      <c r="R109" s="33"/>
      <c r="S109" s="35"/>
      <c r="T109" s="30"/>
      <c r="U109" s="30"/>
      <c r="V109" s="30"/>
      <c r="W109" s="33"/>
      <c r="X109" s="33"/>
      <c r="Y109" s="30"/>
      <c r="Z109" s="30"/>
      <c r="AA109" s="30"/>
      <c r="AB109" s="33"/>
    </row>
    <row r="110" customFormat="false" ht="68.65" hidden="false" customHeight="false" outlineLevel="0" collapsed="false">
      <c r="A110" s="36" t="n">
        <v>46477</v>
      </c>
      <c r="B110" s="37" t="s">
        <v>39</v>
      </c>
      <c r="C110" s="38" t="n">
        <v>14</v>
      </c>
      <c r="D110" s="39" t="s">
        <v>566</v>
      </c>
      <c r="E110" s="40" t="s">
        <v>567</v>
      </c>
      <c r="F110" s="46" t="s">
        <v>227</v>
      </c>
      <c r="G110" s="37"/>
      <c r="H110" s="37"/>
      <c r="I110" s="37"/>
      <c r="J110" s="37"/>
      <c r="K110" s="37"/>
      <c r="L110" s="37"/>
      <c r="M110" s="37"/>
      <c r="N110" s="37"/>
      <c r="O110" s="37"/>
      <c r="P110" s="37"/>
      <c r="Q110" s="41" t="str">
        <f aca="false">HYPERLINK(Links!$M$110,"search")</f>
        <v>search</v>
      </c>
      <c r="R110" s="40" t="s">
        <v>568</v>
      </c>
      <c r="S110" s="42" t="n">
        <v>46478</v>
      </c>
      <c r="T110" s="37"/>
      <c r="U110" s="37"/>
      <c r="V110" s="37"/>
      <c r="W110" s="40" t="s">
        <v>116</v>
      </c>
      <c r="X110" s="40" t="s">
        <v>117</v>
      </c>
      <c r="Y110" s="37"/>
      <c r="Z110" s="37"/>
      <c r="AA110" s="37"/>
      <c r="AB110" s="40" t="s">
        <v>569</v>
      </c>
    </row>
    <row r="111" customFormat="false" ht="35.05" hidden="false" customHeight="false" outlineLevel="0" collapsed="false">
      <c r="A111" s="36" t="n">
        <v>46478</v>
      </c>
      <c r="B111" s="37" t="s">
        <v>52</v>
      </c>
      <c r="C111" s="38" t="n">
        <v>14</v>
      </c>
      <c r="D111" s="39" t="s">
        <v>570</v>
      </c>
      <c r="E111" s="40" t="s">
        <v>571</v>
      </c>
      <c r="F111" s="46" t="s">
        <v>227</v>
      </c>
      <c r="G111" s="37"/>
      <c r="H111" s="37"/>
      <c r="I111" s="37"/>
      <c r="J111" s="37"/>
      <c r="K111" s="37"/>
      <c r="L111" s="37"/>
      <c r="M111" s="37"/>
      <c r="N111" s="37"/>
      <c r="O111" s="37"/>
      <c r="P111" s="37"/>
      <c r="Q111" s="41" t="str">
        <f aca="false">HYPERLINK(Links!$M$111,"search")</f>
        <v>search</v>
      </c>
      <c r="R111" s="40" t="s">
        <v>572</v>
      </c>
      <c r="S111" s="42" t="n">
        <v>46479</v>
      </c>
      <c r="T111" s="37"/>
      <c r="U111" s="37"/>
      <c r="V111" s="37"/>
      <c r="W111" s="40" t="s">
        <v>573</v>
      </c>
      <c r="X111" s="40" t="s">
        <v>574</v>
      </c>
      <c r="Y111" s="37"/>
      <c r="Z111" s="37"/>
      <c r="AA111" s="37"/>
      <c r="AB111" s="40" t="s">
        <v>575</v>
      </c>
    </row>
    <row r="112" customFormat="false" ht="35.05" hidden="false" customHeight="false" outlineLevel="0" collapsed="false">
      <c r="A112" s="36" t="n">
        <v>46479</v>
      </c>
      <c r="B112" s="37" t="s">
        <v>63</v>
      </c>
      <c r="C112" s="38" t="n">
        <v>14</v>
      </c>
      <c r="D112" s="39" t="s">
        <v>576</v>
      </c>
      <c r="E112" s="40" t="s">
        <v>577</v>
      </c>
      <c r="F112" s="46" t="s">
        <v>227</v>
      </c>
      <c r="G112" s="37"/>
      <c r="H112" s="37"/>
      <c r="I112" s="37"/>
      <c r="J112" s="37"/>
      <c r="K112" s="37"/>
      <c r="L112" s="37"/>
      <c r="M112" s="37"/>
      <c r="N112" s="37"/>
      <c r="O112" s="37"/>
      <c r="P112" s="37"/>
      <c r="Q112" s="41" t="str">
        <f aca="false">HYPERLINK(Links!$M$112,"search")</f>
        <v>search</v>
      </c>
      <c r="R112" s="40" t="s">
        <v>578</v>
      </c>
      <c r="S112" s="42" t="n">
        <v>46482</v>
      </c>
      <c r="T112" s="37"/>
      <c r="U112" s="37"/>
      <c r="V112" s="37"/>
      <c r="W112" s="40" t="s">
        <v>579</v>
      </c>
      <c r="X112" s="40" t="s">
        <v>580</v>
      </c>
      <c r="Y112" s="37"/>
      <c r="Z112" s="37"/>
      <c r="AA112" s="37"/>
      <c r="AB112" s="40" t="s">
        <v>581</v>
      </c>
    </row>
    <row r="113" customFormat="false" ht="15" hidden="false" customHeight="false" outlineLevel="0" collapsed="false">
      <c r="A113" s="29" t="n">
        <v>46482</v>
      </c>
      <c r="B113" s="30" t="s">
        <v>74</v>
      </c>
      <c r="C113" s="31" t="n">
        <v>14</v>
      </c>
      <c r="D113" s="32" t="s">
        <v>582</v>
      </c>
      <c r="E113" s="33" t="s">
        <v>583</v>
      </c>
      <c r="F113" s="45" t="s">
        <v>227</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584</v>
      </c>
      <c r="E114" s="33" t="s">
        <v>585</v>
      </c>
      <c r="F114" s="45" t="s">
        <v>227</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586</v>
      </c>
      <c r="E115" s="19" t="s">
        <v>587</v>
      </c>
      <c r="F115" s="43" t="s">
        <v>227</v>
      </c>
      <c r="G115" s="16"/>
      <c r="H115" s="16"/>
      <c r="I115" s="16"/>
      <c r="J115" s="16"/>
      <c r="K115" s="16"/>
      <c r="L115" s="16"/>
      <c r="M115" s="16"/>
      <c r="N115" s="16"/>
      <c r="O115" s="16"/>
      <c r="P115" s="16"/>
      <c r="Q115" s="20" t="str">
        <f aca="false">HYPERLINK(Links!$M$115,"search")</f>
        <v>search</v>
      </c>
      <c r="R115" s="19" t="s">
        <v>588</v>
      </c>
      <c r="S115" s="21" t="n">
        <v>46485</v>
      </c>
      <c r="T115" s="16"/>
      <c r="U115" s="16"/>
      <c r="V115" s="16"/>
      <c r="W115" s="19" t="s">
        <v>589</v>
      </c>
      <c r="X115" s="19" t="s">
        <v>590</v>
      </c>
      <c r="Y115" s="16"/>
      <c r="Z115" s="16"/>
      <c r="AA115" s="16"/>
      <c r="AB115" s="19" t="s">
        <v>591</v>
      </c>
    </row>
    <row r="116" customFormat="false" ht="46.25" hidden="false" customHeight="false" outlineLevel="0" collapsed="false">
      <c r="A116" s="15" t="n">
        <v>46485</v>
      </c>
      <c r="B116" s="16" t="s">
        <v>52</v>
      </c>
      <c r="C116" s="17" t="n">
        <v>15</v>
      </c>
      <c r="D116" s="18" t="s">
        <v>592</v>
      </c>
      <c r="E116" s="19" t="s">
        <v>593</v>
      </c>
      <c r="F116" s="43" t="s">
        <v>227</v>
      </c>
      <c r="G116" s="16"/>
      <c r="H116" s="16"/>
      <c r="I116" s="16"/>
      <c r="J116" s="16"/>
      <c r="K116" s="16"/>
      <c r="L116" s="16"/>
      <c r="M116" s="16"/>
      <c r="N116" s="16"/>
      <c r="O116" s="16"/>
      <c r="P116" s="16"/>
      <c r="Q116" s="20" t="str">
        <f aca="false">HYPERLINK(Links!$M$116,"search")</f>
        <v>search</v>
      </c>
      <c r="R116" s="19" t="s">
        <v>594</v>
      </c>
      <c r="S116" s="21" t="n">
        <v>46486</v>
      </c>
      <c r="T116" s="16"/>
      <c r="U116" s="16"/>
      <c r="V116" s="16"/>
      <c r="W116" s="19" t="s">
        <v>589</v>
      </c>
      <c r="X116" s="19" t="s">
        <v>590</v>
      </c>
      <c r="Y116" s="16"/>
      <c r="Z116" s="16"/>
      <c r="AA116" s="16"/>
      <c r="AB116" s="19" t="s">
        <v>595</v>
      </c>
    </row>
    <row r="117" customFormat="false" ht="35.05" hidden="false" customHeight="false" outlineLevel="0" collapsed="false">
      <c r="A117" s="15" t="n">
        <v>46486</v>
      </c>
      <c r="B117" s="16" t="s">
        <v>63</v>
      </c>
      <c r="C117" s="17" t="n">
        <v>15</v>
      </c>
      <c r="D117" s="18" t="s">
        <v>596</v>
      </c>
      <c r="E117" s="19" t="s">
        <v>597</v>
      </c>
      <c r="F117" s="43" t="s">
        <v>227</v>
      </c>
      <c r="G117" s="16"/>
      <c r="H117" s="16"/>
      <c r="I117" s="16"/>
      <c r="J117" s="16"/>
      <c r="K117" s="16"/>
      <c r="L117" s="16"/>
      <c r="M117" s="16"/>
      <c r="N117" s="16"/>
      <c r="O117" s="16"/>
      <c r="P117" s="16"/>
      <c r="Q117" s="20" t="str">
        <f aca="false">HYPERLINK(Links!$M$117,"search")</f>
        <v>search</v>
      </c>
      <c r="R117" s="19" t="s">
        <v>598</v>
      </c>
      <c r="S117" s="21" t="n">
        <v>46489</v>
      </c>
      <c r="T117" s="16"/>
      <c r="U117" s="16"/>
      <c r="V117" s="16"/>
      <c r="W117" s="19" t="s">
        <v>599</v>
      </c>
      <c r="X117" s="19" t="s">
        <v>600</v>
      </c>
      <c r="Y117" s="16"/>
      <c r="Z117" s="16"/>
      <c r="AA117" s="16"/>
      <c r="AB117" s="19" t="s">
        <v>601</v>
      </c>
    </row>
    <row r="118" customFormat="false" ht="23.85" hidden="false" customHeight="false" outlineLevel="0" collapsed="false">
      <c r="A118" s="15" t="n">
        <v>46489</v>
      </c>
      <c r="B118" s="16" t="s">
        <v>74</v>
      </c>
      <c r="C118" s="17" t="n">
        <v>15</v>
      </c>
      <c r="D118" s="18" t="s">
        <v>602</v>
      </c>
      <c r="E118" s="19" t="s">
        <v>603</v>
      </c>
      <c r="F118" s="43" t="s">
        <v>227</v>
      </c>
      <c r="G118" s="16"/>
      <c r="H118" s="16"/>
      <c r="I118" s="16"/>
      <c r="J118" s="16"/>
      <c r="K118" s="16"/>
      <c r="L118" s="16"/>
      <c r="M118" s="16"/>
      <c r="N118" s="16"/>
      <c r="O118" s="16"/>
      <c r="P118" s="16"/>
      <c r="Q118" s="20" t="str">
        <f aca="false">HYPERLINK(Links!$M$118,"search")</f>
        <v>search</v>
      </c>
      <c r="R118" s="19" t="s">
        <v>604</v>
      </c>
      <c r="S118" s="21" t="n">
        <v>46490</v>
      </c>
      <c r="T118" s="16"/>
      <c r="U118" s="16"/>
      <c r="V118" s="16"/>
      <c r="W118" s="19" t="s">
        <v>599</v>
      </c>
      <c r="X118" s="19" t="s">
        <v>600</v>
      </c>
      <c r="Y118" s="16"/>
      <c r="Z118" s="16"/>
      <c r="AA118" s="16"/>
      <c r="AB118" s="19" t="s">
        <v>605</v>
      </c>
    </row>
    <row r="119" customFormat="false" ht="23.85" hidden="false" customHeight="false" outlineLevel="0" collapsed="false">
      <c r="A119" s="15" t="n">
        <v>46490</v>
      </c>
      <c r="B119" s="16" t="s">
        <v>87</v>
      </c>
      <c r="C119" s="17" t="n">
        <v>15</v>
      </c>
      <c r="D119" s="18" t="s">
        <v>606</v>
      </c>
      <c r="E119" s="19" t="s">
        <v>607</v>
      </c>
      <c r="F119" s="43" t="s">
        <v>227</v>
      </c>
      <c r="G119" s="16"/>
      <c r="H119" s="16"/>
      <c r="I119" s="16"/>
      <c r="J119" s="16"/>
      <c r="K119" s="16"/>
      <c r="L119" s="16"/>
      <c r="M119" s="16"/>
      <c r="N119" s="16"/>
      <c r="O119" s="16"/>
      <c r="P119" s="16"/>
      <c r="Q119" s="20" t="str">
        <f aca="false">HYPERLINK(Links!$M$119,"search")</f>
        <v>search</v>
      </c>
      <c r="R119" s="19" t="s">
        <v>608</v>
      </c>
      <c r="S119" s="21" t="n">
        <v>46491</v>
      </c>
      <c r="T119" s="16"/>
      <c r="U119" s="16"/>
      <c r="V119" s="16"/>
      <c r="W119" s="19" t="s">
        <v>599</v>
      </c>
      <c r="X119" s="19" t="s">
        <v>600</v>
      </c>
      <c r="Y119" s="16"/>
      <c r="Z119" s="16"/>
      <c r="AA119" s="16"/>
      <c r="AB119" s="19" t="s">
        <v>609</v>
      </c>
    </row>
    <row r="120" customFormat="false" ht="57.45" hidden="false" customHeight="false" outlineLevel="0" collapsed="false">
      <c r="A120" s="15" t="n">
        <v>46491</v>
      </c>
      <c r="B120" s="16" t="s">
        <v>39</v>
      </c>
      <c r="C120" s="17" t="n">
        <v>15</v>
      </c>
      <c r="D120" s="18" t="s">
        <v>610</v>
      </c>
      <c r="E120" s="19" t="s">
        <v>611</v>
      </c>
      <c r="F120" s="43" t="s">
        <v>227</v>
      </c>
      <c r="G120" s="16"/>
      <c r="H120" s="16"/>
      <c r="I120" s="16"/>
      <c r="J120" s="16"/>
      <c r="K120" s="16"/>
      <c r="L120" s="16"/>
      <c r="M120" s="16"/>
      <c r="N120" s="16"/>
      <c r="O120" s="16"/>
      <c r="P120" s="16"/>
      <c r="Q120" s="20" t="str">
        <f aca="false">HYPERLINK(Links!$M$120,"search")</f>
        <v>search</v>
      </c>
      <c r="R120" s="19" t="s">
        <v>612</v>
      </c>
      <c r="S120" s="21" t="n">
        <v>46492</v>
      </c>
      <c r="T120" s="16"/>
      <c r="U120" s="16"/>
      <c r="V120" s="16"/>
      <c r="W120" s="19" t="s">
        <v>613</v>
      </c>
      <c r="X120" s="19" t="s">
        <v>614</v>
      </c>
      <c r="Y120" s="16"/>
      <c r="Z120" s="16"/>
      <c r="AA120" s="16"/>
      <c r="AB120" s="19" t="s">
        <v>615</v>
      </c>
    </row>
    <row r="121" customFormat="false" ht="23.85" hidden="false" customHeight="false" outlineLevel="0" collapsed="false">
      <c r="A121" s="15" t="n">
        <v>46492</v>
      </c>
      <c r="B121" s="16" t="s">
        <v>52</v>
      </c>
      <c r="C121" s="17" t="n">
        <v>15</v>
      </c>
      <c r="D121" s="18" t="s">
        <v>616</v>
      </c>
      <c r="E121" s="19" t="s">
        <v>617</v>
      </c>
      <c r="F121" s="43" t="s">
        <v>227</v>
      </c>
      <c r="G121" s="16"/>
      <c r="H121" s="16"/>
      <c r="I121" s="16"/>
      <c r="J121" s="16"/>
      <c r="K121" s="16"/>
      <c r="L121" s="16"/>
      <c r="M121" s="16"/>
      <c r="N121" s="16"/>
      <c r="O121" s="16"/>
      <c r="P121" s="16"/>
      <c r="Q121" s="20" t="str">
        <f aca="false">HYPERLINK(Links!$M$121,"search")</f>
        <v>search</v>
      </c>
      <c r="R121" s="19" t="s">
        <v>618</v>
      </c>
      <c r="S121" s="21" t="n">
        <v>46496</v>
      </c>
      <c r="T121" s="16"/>
      <c r="U121" s="16"/>
      <c r="V121" s="16"/>
      <c r="W121" s="19" t="s">
        <v>619</v>
      </c>
      <c r="X121" s="19" t="s">
        <v>620</v>
      </c>
      <c r="Y121" s="16"/>
      <c r="Z121" s="16"/>
      <c r="AA121" s="16"/>
      <c r="AB121" s="19" t="s">
        <v>621</v>
      </c>
    </row>
    <row r="122" customFormat="false" ht="46.25" hidden="false" customHeight="false" outlineLevel="0" collapsed="false">
      <c r="A122" s="15" t="n">
        <v>46496</v>
      </c>
      <c r="B122" s="16" t="s">
        <v>74</v>
      </c>
      <c r="C122" s="17" t="n">
        <v>15</v>
      </c>
      <c r="D122" s="18" t="s">
        <v>622</v>
      </c>
      <c r="E122" s="19" t="s">
        <v>623</v>
      </c>
      <c r="F122" s="43" t="s">
        <v>227</v>
      </c>
      <c r="G122" s="16"/>
      <c r="H122" s="16"/>
      <c r="I122" s="16"/>
      <c r="J122" s="16"/>
      <c r="K122" s="16"/>
      <c r="L122" s="16"/>
      <c r="M122" s="16"/>
      <c r="N122" s="16"/>
      <c r="O122" s="16"/>
      <c r="P122" s="16"/>
      <c r="Q122" s="20" t="str">
        <f aca="false">HYPERLINK(Links!$M$122,"search")</f>
        <v>search</v>
      </c>
      <c r="R122" s="19" t="s">
        <v>624</v>
      </c>
      <c r="S122" s="21" t="n">
        <v>46497</v>
      </c>
      <c r="T122" s="16"/>
      <c r="U122" s="16"/>
      <c r="V122" s="16"/>
      <c r="W122" s="19" t="s">
        <v>599</v>
      </c>
      <c r="X122" s="19" t="s">
        <v>600</v>
      </c>
      <c r="Y122" s="16"/>
      <c r="Z122" s="16"/>
      <c r="AA122" s="16"/>
      <c r="AB122" s="19" t="s">
        <v>625</v>
      </c>
    </row>
    <row r="123" customFormat="false" ht="91" hidden="false" customHeight="false" outlineLevel="0" collapsed="false">
      <c r="A123" s="36" t="n">
        <v>46497</v>
      </c>
      <c r="B123" s="37" t="s">
        <v>87</v>
      </c>
      <c r="C123" s="38" t="n">
        <v>16</v>
      </c>
      <c r="D123" s="39" t="s">
        <v>626</v>
      </c>
      <c r="E123" s="40" t="s">
        <v>627</v>
      </c>
      <c r="F123" s="46" t="s">
        <v>227</v>
      </c>
      <c r="G123" s="37"/>
      <c r="H123" s="37"/>
      <c r="I123" s="37"/>
      <c r="J123" s="37"/>
      <c r="K123" s="37"/>
      <c r="L123" s="37"/>
      <c r="M123" s="37"/>
      <c r="N123" s="37"/>
      <c r="O123" s="37"/>
      <c r="P123" s="37"/>
      <c r="Q123" s="41" t="str">
        <f aca="false">HYPERLINK(Links!$M$123,"search")</f>
        <v>search</v>
      </c>
      <c r="R123" s="40" t="s">
        <v>628</v>
      </c>
      <c r="S123" s="42" t="n">
        <v>46498</v>
      </c>
      <c r="T123" s="37"/>
      <c r="U123" s="37"/>
      <c r="V123" s="37"/>
      <c r="W123" s="40" t="s">
        <v>629</v>
      </c>
      <c r="X123" s="40" t="s">
        <v>630</v>
      </c>
      <c r="Y123" s="37"/>
      <c r="Z123" s="37"/>
      <c r="AA123" s="37"/>
      <c r="AB123" s="40" t="s">
        <v>631</v>
      </c>
    </row>
    <row r="124" customFormat="false" ht="23.85" hidden="false" customHeight="false" outlineLevel="0" collapsed="false">
      <c r="A124" s="36" t="n">
        <v>46498</v>
      </c>
      <c r="B124" s="37" t="s">
        <v>39</v>
      </c>
      <c r="C124" s="38" t="n">
        <v>16</v>
      </c>
      <c r="D124" s="39" t="s">
        <v>632</v>
      </c>
      <c r="E124" s="40" t="s">
        <v>633</v>
      </c>
      <c r="F124" s="46" t="s">
        <v>227</v>
      </c>
      <c r="G124" s="37"/>
      <c r="H124" s="37"/>
      <c r="I124" s="37"/>
      <c r="J124" s="37"/>
      <c r="K124" s="37"/>
      <c r="L124" s="37"/>
      <c r="M124" s="37"/>
      <c r="N124" s="37"/>
      <c r="O124" s="37"/>
      <c r="P124" s="37"/>
      <c r="Q124" s="41" t="str">
        <f aca="false">HYPERLINK(Links!$M$124,"search")</f>
        <v>search</v>
      </c>
      <c r="R124" s="40" t="s">
        <v>634</v>
      </c>
      <c r="S124" s="42" t="n">
        <v>46499</v>
      </c>
      <c r="T124" s="37"/>
      <c r="U124" s="37"/>
      <c r="V124" s="37"/>
      <c r="W124" s="40" t="s">
        <v>635</v>
      </c>
      <c r="X124" s="40" t="s">
        <v>636</v>
      </c>
      <c r="Y124" s="37"/>
      <c r="Z124" s="37"/>
      <c r="AA124" s="37"/>
      <c r="AB124" s="40" t="s">
        <v>637</v>
      </c>
    </row>
    <row r="125" customFormat="false" ht="15" hidden="false" customHeight="false" outlineLevel="0" collapsed="false">
      <c r="A125" s="29" t="n">
        <v>46499</v>
      </c>
      <c r="B125" s="30" t="s">
        <v>52</v>
      </c>
      <c r="C125" s="31" t="n">
        <v>16</v>
      </c>
      <c r="D125" s="32" t="s">
        <v>638</v>
      </c>
      <c r="E125" s="33" t="s">
        <v>639</v>
      </c>
      <c r="F125" s="45" t="s">
        <v>227</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640</v>
      </c>
      <c r="E126" s="33" t="s">
        <v>641</v>
      </c>
      <c r="F126" s="45" t="s">
        <v>227</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642</v>
      </c>
      <c r="E127" s="19" t="s">
        <v>643</v>
      </c>
      <c r="F127" s="43" t="s">
        <v>227</v>
      </c>
      <c r="G127" s="16"/>
      <c r="H127" s="16"/>
      <c r="I127" s="16"/>
      <c r="J127" s="16"/>
      <c r="K127" s="16"/>
      <c r="L127" s="16"/>
      <c r="M127" s="16"/>
      <c r="N127" s="16"/>
      <c r="O127" s="16"/>
      <c r="P127" s="16"/>
      <c r="Q127" s="20" t="str">
        <f aca="false">HYPERLINK(Links!$M$127,"search")</f>
        <v>search</v>
      </c>
      <c r="R127" s="19" t="s">
        <v>644</v>
      </c>
      <c r="S127" s="21" t="n">
        <v>46504</v>
      </c>
      <c r="T127" s="16"/>
      <c r="U127" s="16"/>
      <c r="V127" s="16"/>
      <c r="W127" s="19" t="s">
        <v>645</v>
      </c>
      <c r="X127" s="19" t="s">
        <v>646</v>
      </c>
      <c r="Y127" s="16"/>
      <c r="Z127" s="16"/>
      <c r="AA127" s="16"/>
      <c r="AB127" s="19" t="s">
        <v>647</v>
      </c>
    </row>
    <row r="128" customFormat="false" ht="35.05" hidden="false" customHeight="false" outlineLevel="0" collapsed="false">
      <c r="A128" s="15" t="n">
        <v>46504</v>
      </c>
      <c r="B128" s="16" t="s">
        <v>87</v>
      </c>
      <c r="C128" s="17" t="n">
        <v>17</v>
      </c>
      <c r="D128" s="18" t="s">
        <v>648</v>
      </c>
      <c r="E128" s="19" t="s">
        <v>649</v>
      </c>
      <c r="F128" s="43" t="s">
        <v>227</v>
      </c>
      <c r="G128" s="16"/>
      <c r="H128" s="16"/>
      <c r="I128" s="16"/>
      <c r="J128" s="16"/>
      <c r="K128" s="16"/>
      <c r="L128" s="16"/>
      <c r="M128" s="16"/>
      <c r="N128" s="16"/>
      <c r="O128" s="16"/>
      <c r="P128" s="16"/>
      <c r="Q128" s="20" t="str">
        <f aca="false">HYPERLINK(Links!$M$128,"search")</f>
        <v>search</v>
      </c>
      <c r="R128" s="19" t="s">
        <v>650</v>
      </c>
      <c r="S128" s="21" t="n">
        <v>46505</v>
      </c>
      <c r="T128" s="16"/>
      <c r="U128" s="16"/>
      <c r="V128" s="16"/>
      <c r="W128" s="19" t="s">
        <v>651</v>
      </c>
      <c r="X128" s="19" t="s">
        <v>652</v>
      </c>
      <c r="Y128" s="16"/>
      <c r="Z128" s="16"/>
      <c r="AA128" s="16"/>
      <c r="AB128" s="19" t="s">
        <v>653</v>
      </c>
    </row>
    <row r="129" customFormat="false" ht="23.85" hidden="false" customHeight="false" outlineLevel="0" collapsed="false">
      <c r="A129" s="22" t="n">
        <v>46505</v>
      </c>
      <c r="B129" s="23" t="s">
        <v>39</v>
      </c>
      <c r="C129" s="24" t="n">
        <v>17</v>
      </c>
      <c r="D129" s="25" t="s">
        <v>154</v>
      </c>
      <c r="E129" s="26" t="s">
        <v>155</v>
      </c>
      <c r="F129" s="44" t="s">
        <v>227</v>
      </c>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654</v>
      </c>
      <c r="E130" s="33" t="s">
        <v>655</v>
      </c>
      <c r="F130" s="45" t="s">
        <v>227</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656</v>
      </c>
      <c r="E131" s="33" t="s">
        <v>657</v>
      </c>
      <c r="F131" s="45" t="s">
        <v>227</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658</v>
      </c>
      <c r="E132" s="26" t="s">
        <v>659</v>
      </c>
      <c r="F132" s="23"/>
      <c r="G132" s="23"/>
      <c r="H132" s="23"/>
      <c r="I132" s="23"/>
      <c r="J132" s="23"/>
      <c r="K132" s="23"/>
      <c r="L132" s="23"/>
      <c r="M132" s="23"/>
      <c r="N132" s="23"/>
      <c r="O132" s="23"/>
      <c r="P132" s="23"/>
      <c r="Q132" s="23"/>
      <c r="R132" s="26"/>
      <c r="S132" s="28"/>
      <c r="T132" s="23"/>
      <c r="U132" s="23"/>
      <c r="V132" s="23"/>
      <c r="W132" s="26" t="s">
        <v>660</v>
      </c>
      <c r="X132" s="26" t="s">
        <v>661</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662</v>
      </c>
    </row>
    <row r="2" customFormat="false" ht="42" hidden="false" customHeight="true" outlineLevel="0" collapsed="false">
      <c r="A2" s="11" t="s">
        <v>663</v>
      </c>
      <c r="B2" s="11"/>
      <c r="C2" s="11"/>
      <c r="D2" s="11"/>
      <c r="E2" s="11"/>
      <c r="F2" s="11"/>
      <c r="G2" s="11"/>
      <c r="H2" s="11"/>
      <c r="I2" s="11"/>
      <c r="J2" s="11"/>
      <c r="K2" s="11"/>
    </row>
    <row r="4" customFormat="false" ht="30" hidden="false" customHeight="true" outlineLevel="0" collapsed="false">
      <c r="A4" s="9" t="s">
        <v>664</v>
      </c>
      <c r="B4" s="9" t="s">
        <v>665</v>
      </c>
      <c r="C4" s="9" t="s">
        <v>666</v>
      </c>
      <c r="D4" s="9" t="s">
        <v>667</v>
      </c>
      <c r="E4" s="9" t="s">
        <v>668</v>
      </c>
      <c r="F4" s="9" t="s">
        <v>669</v>
      </c>
      <c r="G4" s="9" t="s">
        <v>670</v>
      </c>
      <c r="H4" s="9" t="s">
        <v>671</v>
      </c>
      <c r="I4" s="9" t="s">
        <v>672</v>
      </c>
      <c r="J4" s="9" t="s">
        <v>673</v>
      </c>
      <c r="K4" s="9" t="s">
        <v>674</v>
      </c>
    </row>
    <row r="5" customFormat="false" ht="23.85" hidden="false" customHeight="false" outlineLevel="0" collapsed="false">
      <c r="A5" s="47" t="n">
        <v>1</v>
      </c>
      <c r="B5" s="48" t="n">
        <v>46288</v>
      </c>
      <c r="C5" s="49" t="s">
        <v>675</v>
      </c>
      <c r="D5" s="6" t="s">
        <v>676</v>
      </c>
      <c r="E5" s="7" t="s">
        <v>677</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678</v>
      </c>
      <c r="D6" s="6" t="s">
        <v>679</v>
      </c>
      <c r="E6" s="7" t="s">
        <v>680</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681</v>
      </c>
      <c r="D7" s="6" t="s">
        <v>682</v>
      </c>
      <c r="E7" s="7" t="s">
        <v>683</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684</v>
      </c>
      <c r="D8" s="6" t="s">
        <v>685</v>
      </c>
      <c r="E8" s="7" t="s">
        <v>686</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687</v>
      </c>
      <c r="D9" s="6" t="s">
        <v>688</v>
      </c>
      <c r="E9" s="7" t="s">
        <v>689</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690</v>
      </c>
      <c r="D10" s="6" t="s">
        <v>691</v>
      </c>
      <c r="E10" s="7" t="s">
        <v>692</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693</v>
      </c>
      <c r="D11" s="6" t="s">
        <v>694</v>
      </c>
      <c r="E11" s="7" t="s">
        <v>695</v>
      </c>
      <c r="F11" s="47" t="n">
        <v>67</v>
      </c>
      <c r="G11" s="48" t="n">
        <v>46301</v>
      </c>
      <c r="H11" s="50"/>
      <c r="I11" s="50"/>
      <c r="J11" s="7" t="str">
        <f aca="true">IF(I11="✓","done",IF(TODAY()&lt;B11,"upcoming",IF(TODAY()&lt;G11,"open","due — check scores")))</f>
        <v>due — check scores</v>
      </c>
      <c r="K11" s="51"/>
    </row>
    <row r="12" customFormat="false" ht="23.85" hidden="false" customHeight="false" outlineLevel="0" collapsed="false">
      <c r="A12" s="47" t="n">
        <v>8</v>
      </c>
      <c r="B12" s="48" t="n">
        <v>46301</v>
      </c>
      <c r="C12" s="49" t="s">
        <v>696</v>
      </c>
      <c r="D12" s="6" t="s">
        <v>697</v>
      </c>
      <c r="E12" s="7" t="s">
        <v>698</v>
      </c>
      <c r="F12" s="47" t="n">
        <v>67</v>
      </c>
      <c r="G12" s="48" t="n">
        <v>46302</v>
      </c>
      <c r="H12" s="50"/>
      <c r="I12" s="50"/>
      <c r="J12" s="7" t="str">
        <f aca="true">IF(I12="✓","done",IF(TODAY()&lt;B12,"upcoming",IF(TODAY()&lt;G12,"open","due — check scores")))</f>
        <v>due — check scores</v>
      </c>
      <c r="K12" s="51"/>
    </row>
    <row r="13" customFormat="false" ht="23.85" hidden="false" customHeight="false" outlineLevel="0" collapsed="false">
      <c r="A13" s="47" t="n">
        <v>9</v>
      </c>
      <c r="B13" s="48" t="n">
        <v>46302</v>
      </c>
      <c r="C13" s="49" t="s">
        <v>699</v>
      </c>
      <c r="D13" s="6" t="s">
        <v>700</v>
      </c>
      <c r="E13" s="7" t="s">
        <v>701</v>
      </c>
      <c r="F13" s="47" t="n">
        <v>67</v>
      </c>
      <c r="G13" s="48" t="n">
        <v>46304</v>
      </c>
      <c r="H13" s="50"/>
      <c r="I13" s="50"/>
      <c r="J13" s="7" t="str">
        <f aca="true">IF(I13="✓","done",IF(TODAY()&lt;B13,"upcoming",IF(TODAY()&lt;G13,"open","due — check scores")))</f>
        <v>open</v>
      </c>
      <c r="K13" s="51"/>
    </row>
    <row r="14" customFormat="false" ht="35.05" hidden="false" customHeight="false" outlineLevel="0" collapsed="false">
      <c r="A14" s="47" t="n">
        <v>10</v>
      </c>
      <c r="B14" s="48" t="n">
        <v>46304</v>
      </c>
      <c r="C14" s="49" t="s">
        <v>702</v>
      </c>
      <c r="D14" s="6" t="s">
        <v>703</v>
      </c>
      <c r="E14" s="7" t="s">
        <v>704</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705</v>
      </c>
      <c r="D15" s="6" t="s">
        <v>706</v>
      </c>
      <c r="E15" s="7" t="s">
        <v>707</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708</v>
      </c>
      <c r="D16" s="6" t="s">
        <v>709</v>
      </c>
      <c r="E16" s="7" t="s">
        <v>710</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711</v>
      </c>
      <c r="D17" s="6" t="s">
        <v>712</v>
      </c>
      <c r="E17" s="7" t="s">
        <v>713</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714</v>
      </c>
      <c r="D18" s="6" t="s">
        <v>715</v>
      </c>
      <c r="E18" s="7" t="s">
        <v>716</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717</v>
      </c>
      <c r="D19" s="6" t="s">
        <v>718</v>
      </c>
      <c r="E19" s="7" t="s">
        <v>719</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720</v>
      </c>
      <c r="D20" s="6" t="s">
        <v>721</v>
      </c>
      <c r="E20" s="7" t="s">
        <v>722</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723</v>
      </c>
      <c r="D21" s="6" t="s">
        <v>724</v>
      </c>
      <c r="E21" s="7" t="s">
        <v>725</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726</v>
      </c>
      <c r="D22" s="6" t="s">
        <v>727</v>
      </c>
      <c r="E22" s="7" t="s">
        <v>728</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729</v>
      </c>
      <c r="D23" s="6" t="s">
        <v>730</v>
      </c>
      <c r="E23" s="7" t="s">
        <v>731</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732</v>
      </c>
      <c r="D24" s="6" t="s">
        <v>733</v>
      </c>
      <c r="E24" s="7" t="s">
        <v>734</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735</v>
      </c>
      <c r="D25" s="6" t="s">
        <v>736</v>
      </c>
      <c r="E25" s="7" t="s">
        <v>737</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738</v>
      </c>
      <c r="D26" s="6" t="s">
        <v>739</v>
      </c>
      <c r="E26" s="7" t="s">
        <v>740</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741</v>
      </c>
      <c r="D27" s="6" t="s">
        <v>742</v>
      </c>
      <c r="E27" s="7" t="s">
        <v>743</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744</v>
      </c>
      <c r="D28" s="6" t="s">
        <v>745</v>
      </c>
      <c r="E28" s="7" t="s">
        <v>746</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747</v>
      </c>
      <c r="D29" s="6" t="s">
        <v>748</v>
      </c>
      <c r="E29" s="7" t="s">
        <v>749</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750</v>
      </c>
      <c r="D30" s="6" t="s">
        <v>751</v>
      </c>
      <c r="E30" s="7" t="s">
        <v>752</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753</v>
      </c>
      <c r="D31" s="6" t="s">
        <v>754</v>
      </c>
      <c r="E31" s="7" t="s">
        <v>755</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756</v>
      </c>
      <c r="D32" s="6" t="s">
        <v>757</v>
      </c>
      <c r="E32" s="7" t="s">
        <v>758</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759</v>
      </c>
      <c r="D33" s="6" t="s">
        <v>760</v>
      </c>
      <c r="E33" s="7" t="s">
        <v>761</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762</v>
      </c>
      <c r="D34" s="6" t="s">
        <v>763</v>
      </c>
      <c r="E34" s="7" t="s">
        <v>764</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765</v>
      </c>
      <c r="D35" s="6" t="s">
        <v>766</v>
      </c>
      <c r="E35" s="7" t="s">
        <v>767</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768</v>
      </c>
      <c r="D36" s="6" t="s">
        <v>769</v>
      </c>
      <c r="E36" s="7" t="s">
        <v>770</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771</v>
      </c>
      <c r="D37" s="6" t="s">
        <v>772</v>
      </c>
      <c r="E37" s="7" t="s">
        <v>773</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774</v>
      </c>
      <c r="D38" s="6" t="s">
        <v>775</v>
      </c>
      <c r="E38" s="7" t="s">
        <v>776</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777</v>
      </c>
      <c r="D39" s="6" t="s">
        <v>778</v>
      </c>
      <c r="E39" s="7" t="s">
        <v>779</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780</v>
      </c>
      <c r="D40" s="6" t="s">
        <v>781</v>
      </c>
      <c r="E40" s="7" t="s">
        <v>782</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783</v>
      </c>
      <c r="D41" s="6" t="s">
        <v>784</v>
      </c>
      <c r="E41" s="7" t="s">
        <v>785</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786</v>
      </c>
      <c r="D42" s="6" t="s">
        <v>787</v>
      </c>
      <c r="E42" s="7" t="s">
        <v>788</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789</v>
      </c>
      <c r="D43" s="6" t="s">
        <v>790</v>
      </c>
      <c r="E43" s="7" t="s">
        <v>791</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792</v>
      </c>
      <c r="D44" s="6" t="s">
        <v>793</v>
      </c>
      <c r="E44" s="7" t="s">
        <v>794</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795</v>
      </c>
      <c r="D45" s="6" t="s">
        <v>796</v>
      </c>
      <c r="E45" s="7" t="s">
        <v>797</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798</v>
      </c>
      <c r="D46" s="6" t="s">
        <v>799</v>
      </c>
      <c r="E46" s="7" t="s">
        <v>800</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801</v>
      </c>
      <c r="D47" s="6" t="s">
        <v>802</v>
      </c>
      <c r="E47" s="7" t="s">
        <v>803</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804</v>
      </c>
      <c r="D48" s="6" t="s">
        <v>805</v>
      </c>
      <c r="E48" s="7" t="s">
        <v>806</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807</v>
      </c>
      <c r="D49" s="6" t="s">
        <v>808</v>
      </c>
      <c r="E49" s="7" t="s">
        <v>809</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810</v>
      </c>
      <c r="D50" s="6" t="s">
        <v>811</v>
      </c>
      <c r="E50" s="7" t="s">
        <v>812</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813</v>
      </c>
      <c r="D51" s="6" t="s">
        <v>814</v>
      </c>
      <c r="E51" s="7" t="s">
        <v>815</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816</v>
      </c>
      <c r="D52" s="6" t="s">
        <v>817</v>
      </c>
      <c r="E52" s="7" t="s">
        <v>818</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819</v>
      </c>
      <c r="D53" s="6" t="s">
        <v>820</v>
      </c>
      <c r="E53" s="7" t="s">
        <v>821</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822</v>
      </c>
      <c r="D54" s="6" t="s">
        <v>823</v>
      </c>
      <c r="E54" s="7" t="s">
        <v>824</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825</v>
      </c>
      <c r="D55" s="6" t="s">
        <v>826</v>
      </c>
      <c r="E55" s="7" t="s">
        <v>827</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828</v>
      </c>
      <c r="D56" s="6" t="s">
        <v>829</v>
      </c>
      <c r="E56" s="7" t="s">
        <v>830</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831</v>
      </c>
      <c r="D57" s="6" t="s">
        <v>832</v>
      </c>
      <c r="E57" s="7" t="s">
        <v>833</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834</v>
      </c>
      <c r="D58" s="6" t="s">
        <v>835</v>
      </c>
      <c r="E58" s="7" t="s">
        <v>836</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837</v>
      </c>
      <c r="D59" s="6" t="s">
        <v>838</v>
      </c>
      <c r="E59" s="7" t="s">
        <v>839</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840</v>
      </c>
      <c r="D60" s="6" t="s">
        <v>841</v>
      </c>
      <c r="E60" s="7" t="s">
        <v>842</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843</v>
      </c>
      <c r="D61" s="6" t="s">
        <v>844</v>
      </c>
      <c r="E61" s="7" t="s">
        <v>845</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846</v>
      </c>
      <c r="D62" s="6" t="s">
        <v>847</v>
      </c>
      <c r="E62" s="7" t="s">
        <v>848</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849</v>
      </c>
      <c r="D63" s="6" t="s">
        <v>850</v>
      </c>
      <c r="E63" s="7" t="s">
        <v>851</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852</v>
      </c>
      <c r="D64" s="6" t="s">
        <v>853</v>
      </c>
      <c r="E64" s="7" t="s">
        <v>854</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855</v>
      </c>
      <c r="D65" s="6" t="s">
        <v>856</v>
      </c>
      <c r="E65" s="7" t="s">
        <v>857</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858</v>
      </c>
      <c r="D66" s="6" t="s">
        <v>859</v>
      </c>
      <c r="E66" s="7" t="s">
        <v>860</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861</v>
      </c>
      <c r="D67" s="6" t="s">
        <v>862</v>
      </c>
      <c r="E67" s="7" t="s">
        <v>863</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864</v>
      </c>
      <c r="D68" s="6" t="s">
        <v>865</v>
      </c>
      <c r="E68" s="7" t="s">
        <v>866</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867</v>
      </c>
      <c r="D69" s="6" t="s">
        <v>868</v>
      </c>
      <c r="E69" s="7" t="s">
        <v>869</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870</v>
      </c>
      <c r="D70" s="6" t="s">
        <v>871</v>
      </c>
      <c r="E70" s="7" t="s">
        <v>872</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873</v>
      </c>
      <c r="D71" s="6" t="s">
        <v>874</v>
      </c>
      <c r="E71" s="7" t="s">
        <v>875</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876</v>
      </c>
      <c r="D72" s="6" t="s">
        <v>877</v>
      </c>
      <c r="E72" s="7" t="s">
        <v>878</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879</v>
      </c>
      <c r="D73" s="6" t="s">
        <v>880</v>
      </c>
      <c r="E73" s="7" t="s">
        <v>881</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882</v>
      </c>
      <c r="D74" s="6" t="s">
        <v>883</v>
      </c>
      <c r="E74" s="7" t="s">
        <v>884</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885</v>
      </c>
      <c r="D75" s="6" t="s">
        <v>886</v>
      </c>
      <c r="E75" s="7" t="s">
        <v>887</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888</v>
      </c>
      <c r="D76" s="6" t="s">
        <v>889</v>
      </c>
      <c r="E76" s="7" t="s">
        <v>890</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891</v>
      </c>
      <c r="D77" s="6" t="s">
        <v>892</v>
      </c>
      <c r="E77" s="7" t="s">
        <v>893</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894</v>
      </c>
      <c r="D78" s="6" t="s">
        <v>895</v>
      </c>
      <c r="E78" s="7" t="s">
        <v>896</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897</v>
      </c>
      <c r="D79" s="6" t="s">
        <v>898</v>
      </c>
      <c r="E79" s="7" t="s">
        <v>899</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900</v>
      </c>
      <c r="D80" s="6" t="s">
        <v>901</v>
      </c>
      <c r="E80" s="7" t="s">
        <v>902</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903</v>
      </c>
      <c r="D81" s="6" t="s">
        <v>904</v>
      </c>
      <c r="E81" s="7" t="s">
        <v>905</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906</v>
      </c>
      <c r="D82" s="6" t="s">
        <v>907</v>
      </c>
      <c r="E82" s="7" t="s">
        <v>908</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909</v>
      </c>
      <c r="D83" s="6" t="s">
        <v>910</v>
      </c>
      <c r="E83" s="7" t="s">
        <v>911</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912</v>
      </c>
      <c r="D84" s="6" t="s">
        <v>913</v>
      </c>
      <c r="E84" s="7" t="s">
        <v>914</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915</v>
      </c>
      <c r="D85" s="6" t="s">
        <v>916</v>
      </c>
      <c r="E85" s="7" t="s">
        <v>917</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918</v>
      </c>
      <c r="D86" s="6" t="s">
        <v>919</v>
      </c>
      <c r="E86" s="7" t="s">
        <v>920</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921</v>
      </c>
      <c r="C1" s="9" t="s">
        <v>922</v>
      </c>
      <c r="D1" s="9" t="s">
        <v>923</v>
      </c>
      <c r="E1" s="9" t="s">
        <v>924</v>
      </c>
      <c r="F1" s="9" t="s">
        <v>925</v>
      </c>
      <c r="G1" s="9" t="s">
        <v>926</v>
      </c>
      <c r="H1" s="9" t="s">
        <v>927</v>
      </c>
      <c r="I1" s="9" t="s">
        <v>928</v>
      </c>
      <c r="J1" s="9" t="s">
        <v>929</v>
      </c>
      <c r="K1" s="9" t="s">
        <v>930</v>
      </c>
    </row>
    <row r="2" customFormat="false" ht="46.25" hidden="false" customHeight="false" outlineLevel="0" collapsed="false">
      <c r="A2" s="5" t="s">
        <v>931</v>
      </c>
      <c r="B2" s="47" t="n">
        <v>7</v>
      </c>
      <c r="C2" s="6" t="s">
        <v>932</v>
      </c>
      <c r="D2" s="6" t="s">
        <v>933</v>
      </c>
      <c r="E2" s="47" t="s">
        <v>934</v>
      </c>
      <c r="F2" s="6" t="s">
        <v>935</v>
      </c>
      <c r="G2" s="52"/>
      <c r="H2" s="52"/>
      <c r="I2" s="6"/>
      <c r="J2" s="47" t="str">
        <f aca="false">IF(SUMIF('Unit tests'!$E:$E,A2,'Unit tests'!$C:$C)=0,"",SUMIF('Unit tests'!$E:$E,A2,'Unit tests'!$C:$C))</f>
        <v/>
      </c>
      <c r="K2" s="6"/>
    </row>
    <row r="3" customFormat="false" ht="35.05" hidden="false" customHeight="false" outlineLevel="0" collapsed="false">
      <c r="A3" s="5" t="s">
        <v>936</v>
      </c>
      <c r="B3" s="47" t="n">
        <v>7</v>
      </c>
      <c r="C3" s="6" t="s">
        <v>937</v>
      </c>
      <c r="D3" s="6" t="s">
        <v>938</v>
      </c>
      <c r="E3" s="47" t="s">
        <v>934</v>
      </c>
      <c r="F3" s="6" t="s">
        <v>935</v>
      </c>
      <c r="G3" s="52"/>
      <c r="H3" s="52"/>
      <c r="I3" s="6"/>
      <c r="J3" s="47" t="str">
        <f aca="false">IF(SUMIF('Unit tests'!$E:$E,A3,'Unit tests'!$C:$C)=0,"",SUMIF('Unit tests'!$E:$E,A3,'Unit tests'!$C:$C))</f>
        <v/>
      </c>
      <c r="K3" s="6"/>
    </row>
    <row r="4" customFormat="false" ht="35.05" hidden="false" customHeight="false" outlineLevel="0" collapsed="false">
      <c r="A4" s="5" t="s">
        <v>939</v>
      </c>
      <c r="B4" s="47" t="n">
        <v>8</v>
      </c>
      <c r="C4" s="6" t="s">
        <v>940</v>
      </c>
      <c r="D4" s="6" t="s">
        <v>941</v>
      </c>
      <c r="E4" s="47" t="s">
        <v>934</v>
      </c>
      <c r="F4" s="6" t="s">
        <v>935</v>
      </c>
      <c r="G4" s="52"/>
      <c r="H4" s="52"/>
      <c r="I4" s="6" t="s">
        <v>942</v>
      </c>
      <c r="J4" s="47" t="str">
        <f aca="false">IF(SUMIF('Unit tests'!$E:$E,A4,'Unit tests'!$C:$C)=0,"",SUMIF('Unit tests'!$E:$E,A4,'Unit tests'!$C:$C))</f>
        <v/>
      </c>
      <c r="K4" s="6"/>
    </row>
    <row r="5" customFormat="false" ht="68.65" hidden="false" customHeight="false" outlineLevel="0" collapsed="false">
      <c r="A5" s="5" t="s">
        <v>943</v>
      </c>
      <c r="B5" s="47" t="n">
        <v>8</v>
      </c>
      <c r="C5" s="6" t="s">
        <v>944</v>
      </c>
      <c r="D5" s="6" t="s">
        <v>945</v>
      </c>
      <c r="E5" s="47" t="s">
        <v>946</v>
      </c>
      <c r="F5" s="6" t="s">
        <v>947</v>
      </c>
      <c r="G5" s="52"/>
      <c r="H5" s="52"/>
      <c r="I5" s="6" t="s">
        <v>942</v>
      </c>
      <c r="J5" s="47" t="str">
        <f aca="false">IF(SUMIF('Unit tests'!$E:$E,A5,'Unit tests'!$C:$C)=0,"",SUMIF('Unit tests'!$E:$E,A5,'Unit tests'!$C:$C))</f>
        <v/>
      </c>
      <c r="K5" s="6"/>
    </row>
    <row r="6" customFormat="false" ht="57.45" hidden="false" customHeight="false" outlineLevel="0" collapsed="false">
      <c r="A6" s="5" t="s">
        <v>948</v>
      </c>
      <c r="B6" s="47" t="n">
        <v>8</v>
      </c>
      <c r="C6" s="6" t="s">
        <v>949</v>
      </c>
      <c r="D6" s="6" t="s">
        <v>950</v>
      </c>
      <c r="E6" s="47" t="s">
        <v>946</v>
      </c>
      <c r="F6" s="6" t="s">
        <v>947</v>
      </c>
      <c r="G6" s="52"/>
      <c r="H6" s="52"/>
      <c r="I6" s="6" t="s">
        <v>951</v>
      </c>
      <c r="J6" s="47" t="str">
        <f aca="false">IF(SUMIF('Unit tests'!$E:$E,A6,'Unit tests'!$C:$C)=0,"",SUMIF('Unit tests'!$E:$E,A6,'Unit tests'!$C:$C))</f>
        <v/>
      </c>
      <c r="K6" s="6"/>
    </row>
    <row r="7" customFormat="false" ht="46.25" hidden="false" customHeight="false" outlineLevel="0" collapsed="false">
      <c r="A7" s="5" t="s">
        <v>952</v>
      </c>
      <c r="B7" s="47" t="n">
        <v>8</v>
      </c>
      <c r="C7" s="6" t="s">
        <v>953</v>
      </c>
      <c r="D7" s="6" t="s">
        <v>954</v>
      </c>
      <c r="E7" s="47" t="s">
        <v>946</v>
      </c>
      <c r="F7" s="6" t="s">
        <v>947</v>
      </c>
      <c r="G7" s="52"/>
      <c r="H7" s="52"/>
      <c r="I7" s="6" t="s">
        <v>951</v>
      </c>
      <c r="J7" s="47" t="str">
        <f aca="false">IF(SUMIF('Unit tests'!$E:$E,A7,'Unit tests'!$C:$C)=0,"",SUMIF('Unit tests'!$E:$E,A7,'Unit tests'!$C:$C))</f>
        <v/>
      </c>
      <c r="K7" s="6"/>
    </row>
    <row r="8" customFormat="false" ht="35.05" hidden="false" customHeight="false" outlineLevel="0" collapsed="false">
      <c r="A8" s="5" t="s">
        <v>955</v>
      </c>
      <c r="B8" s="47" t="n">
        <v>7</v>
      </c>
      <c r="C8" s="6" t="s">
        <v>956</v>
      </c>
      <c r="D8" s="6" t="s">
        <v>957</v>
      </c>
      <c r="E8" s="47" t="s">
        <v>958</v>
      </c>
      <c r="F8" s="6" t="s">
        <v>959</v>
      </c>
      <c r="G8" s="52" t="n">
        <v>46288</v>
      </c>
      <c r="H8" s="52" t="n">
        <v>46290</v>
      </c>
      <c r="I8" s="6"/>
      <c r="J8" s="47" t="n">
        <f aca="false">IF(SUMIF('Unit tests'!$E:$E,A8,'Unit tests'!$C:$C)=0,"",SUMIF('Unit tests'!$E:$E,A8,'Unit tests'!$C:$C))</f>
        <v>9</v>
      </c>
      <c r="K8" s="6" t="s">
        <v>960</v>
      </c>
    </row>
    <row r="9" customFormat="false" ht="68.65" hidden="false" customHeight="false" outlineLevel="0" collapsed="false">
      <c r="A9" s="5" t="s">
        <v>961</v>
      </c>
      <c r="B9" s="47" t="n">
        <v>8</v>
      </c>
      <c r="C9" s="6" t="s">
        <v>962</v>
      </c>
      <c r="D9" s="6" t="s">
        <v>963</v>
      </c>
      <c r="E9" s="47" t="s">
        <v>958</v>
      </c>
      <c r="F9" s="6" t="s">
        <v>964</v>
      </c>
      <c r="G9" s="52" t="n">
        <v>46288</v>
      </c>
      <c r="H9" s="52" t="n">
        <v>46295</v>
      </c>
      <c r="I9" s="6" t="s">
        <v>951</v>
      </c>
      <c r="J9" s="47" t="n">
        <f aca="false">IF(SUMIF('Unit tests'!$E:$E,A9,'Unit tests'!$C:$C)=0,"",SUMIF('Unit tests'!$E:$E,A9,'Unit tests'!$C:$C))</f>
        <v>11</v>
      </c>
      <c r="K9" s="6" t="s">
        <v>965</v>
      </c>
    </row>
    <row r="10" customFormat="false" ht="35.05" hidden="false" customHeight="false" outlineLevel="0" collapsed="false">
      <c r="A10" s="5" t="s">
        <v>966</v>
      </c>
      <c r="B10" s="47" t="n">
        <v>8</v>
      </c>
      <c r="C10" s="6" t="s">
        <v>967</v>
      </c>
      <c r="D10" s="6" t="s">
        <v>968</v>
      </c>
      <c r="E10" s="47" t="s">
        <v>969</v>
      </c>
      <c r="F10" s="6" t="s">
        <v>970</v>
      </c>
      <c r="G10" s="52" t="n">
        <v>46300</v>
      </c>
      <c r="H10" s="52" t="n">
        <v>46477</v>
      </c>
      <c r="I10" s="6" t="s">
        <v>971</v>
      </c>
      <c r="J10" s="47" t="n">
        <f aca="false">IF(SUMIF('Unit tests'!$E:$E,A10,'Unit tests'!$C:$C)=0,"",SUMIF('Unit tests'!$E:$E,A10,'Unit tests'!$C:$C))</f>
        <v>9</v>
      </c>
      <c r="K10" s="6" t="s">
        <v>878</v>
      </c>
    </row>
    <row r="11" customFormat="false" ht="35.05" hidden="false" customHeight="false" outlineLevel="0" collapsed="false">
      <c r="A11" s="5" t="s">
        <v>972</v>
      </c>
      <c r="B11" s="47" t="n">
        <v>8</v>
      </c>
      <c r="C11" s="6" t="s">
        <v>973</v>
      </c>
      <c r="D11" s="6"/>
      <c r="E11" s="47" t="s">
        <v>958</v>
      </c>
      <c r="F11" s="6" t="s">
        <v>974</v>
      </c>
      <c r="G11" s="52" t="n">
        <v>46302</v>
      </c>
      <c r="H11" s="52" t="n">
        <v>46304</v>
      </c>
      <c r="I11" s="6" t="s">
        <v>951</v>
      </c>
      <c r="J11" s="47" t="n">
        <f aca="false">IF(SUMIF('Unit tests'!$E:$E,A11,'Unit tests'!$C:$C)=0,"",SUMIF('Unit tests'!$E:$E,A11,'Unit tests'!$C:$C))</f>
        <v>12</v>
      </c>
      <c r="K11" s="6" t="s">
        <v>975</v>
      </c>
    </row>
    <row r="12" customFormat="false" ht="23.85" hidden="false" customHeight="false" outlineLevel="0" collapsed="false">
      <c r="A12" s="5" t="s">
        <v>976</v>
      </c>
      <c r="B12" s="47" t="n">
        <v>8</v>
      </c>
      <c r="C12" s="6" t="s">
        <v>977</v>
      </c>
      <c r="D12" s="6" t="s">
        <v>978</v>
      </c>
      <c r="E12" s="47" t="s">
        <v>979</v>
      </c>
      <c r="F12" s="6" t="s">
        <v>980</v>
      </c>
      <c r="G12" s="52" t="n">
        <v>46314</v>
      </c>
      <c r="H12" s="52" t="n">
        <v>46315</v>
      </c>
      <c r="I12" s="6" t="s">
        <v>951</v>
      </c>
      <c r="J12" s="47" t="n">
        <f aca="false">IF(SUMIF('Unit tests'!$E:$E,A12,'Unit tests'!$C:$C)=0,"",SUMIF('Unit tests'!$E:$E,A12,'Unit tests'!$C:$C))</f>
        <v>12</v>
      </c>
      <c r="K12" s="6" t="s">
        <v>981</v>
      </c>
    </row>
    <row r="13" customFormat="false" ht="46.25" hidden="false" customHeight="false" outlineLevel="0" collapsed="false">
      <c r="A13" s="5" t="s">
        <v>982</v>
      </c>
      <c r="B13" s="47" t="n">
        <v>8</v>
      </c>
      <c r="C13" s="6" t="s">
        <v>983</v>
      </c>
      <c r="D13" s="6" t="s">
        <v>984</v>
      </c>
      <c r="E13" s="47" t="s">
        <v>979</v>
      </c>
      <c r="F13" s="6" t="s">
        <v>985</v>
      </c>
      <c r="G13" s="52" t="n">
        <v>46316</v>
      </c>
      <c r="H13" s="52" t="n">
        <v>46316</v>
      </c>
      <c r="I13" s="6" t="s">
        <v>951</v>
      </c>
      <c r="J13" s="47" t="n">
        <f aca="false">IF(SUMIF('Unit tests'!$E:$E,A13,'Unit tests'!$C:$C)=0,"",SUMIF('Unit tests'!$E:$E,A13,'Unit tests'!$C:$C))</f>
        <v>9</v>
      </c>
      <c r="K13" s="6" t="s">
        <v>713</v>
      </c>
    </row>
    <row r="14" customFormat="false" ht="46.25" hidden="false" customHeight="false" outlineLevel="0" collapsed="false">
      <c r="A14" s="5" t="s">
        <v>986</v>
      </c>
      <c r="B14" s="47" t="n">
        <v>8</v>
      </c>
      <c r="C14" s="6" t="s">
        <v>987</v>
      </c>
      <c r="D14" s="6" t="s">
        <v>988</v>
      </c>
      <c r="E14" s="47" t="s">
        <v>979</v>
      </c>
      <c r="F14" s="6" t="s">
        <v>989</v>
      </c>
      <c r="G14" s="52" t="n">
        <v>46317</v>
      </c>
      <c r="H14" s="52" t="n">
        <v>46321</v>
      </c>
      <c r="I14" s="6" t="s">
        <v>951</v>
      </c>
      <c r="J14" s="47" t="n">
        <f aca="false">IF(SUMIF('Unit tests'!$E:$E,A14,'Unit tests'!$C:$C)=0,"",SUMIF('Unit tests'!$E:$E,A14,'Unit tests'!$C:$C))</f>
        <v>13</v>
      </c>
      <c r="K14" s="6" t="s">
        <v>990</v>
      </c>
    </row>
    <row r="15" customFormat="false" ht="35.05" hidden="false" customHeight="false" outlineLevel="0" collapsed="false">
      <c r="A15" s="5" t="s">
        <v>991</v>
      </c>
      <c r="B15" s="47" t="n">
        <v>7</v>
      </c>
      <c r="C15" s="6" t="s">
        <v>992</v>
      </c>
      <c r="D15" s="6" t="s">
        <v>993</v>
      </c>
      <c r="E15" s="47" t="s">
        <v>994</v>
      </c>
      <c r="F15" s="6" t="s">
        <v>995</v>
      </c>
      <c r="G15" s="52" t="n">
        <v>46328</v>
      </c>
      <c r="H15" s="52" t="n">
        <v>46330</v>
      </c>
      <c r="I15" s="6"/>
      <c r="J15" s="47" t="str">
        <f aca="false">IF(SUMIF('Unit tests'!$E:$E,A15,'Unit tests'!$C:$C)=0,"",SUMIF('Unit tests'!$E:$E,A15,'Unit tests'!$C:$C))</f>
        <v/>
      </c>
      <c r="K15" s="6" t="s">
        <v>996</v>
      </c>
    </row>
    <row r="16" customFormat="false" ht="23.85" hidden="false" customHeight="false" outlineLevel="0" collapsed="false">
      <c r="A16" s="5" t="s">
        <v>997</v>
      </c>
      <c r="B16" s="47" t="n">
        <v>7</v>
      </c>
      <c r="C16" s="6" t="s">
        <v>998</v>
      </c>
      <c r="D16" s="6" t="s">
        <v>999</v>
      </c>
      <c r="E16" s="47" t="s">
        <v>994</v>
      </c>
      <c r="F16" s="6" t="s">
        <v>1000</v>
      </c>
      <c r="G16" s="52" t="n">
        <v>46331</v>
      </c>
      <c r="H16" s="52" t="n">
        <v>46335</v>
      </c>
      <c r="I16" s="6"/>
      <c r="J16" s="47" t="str">
        <f aca="false">IF(SUMIF('Unit tests'!$E:$E,A16,'Unit tests'!$C:$C)=0,"",SUMIF('Unit tests'!$E:$E,A16,'Unit tests'!$C:$C))</f>
        <v/>
      </c>
      <c r="K16" s="6" t="s">
        <v>1001</v>
      </c>
    </row>
    <row r="17" customFormat="false" ht="15" hidden="false" customHeight="false" outlineLevel="0" collapsed="false">
      <c r="A17" s="5" t="s">
        <v>1002</v>
      </c>
      <c r="B17" s="47" t="n">
        <v>7</v>
      </c>
      <c r="C17" s="6" t="s">
        <v>1003</v>
      </c>
      <c r="D17" s="6"/>
      <c r="E17" s="47" t="s">
        <v>1004</v>
      </c>
      <c r="F17" s="6" t="s">
        <v>1005</v>
      </c>
      <c r="G17" s="52" t="n">
        <v>46335</v>
      </c>
      <c r="H17" s="52" t="n">
        <v>46367</v>
      </c>
      <c r="I17" s="6"/>
      <c r="J17" s="47" t="str">
        <f aca="false">IF(SUMIF('Unit tests'!$E:$E,A17,'Unit tests'!$C:$C)=0,"",SUMIF('Unit tests'!$E:$E,A17,'Unit tests'!$C:$C))</f>
        <v/>
      </c>
      <c r="K17" s="6" t="s">
        <v>1006</v>
      </c>
    </row>
    <row r="18" customFormat="false" ht="46.25" hidden="false" customHeight="false" outlineLevel="0" collapsed="false">
      <c r="A18" s="5" t="s">
        <v>1007</v>
      </c>
      <c r="B18" s="47" t="n">
        <v>8</v>
      </c>
      <c r="C18" s="6" t="s">
        <v>1008</v>
      </c>
      <c r="D18" s="6"/>
      <c r="E18" s="47" t="s">
        <v>1009</v>
      </c>
      <c r="F18" s="6" t="s">
        <v>1010</v>
      </c>
      <c r="G18" s="52" t="n">
        <v>46342</v>
      </c>
      <c r="H18" s="52" t="n">
        <v>46342</v>
      </c>
      <c r="I18" s="6" t="s">
        <v>942</v>
      </c>
      <c r="J18" s="47" t="str">
        <f aca="false">IF(SUMIF('Unit tests'!$E:$E,A18,'Unit tests'!$C:$C)=0,"",SUMIF('Unit tests'!$E:$E,A18,'Unit tests'!$C:$C))</f>
        <v/>
      </c>
      <c r="K18" s="6" t="s">
        <v>737</v>
      </c>
    </row>
    <row r="19" customFormat="false" ht="57.45" hidden="false" customHeight="false" outlineLevel="0" collapsed="false">
      <c r="A19" s="5" t="s">
        <v>1011</v>
      </c>
      <c r="B19" s="47" t="n">
        <v>8</v>
      </c>
      <c r="C19" s="6" t="s">
        <v>1012</v>
      </c>
      <c r="D19" s="6" t="s">
        <v>1013</v>
      </c>
      <c r="E19" s="47" t="s">
        <v>1009</v>
      </c>
      <c r="F19" s="6" t="s">
        <v>1014</v>
      </c>
      <c r="G19" s="52" t="n">
        <v>46343</v>
      </c>
      <c r="H19" s="52" t="n">
        <v>46344</v>
      </c>
      <c r="I19" s="6" t="s">
        <v>942</v>
      </c>
      <c r="J19" s="47" t="str">
        <f aca="false">IF(SUMIF('Unit tests'!$E:$E,A19,'Unit tests'!$C:$C)=0,"",SUMIF('Unit tests'!$E:$E,A19,'Unit tests'!$C:$C))</f>
        <v/>
      </c>
      <c r="K19" s="6" t="s">
        <v>1015</v>
      </c>
    </row>
    <row r="20" customFormat="false" ht="46.25" hidden="false" customHeight="false" outlineLevel="0" collapsed="false">
      <c r="A20" s="5" t="s">
        <v>1016</v>
      </c>
      <c r="B20" s="47" t="n">
        <v>8</v>
      </c>
      <c r="C20" s="6" t="s">
        <v>1017</v>
      </c>
      <c r="D20" s="6" t="s">
        <v>1018</v>
      </c>
      <c r="E20" s="47" t="s">
        <v>1009</v>
      </c>
      <c r="F20" s="6" t="s">
        <v>1019</v>
      </c>
      <c r="G20" s="52" t="n">
        <v>46345</v>
      </c>
      <c r="H20" s="52" t="n">
        <v>46346</v>
      </c>
      <c r="I20" s="6" t="s">
        <v>942</v>
      </c>
      <c r="J20" s="47" t="str">
        <f aca="false">IF(SUMIF('Unit tests'!$E:$E,A20,'Unit tests'!$C:$C)=0,"",SUMIF('Unit tests'!$E:$E,A20,'Unit tests'!$C:$C))</f>
        <v/>
      </c>
      <c r="K20" s="6" t="s">
        <v>1020</v>
      </c>
    </row>
    <row r="21" customFormat="false" ht="23.85" hidden="false" customHeight="false" outlineLevel="0" collapsed="false">
      <c r="A21" s="5" t="s">
        <v>1021</v>
      </c>
      <c r="B21" s="47" t="n">
        <v>8</v>
      </c>
      <c r="C21" s="6" t="s">
        <v>1022</v>
      </c>
      <c r="D21" s="6"/>
      <c r="E21" s="47" t="s">
        <v>1023</v>
      </c>
      <c r="F21" s="6" t="s">
        <v>1024</v>
      </c>
      <c r="G21" s="52" t="n">
        <v>46356</v>
      </c>
      <c r="H21" s="52" t="n">
        <v>46497</v>
      </c>
      <c r="I21" s="6" t="s">
        <v>942</v>
      </c>
      <c r="J21" s="47" t="str">
        <f aca="false">IF(SUMIF('Unit tests'!$E:$E,A21,'Unit tests'!$C:$C)=0,"",SUMIF('Unit tests'!$E:$E,A21,'Unit tests'!$C:$C))</f>
        <v/>
      </c>
      <c r="K21" s="6" t="s">
        <v>911</v>
      </c>
    </row>
    <row r="22" customFormat="false" ht="23.85" hidden="false" customHeight="false" outlineLevel="0" collapsed="false">
      <c r="A22" s="5" t="s">
        <v>1025</v>
      </c>
      <c r="B22" s="47" t="n">
        <v>8</v>
      </c>
      <c r="C22" s="6" t="s">
        <v>1026</v>
      </c>
      <c r="D22" s="6" t="s">
        <v>1027</v>
      </c>
      <c r="E22" s="47" t="s">
        <v>1023</v>
      </c>
      <c r="F22" s="6" t="s">
        <v>1028</v>
      </c>
      <c r="G22" s="52" t="n">
        <v>46357</v>
      </c>
      <c r="H22" s="52" t="n">
        <v>46497</v>
      </c>
      <c r="I22" s="6" t="s">
        <v>942</v>
      </c>
      <c r="J22" s="47" t="str">
        <f aca="false">IF(SUMIF('Unit tests'!$E:$E,A22,'Unit tests'!$C:$C)=0,"",SUMIF('Unit tests'!$E:$E,A22,'Unit tests'!$C:$C))</f>
        <v/>
      </c>
      <c r="K22" s="6" t="s">
        <v>1029</v>
      </c>
    </row>
    <row r="23" customFormat="false" ht="23.85" hidden="false" customHeight="false" outlineLevel="0" collapsed="false">
      <c r="A23" s="5" t="s">
        <v>1030</v>
      </c>
      <c r="B23" s="47" t="n">
        <v>8</v>
      </c>
      <c r="C23" s="6" t="s">
        <v>1031</v>
      </c>
      <c r="D23" s="6"/>
      <c r="E23" s="47" t="s">
        <v>1009</v>
      </c>
      <c r="F23" s="6" t="s">
        <v>1032</v>
      </c>
      <c r="G23" s="52" t="n">
        <v>46358</v>
      </c>
      <c r="H23" s="52" t="n">
        <v>46358</v>
      </c>
      <c r="I23" s="6"/>
      <c r="J23" s="47" t="str">
        <f aca="false">IF(SUMIF('Unit tests'!$E:$E,A23,'Unit tests'!$C:$C)=0,"",SUMIF('Unit tests'!$E:$E,A23,'Unit tests'!$C:$C))</f>
        <v/>
      </c>
      <c r="K23" s="6" t="s">
        <v>758</v>
      </c>
    </row>
    <row r="24" customFormat="false" ht="23.85" hidden="false" customHeight="false" outlineLevel="0" collapsed="false">
      <c r="A24" s="5" t="s">
        <v>1033</v>
      </c>
      <c r="B24" s="47" t="n">
        <v>7</v>
      </c>
      <c r="C24" s="6" t="s">
        <v>1034</v>
      </c>
      <c r="D24" s="6" t="s">
        <v>1035</v>
      </c>
      <c r="E24" s="47" t="s">
        <v>1036</v>
      </c>
      <c r="F24" s="6" t="s">
        <v>1037</v>
      </c>
      <c r="G24" s="52" t="n">
        <v>46363</v>
      </c>
      <c r="H24" s="52" t="n">
        <v>46363</v>
      </c>
      <c r="I24" s="6"/>
      <c r="J24" s="47" t="str">
        <f aca="false">IF(SUMIF('Unit tests'!$E:$E,A24,'Unit tests'!$C:$C)=0,"",SUMIF('Unit tests'!$E:$E,A24,'Unit tests'!$C:$C))</f>
        <v/>
      </c>
      <c r="K24" s="6" t="s">
        <v>761</v>
      </c>
    </row>
    <row r="25" customFormat="false" ht="35.05" hidden="false" customHeight="false" outlineLevel="0" collapsed="false">
      <c r="A25" s="5" t="s">
        <v>1038</v>
      </c>
      <c r="B25" s="47" t="n">
        <v>7</v>
      </c>
      <c r="C25" s="6" t="s">
        <v>1039</v>
      </c>
      <c r="D25" s="6"/>
      <c r="E25" s="47" t="s">
        <v>1036</v>
      </c>
      <c r="F25" s="6" t="s">
        <v>1040</v>
      </c>
      <c r="G25" s="52" t="n">
        <v>46364</v>
      </c>
      <c r="H25" s="52" t="n">
        <v>46364</v>
      </c>
      <c r="I25" s="6"/>
      <c r="J25" s="47" t="str">
        <f aca="false">IF(SUMIF('Unit tests'!$E:$E,A25,'Unit tests'!$C:$C)=0,"",SUMIF('Unit tests'!$E:$E,A25,'Unit tests'!$C:$C))</f>
        <v/>
      </c>
      <c r="K25" s="6" t="s">
        <v>764</v>
      </c>
    </row>
    <row r="26" customFormat="false" ht="23.85" hidden="false" customHeight="false" outlineLevel="0" collapsed="false">
      <c r="A26" s="5" t="s">
        <v>1041</v>
      </c>
      <c r="B26" s="47" t="n">
        <v>7</v>
      </c>
      <c r="C26" s="6" t="s">
        <v>1042</v>
      </c>
      <c r="D26" s="6"/>
      <c r="E26" s="47" t="s">
        <v>1036</v>
      </c>
      <c r="F26" s="6" t="s">
        <v>1043</v>
      </c>
      <c r="G26" s="52" t="n">
        <v>46365</v>
      </c>
      <c r="H26" s="52" t="n">
        <v>46365</v>
      </c>
      <c r="I26" s="6"/>
      <c r="J26" s="47" t="str">
        <f aca="false">IF(SUMIF('Unit tests'!$E:$E,A26,'Unit tests'!$C:$C)=0,"",SUMIF('Unit tests'!$E:$E,A26,'Unit tests'!$C:$C))</f>
        <v/>
      </c>
      <c r="K26" s="6" t="s">
        <v>767</v>
      </c>
    </row>
    <row r="27" customFormat="false" ht="68.65" hidden="false" customHeight="false" outlineLevel="0" collapsed="false">
      <c r="A27" s="5" t="s">
        <v>1044</v>
      </c>
      <c r="B27" s="47" t="n">
        <v>8</v>
      </c>
      <c r="C27" s="6" t="s">
        <v>1045</v>
      </c>
      <c r="D27" s="6" t="s">
        <v>1046</v>
      </c>
      <c r="E27" s="47" t="s">
        <v>1047</v>
      </c>
      <c r="F27" s="6" t="s">
        <v>1048</v>
      </c>
      <c r="G27" s="52" t="n">
        <v>46365</v>
      </c>
      <c r="H27" s="52" t="n">
        <v>46449</v>
      </c>
      <c r="I27" s="6" t="s">
        <v>971</v>
      </c>
      <c r="J27" s="47" t="str">
        <f aca="false">IF(SUMIF('Unit tests'!$E:$E,A27,'Unit tests'!$C:$C)=0,"",SUMIF('Unit tests'!$E:$E,A27,'Unit tests'!$C:$C))</f>
        <v/>
      </c>
      <c r="K27" s="6" t="s">
        <v>1049</v>
      </c>
    </row>
    <row r="28" customFormat="false" ht="23.85" hidden="false" customHeight="false" outlineLevel="0" collapsed="false">
      <c r="A28" s="5" t="s">
        <v>1050</v>
      </c>
      <c r="B28" s="47" t="n">
        <v>7</v>
      </c>
      <c r="C28" s="6" t="s">
        <v>1051</v>
      </c>
      <c r="D28" s="6" t="s">
        <v>1052</v>
      </c>
      <c r="E28" s="47" t="s">
        <v>1036</v>
      </c>
      <c r="F28" s="6" t="s">
        <v>1053</v>
      </c>
      <c r="G28" s="52" t="n">
        <v>46366</v>
      </c>
      <c r="H28" s="52" t="n">
        <v>46366</v>
      </c>
      <c r="I28" s="6"/>
      <c r="J28" s="47" t="str">
        <f aca="false">IF(SUMIF('Unit tests'!$E:$E,A28,'Unit tests'!$C:$C)=0,"",SUMIF('Unit tests'!$E:$E,A28,'Unit tests'!$C:$C))</f>
        <v/>
      </c>
      <c r="K28" s="6" t="s">
        <v>770</v>
      </c>
    </row>
    <row r="29" customFormat="false" ht="35.05" hidden="false" customHeight="false" outlineLevel="0" collapsed="false">
      <c r="A29" s="5" t="s">
        <v>1054</v>
      </c>
      <c r="B29" s="47" t="n">
        <v>7</v>
      </c>
      <c r="C29" s="6" t="s">
        <v>1055</v>
      </c>
      <c r="D29" s="6" t="s">
        <v>1056</v>
      </c>
      <c r="E29" s="47" t="s">
        <v>1057</v>
      </c>
      <c r="F29" s="6" t="s">
        <v>1058</v>
      </c>
      <c r="G29" s="52" t="n">
        <v>46393</v>
      </c>
      <c r="H29" s="52" t="n">
        <v>46394</v>
      </c>
      <c r="I29" s="6"/>
      <c r="J29" s="47" t="str">
        <f aca="false">IF(SUMIF('Unit tests'!$E:$E,A29,'Unit tests'!$C:$C)=0,"",SUMIF('Unit tests'!$E:$E,A29,'Unit tests'!$C:$C))</f>
        <v/>
      </c>
      <c r="K29" s="6" t="s">
        <v>1059</v>
      </c>
    </row>
    <row r="30" customFormat="false" ht="23.85" hidden="false" customHeight="false" outlineLevel="0" collapsed="false">
      <c r="A30" s="5" t="s">
        <v>1060</v>
      </c>
      <c r="B30" s="47" t="n">
        <v>7</v>
      </c>
      <c r="C30" s="6" t="s">
        <v>1061</v>
      </c>
      <c r="D30" s="6" t="s">
        <v>1062</v>
      </c>
      <c r="E30" s="47" t="s">
        <v>1057</v>
      </c>
      <c r="F30" s="6" t="s">
        <v>1063</v>
      </c>
      <c r="G30" s="52" t="n">
        <v>46395</v>
      </c>
      <c r="H30" s="52" t="n">
        <v>46399</v>
      </c>
      <c r="I30" s="6"/>
      <c r="J30" s="47" t="str">
        <f aca="false">IF(SUMIF('Unit tests'!$E:$E,A30,'Unit tests'!$C:$C)=0,"",SUMIF('Unit tests'!$E:$E,A30,'Unit tests'!$C:$C))</f>
        <v/>
      </c>
      <c r="K30" s="6" t="s">
        <v>1064</v>
      </c>
    </row>
    <row r="31" customFormat="false" ht="23.85" hidden="false" customHeight="false" outlineLevel="0" collapsed="false">
      <c r="A31" s="5" t="s">
        <v>1065</v>
      </c>
      <c r="B31" s="47" t="n">
        <v>7</v>
      </c>
      <c r="C31" s="6" t="s">
        <v>1066</v>
      </c>
      <c r="D31" s="6" t="s">
        <v>1067</v>
      </c>
      <c r="E31" s="47" t="s">
        <v>1057</v>
      </c>
      <c r="F31" s="6" t="s">
        <v>1068</v>
      </c>
      <c r="G31" s="52" t="n">
        <v>46399</v>
      </c>
      <c r="H31" s="52" t="n">
        <v>46399</v>
      </c>
      <c r="I31" s="6"/>
      <c r="J31" s="47" t="str">
        <f aca="false">IF(SUMIF('Unit tests'!$E:$E,A31,'Unit tests'!$C:$C)=0,"",SUMIF('Unit tests'!$E:$E,A31,'Unit tests'!$C:$C))</f>
        <v/>
      </c>
      <c r="K31" s="6" t="s">
        <v>788</v>
      </c>
    </row>
    <row r="32" customFormat="false" ht="23.85" hidden="false" customHeight="false" outlineLevel="0" collapsed="false">
      <c r="A32" s="5" t="s">
        <v>1069</v>
      </c>
      <c r="B32" s="47" t="n">
        <v>7</v>
      </c>
      <c r="C32" s="6" t="s">
        <v>1070</v>
      </c>
      <c r="D32" s="6" t="s">
        <v>1071</v>
      </c>
      <c r="E32" s="47" t="s">
        <v>1072</v>
      </c>
      <c r="F32" s="6" t="s">
        <v>1073</v>
      </c>
      <c r="G32" s="52" t="n">
        <v>46400</v>
      </c>
      <c r="H32" s="52" t="n">
        <v>46400</v>
      </c>
      <c r="I32" s="6"/>
      <c r="J32" s="47" t="str">
        <f aca="false">IF(SUMIF('Unit tests'!$E:$E,A32,'Unit tests'!$C:$C)=0,"",SUMIF('Unit tests'!$E:$E,A32,'Unit tests'!$C:$C))</f>
        <v/>
      </c>
      <c r="K32" s="6" t="s">
        <v>791</v>
      </c>
    </row>
    <row r="33" customFormat="false" ht="15" hidden="false" customHeight="false" outlineLevel="0" collapsed="false">
      <c r="A33" s="5" t="s">
        <v>1074</v>
      </c>
      <c r="B33" s="47" t="n">
        <v>7</v>
      </c>
      <c r="C33" s="6" t="s">
        <v>1075</v>
      </c>
      <c r="D33" s="6" t="s">
        <v>1076</v>
      </c>
      <c r="E33" s="47" t="s">
        <v>1072</v>
      </c>
      <c r="F33" s="6" t="s">
        <v>1073</v>
      </c>
      <c r="G33" s="52" t="n">
        <v>46400</v>
      </c>
      <c r="H33" s="52" t="n">
        <v>46400</v>
      </c>
      <c r="I33" s="6"/>
      <c r="J33" s="47" t="str">
        <f aca="false">IF(SUMIF('Unit tests'!$E:$E,A33,'Unit tests'!$C:$C)=0,"",SUMIF('Unit tests'!$E:$E,A33,'Unit tests'!$C:$C))</f>
        <v/>
      </c>
      <c r="K33" s="6" t="s">
        <v>791</v>
      </c>
    </row>
    <row r="34" customFormat="false" ht="46.25" hidden="false" customHeight="false" outlineLevel="0" collapsed="false">
      <c r="A34" s="5" t="s">
        <v>1077</v>
      </c>
      <c r="B34" s="47" t="n">
        <v>7</v>
      </c>
      <c r="C34" s="6" t="s">
        <v>1078</v>
      </c>
      <c r="D34" s="6" t="s">
        <v>1079</v>
      </c>
      <c r="E34" s="47" t="s">
        <v>1072</v>
      </c>
      <c r="F34" s="6" t="s">
        <v>1080</v>
      </c>
      <c r="G34" s="52" t="n">
        <v>46402</v>
      </c>
      <c r="H34" s="52" t="n">
        <v>46402</v>
      </c>
      <c r="I34" s="6"/>
      <c r="J34" s="47" t="str">
        <f aca="false">IF(SUMIF('Unit tests'!$E:$E,A34,'Unit tests'!$C:$C)=0,"",SUMIF('Unit tests'!$E:$E,A34,'Unit tests'!$C:$C))</f>
        <v/>
      </c>
      <c r="K34" s="6" t="s">
        <v>794</v>
      </c>
    </row>
    <row r="35" customFormat="false" ht="68.65" hidden="false" customHeight="false" outlineLevel="0" collapsed="false">
      <c r="A35" s="5" t="s">
        <v>1081</v>
      </c>
      <c r="B35" s="47" t="n">
        <v>8</v>
      </c>
      <c r="C35" s="6" t="s">
        <v>1082</v>
      </c>
      <c r="D35" s="6" t="s">
        <v>1083</v>
      </c>
      <c r="E35" s="47" t="s">
        <v>1084</v>
      </c>
      <c r="F35" s="6" t="s">
        <v>1085</v>
      </c>
      <c r="G35" s="52" t="n">
        <v>46413</v>
      </c>
      <c r="H35" s="52" t="n">
        <v>46414</v>
      </c>
      <c r="I35" s="6" t="s">
        <v>971</v>
      </c>
      <c r="J35" s="47" t="str">
        <f aca="false">IF(SUMIF('Unit tests'!$E:$E,A35,'Unit tests'!$C:$C)=0,"",SUMIF('Unit tests'!$E:$E,A35,'Unit tests'!$C:$C))</f>
        <v/>
      </c>
      <c r="K35" s="6" t="s">
        <v>1086</v>
      </c>
    </row>
    <row r="36" customFormat="false" ht="57.45" hidden="false" customHeight="false" outlineLevel="0" collapsed="false">
      <c r="A36" s="5" t="s">
        <v>1087</v>
      </c>
      <c r="B36" s="47" t="n">
        <v>8</v>
      </c>
      <c r="C36" s="6" t="s">
        <v>1088</v>
      </c>
      <c r="D36" s="6" t="s">
        <v>1089</v>
      </c>
      <c r="E36" s="47" t="s">
        <v>1090</v>
      </c>
      <c r="F36" s="6" t="s">
        <v>1091</v>
      </c>
      <c r="G36" s="52" t="n">
        <v>46414</v>
      </c>
      <c r="H36" s="52" t="n">
        <v>46463</v>
      </c>
      <c r="I36" s="6" t="s">
        <v>971</v>
      </c>
      <c r="J36" s="47" t="str">
        <f aca="false">IF(SUMIF('Unit tests'!$E:$E,A36,'Unit tests'!$C:$C)=0,"",SUMIF('Unit tests'!$E:$E,A36,'Unit tests'!$C:$C))</f>
        <v/>
      </c>
      <c r="K36" s="6" t="s">
        <v>1092</v>
      </c>
    </row>
    <row r="37" customFormat="false" ht="35.05" hidden="false" customHeight="false" outlineLevel="0" collapsed="false">
      <c r="A37" s="5" t="s">
        <v>1093</v>
      </c>
      <c r="B37" s="47" t="n">
        <v>8</v>
      </c>
      <c r="C37" s="6" t="s">
        <v>1094</v>
      </c>
      <c r="D37" s="6" t="s">
        <v>1095</v>
      </c>
      <c r="E37" s="47" t="s">
        <v>1084</v>
      </c>
      <c r="F37" s="6" t="s">
        <v>1096</v>
      </c>
      <c r="G37" s="52" t="n">
        <v>46415</v>
      </c>
      <c r="H37" s="52" t="n">
        <v>46416</v>
      </c>
      <c r="I37" s="6" t="s">
        <v>971</v>
      </c>
      <c r="J37" s="47" t="str">
        <f aca="false">IF(SUMIF('Unit tests'!$E:$E,A37,'Unit tests'!$C:$C)=0,"",SUMIF('Unit tests'!$E:$E,A37,'Unit tests'!$C:$C))</f>
        <v/>
      </c>
      <c r="K37" s="6" t="s">
        <v>1097</v>
      </c>
    </row>
    <row r="38" customFormat="false" ht="46.25" hidden="false" customHeight="false" outlineLevel="0" collapsed="false">
      <c r="A38" s="5" t="s">
        <v>1098</v>
      </c>
      <c r="B38" s="47" t="n">
        <v>8</v>
      </c>
      <c r="C38" s="6" t="s">
        <v>1099</v>
      </c>
      <c r="D38" s="6" t="s">
        <v>1100</v>
      </c>
      <c r="E38" s="47" t="s">
        <v>1084</v>
      </c>
      <c r="F38" s="6" t="s">
        <v>1101</v>
      </c>
      <c r="G38" s="52" t="n">
        <v>46420</v>
      </c>
      <c r="H38" s="52" t="n">
        <v>46421</v>
      </c>
      <c r="I38" s="6" t="s">
        <v>971</v>
      </c>
      <c r="J38" s="47" t="str">
        <f aca="false">IF(SUMIF('Unit tests'!$E:$E,A38,'Unit tests'!$C:$C)=0,"",SUMIF('Unit tests'!$E:$E,A38,'Unit tests'!$C:$C))</f>
        <v/>
      </c>
      <c r="K38" s="6" t="s">
        <v>1102</v>
      </c>
    </row>
    <row r="39" customFormat="false" ht="35.05" hidden="false" customHeight="false" outlineLevel="0" collapsed="false">
      <c r="A39" s="5" t="s">
        <v>1103</v>
      </c>
      <c r="B39" s="47" t="n">
        <v>8</v>
      </c>
      <c r="C39" s="6" t="s">
        <v>1104</v>
      </c>
      <c r="D39" s="6" t="s">
        <v>1105</v>
      </c>
      <c r="E39" s="47" t="s">
        <v>1106</v>
      </c>
      <c r="F39" s="6" t="s">
        <v>1107</v>
      </c>
      <c r="G39" s="52" t="n">
        <v>46426</v>
      </c>
      <c r="H39" s="52" t="n">
        <v>46429</v>
      </c>
      <c r="I39" s="6" t="s">
        <v>942</v>
      </c>
      <c r="J39" s="47" t="str">
        <f aca="false">IF(SUMIF('Unit tests'!$E:$E,A39,'Unit tests'!$C:$C)=0,"",SUMIF('Unit tests'!$E:$E,A39,'Unit tests'!$C:$C))</f>
        <v/>
      </c>
      <c r="K39" s="6" t="s">
        <v>1108</v>
      </c>
    </row>
    <row r="40" customFormat="false" ht="35.05" hidden="false" customHeight="false" outlineLevel="0" collapsed="false">
      <c r="A40" s="5" t="s">
        <v>1109</v>
      </c>
      <c r="B40" s="47" t="n">
        <v>8</v>
      </c>
      <c r="C40" s="6" t="s">
        <v>1110</v>
      </c>
      <c r="D40" s="6" t="s">
        <v>1111</v>
      </c>
      <c r="E40" s="47" t="s">
        <v>1106</v>
      </c>
      <c r="F40" s="6" t="s">
        <v>1112</v>
      </c>
      <c r="G40" s="52" t="n">
        <v>46430</v>
      </c>
      <c r="H40" s="52" t="n">
        <v>46430</v>
      </c>
      <c r="I40" s="6"/>
      <c r="J40" s="47" t="str">
        <f aca="false">IF(SUMIF('Unit tests'!$E:$E,A40,'Unit tests'!$C:$C)=0,"",SUMIF('Unit tests'!$E:$E,A40,'Unit tests'!$C:$C))</f>
        <v/>
      </c>
      <c r="K40" s="6" t="s">
        <v>833</v>
      </c>
    </row>
    <row r="41" customFormat="false" ht="35.05" hidden="false" customHeight="false" outlineLevel="0" collapsed="false">
      <c r="A41" s="5" t="s">
        <v>1113</v>
      </c>
      <c r="B41" s="47" t="n">
        <v>8</v>
      </c>
      <c r="C41" s="6" t="s">
        <v>1114</v>
      </c>
      <c r="D41" s="6"/>
      <c r="E41" s="47" t="s">
        <v>1106</v>
      </c>
      <c r="F41" s="6" t="s">
        <v>1112</v>
      </c>
      <c r="G41" s="52" t="n">
        <v>46430</v>
      </c>
      <c r="H41" s="52" t="n">
        <v>46430</v>
      </c>
      <c r="I41" s="6"/>
      <c r="J41" s="47" t="str">
        <f aca="false">IF(SUMIF('Unit tests'!$E:$E,A41,'Unit tests'!$C:$C)=0,"",SUMIF('Unit tests'!$E:$E,A41,'Unit tests'!$C:$C))</f>
        <v/>
      </c>
      <c r="K41" s="6" t="s">
        <v>833</v>
      </c>
    </row>
    <row r="42" customFormat="false" ht="68.65" hidden="false" customHeight="false" outlineLevel="0" collapsed="false">
      <c r="A42" s="5" t="s">
        <v>1115</v>
      </c>
      <c r="B42" s="47" t="n">
        <v>8</v>
      </c>
      <c r="C42" s="6" t="s">
        <v>1116</v>
      </c>
      <c r="D42" s="6" t="s">
        <v>1117</v>
      </c>
      <c r="E42" s="47" t="s">
        <v>1106</v>
      </c>
      <c r="F42" s="6" t="s">
        <v>1118</v>
      </c>
      <c r="G42" s="52" t="n">
        <v>46434</v>
      </c>
      <c r="H42" s="52" t="n">
        <v>46435</v>
      </c>
      <c r="I42" s="6"/>
      <c r="J42" s="47" t="str">
        <f aca="false">IF(SUMIF('Unit tests'!$E:$E,A42,'Unit tests'!$C:$C)=0,"",SUMIF('Unit tests'!$E:$E,A42,'Unit tests'!$C:$C))</f>
        <v/>
      </c>
      <c r="K42" s="6" t="s">
        <v>1119</v>
      </c>
    </row>
    <row r="43" customFormat="false" ht="113.4" hidden="false" customHeight="false" outlineLevel="0" collapsed="false">
      <c r="A43" s="5" t="s">
        <v>1120</v>
      </c>
      <c r="B43" s="47" t="n">
        <v>8</v>
      </c>
      <c r="C43" s="6" t="s">
        <v>1121</v>
      </c>
      <c r="D43" s="6" t="s">
        <v>1122</v>
      </c>
      <c r="E43" s="47" t="s">
        <v>1123</v>
      </c>
      <c r="F43" s="6" t="s">
        <v>1124</v>
      </c>
      <c r="G43" s="52" t="n">
        <v>46441</v>
      </c>
      <c r="H43" s="52" t="n">
        <v>46442</v>
      </c>
      <c r="I43" s="6"/>
      <c r="J43" s="47" t="str">
        <f aca="false">IF(SUMIF('Unit tests'!$E:$E,A43,'Unit tests'!$C:$C)=0,"",SUMIF('Unit tests'!$E:$E,A43,'Unit tests'!$C:$C))</f>
        <v/>
      </c>
      <c r="K43" s="6" t="s">
        <v>1125</v>
      </c>
    </row>
    <row r="44" customFormat="false" ht="57.45" hidden="false" customHeight="false" outlineLevel="0" collapsed="false">
      <c r="A44" s="5" t="s">
        <v>1126</v>
      </c>
      <c r="B44" s="47" t="n">
        <v>8</v>
      </c>
      <c r="C44" s="6" t="s">
        <v>1127</v>
      </c>
      <c r="D44" s="6" t="s">
        <v>1128</v>
      </c>
      <c r="E44" s="47" t="s">
        <v>1123</v>
      </c>
      <c r="F44" s="6" t="s">
        <v>1129</v>
      </c>
      <c r="G44" s="52" t="n">
        <v>46443</v>
      </c>
      <c r="H44" s="52" t="n">
        <v>46444</v>
      </c>
      <c r="I44" s="6"/>
      <c r="J44" s="47" t="str">
        <f aca="false">IF(SUMIF('Unit tests'!$E:$E,A44,'Unit tests'!$C:$C)=0,"",SUMIF('Unit tests'!$E:$E,A44,'Unit tests'!$C:$C))</f>
        <v/>
      </c>
      <c r="K44" s="6" t="s">
        <v>848</v>
      </c>
    </row>
    <row r="45" customFormat="false" ht="35.05" hidden="false" customHeight="false" outlineLevel="0" collapsed="false">
      <c r="A45" s="5" t="s">
        <v>1130</v>
      </c>
      <c r="B45" s="47" t="n">
        <v>8</v>
      </c>
      <c r="C45" s="6" t="s">
        <v>1131</v>
      </c>
      <c r="D45" s="6" t="s">
        <v>1132</v>
      </c>
      <c r="E45" s="47" t="s">
        <v>1123</v>
      </c>
      <c r="F45" s="6" t="s">
        <v>1133</v>
      </c>
      <c r="G45" s="52" t="n">
        <v>46448</v>
      </c>
      <c r="H45" s="52" t="n">
        <v>46449</v>
      </c>
      <c r="I45" s="6"/>
      <c r="J45" s="47" t="str">
        <f aca="false">IF(SUMIF('Unit tests'!$E:$E,A45,'Unit tests'!$C:$C)=0,"",SUMIF('Unit tests'!$E:$E,A45,'Unit tests'!$C:$C))</f>
        <v/>
      </c>
      <c r="K45" s="6" t="s">
        <v>1134</v>
      </c>
    </row>
    <row r="46" customFormat="false" ht="23.85" hidden="false" customHeight="false" outlineLevel="0" collapsed="false">
      <c r="A46" s="5" t="s">
        <v>1135</v>
      </c>
      <c r="B46" s="47" t="n">
        <v>7</v>
      </c>
      <c r="C46" s="6" t="s">
        <v>1136</v>
      </c>
      <c r="D46" s="6" t="s">
        <v>1137</v>
      </c>
      <c r="E46" s="47" t="s">
        <v>1138</v>
      </c>
      <c r="F46" s="6" t="s">
        <v>1139</v>
      </c>
      <c r="G46" s="52" t="n">
        <v>46457</v>
      </c>
      <c r="H46" s="52" t="n">
        <v>46457</v>
      </c>
      <c r="I46" s="6"/>
      <c r="J46" s="47" t="str">
        <f aca="false">IF(SUMIF('Unit tests'!$E:$E,A46,'Unit tests'!$C:$C)=0,"",SUMIF('Unit tests'!$E:$E,A46,'Unit tests'!$C:$C))</f>
        <v/>
      </c>
      <c r="K46" s="6" t="s">
        <v>857</v>
      </c>
    </row>
    <row r="47" customFormat="false" ht="35.05" hidden="false" customHeight="false" outlineLevel="0" collapsed="false">
      <c r="A47" s="5" t="s">
        <v>1140</v>
      </c>
      <c r="B47" s="47" t="n">
        <v>8</v>
      </c>
      <c r="C47" s="6" t="s">
        <v>1141</v>
      </c>
      <c r="D47" s="6" t="s">
        <v>1142</v>
      </c>
      <c r="E47" s="47" t="s">
        <v>1138</v>
      </c>
      <c r="F47" s="6" t="s">
        <v>1143</v>
      </c>
      <c r="G47" s="52" t="n">
        <v>46458</v>
      </c>
      <c r="H47" s="52" t="n">
        <v>46461</v>
      </c>
      <c r="I47" s="6"/>
      <c r="J47" s="47" t="str">
        <f aca="false">IF(SUMIF('Unit tests'!$E:$E,A47,'Unit tests'!$C:$C)=0,"",SUMIF('Unit tests'!$E:$E,A47,'Unit tests'!$C:$C))</f>
        <v/>
      </c>
      <c r="K47" s="6" t="s">
        <v>1144</v>
      </c>
    </row>
    <row r="48" customFormat="false" ht="79.85" hidden="false" customHeight="false" outlineLevel="0" collapsed="false">
      <c r="A48" s="5" t="s">
        <v>1145</v>
      </c>
      <c r="B48" s="47" t="n">
        <v>8</v>
      </c>
      <c r="C48" s="6" t="s">
        <v>1146</v>
      </c>
      <c r="D48" s="6" t="s">
        <v>1147</v>
      </c>
      <c r="E48" s="47" t="s">
        <v>1138</v>
      </c>
      <c r="F48" s="6" t="s">
        <v>1148</v>
      </c>
      <c r="G48" s="52" t="n">
        <v>46461</v>
      </c>
      <c r="H48" s="52" t="n">
        <v>46462</v>
      </c>
      <c r="I48" s="6"/>
      <c r="J48" s="47" t="str">
        <f aca="false">IF(SUMIF('Unit tests'!$E:$E,A48,'Unit tests'!$C:$C)=0,"",SUMIF('Unit tests'!$E:$E,A48,'Unit tests'!$C:$C))</f>
        <v/>
      </c>
      <c r="K48" s="6" t="s">
        <v>1149</v>
      </c>
    </row>
    <row r="49" customFormat="false" ht="46.25" hidden="false" customHeight="false" outlineLevel="0" collapsed="false">
      <c r="A49" s="5" t="s">
        <v>1150</v>
      </c>
      <c r="B49" s="47" t="n">
        <v>8</v>
      </c>
      <c r="C49" s="6" t="s">
        <v>1151</v>
      </c>
      <c r="D49" s="6" t="s">
        <v>1152</v>
      </c>
      <c r="E49" s="47" t="s">
        <v>1138</v>
      </c>
      <c r="F49" s="6" t="s">
        <v>1153</v>
      </c>
      <c r="G49" s="52" t="n">
        <v>46462</v>
      </c>
      <c r="H49" s="52" t="n">
        <v>46463</v>
      </c>
      <c r="I49" s="6"/>
      <c r="J49" s="47" t="str">
        <f aca="false">IF(SUMIF('Unit tests'!$E:$E,A49,'Unit tests'!$C:$C)=0,"",SUMIF('Unit tests'!$E:$E,A49,'Unit tests'!$C:$C))</f>
        <v/>
      </c>
      <c r="K49" s="6" t="s">
        <v>1154</v>
      </c>
    </row>
    <row r="50" customFormat="false" ht="91" hidden="false" customHeight="false" outlineLevel="0" collapsed="false">
      <c r="A50" s="5" t="s">
        <v>1155</v>
      </c>
      <c r="B50" s="47" t="n">
        <v>8</v>
      </c>
      <c r="C50" s="6" t="s">
        <v>1156</v>
      </c>
      <c r="D50" s="6" t="s">
        <v>1157</v>
      </c>
      <c r="E50" s="47" t="s">
        <v>1158</v>
      </c>
      <c r="F50" s="6" t="s">
        <v>1159</v>
      </c>
      <c r="G50" s="52" t="n">
        <v>46464</v>
      </c>
      <c r="H50" s="52" t="n">
        <v>46503</v>
      </c>
      <c r="I50" s="6"/>
      <c r="J50" s="47" t="str">
        <f aca="false">IF(SUMIF('Unit tests'!$E:$E,A50,'Unit tests'!$C:$C)=0,"",SUMIF('Unit tests'!$E:$E,A50,'Unit tests'!$C:$C))</f>
        <v/>
      </c>
      <c r="K50" s="6" t="s">
        <v>917</v>
      </c>
    </row>
    <row r="51" customFormat="false" ht="46.25" hidden="false" customHeight="false" outlineLevel="0" collapsed="false">
      <c r="A51" s="5" t="s">
        <v>1160</v>
      </c>
      <c r="B51" s="47" t="n">
        <v>8</v>
      </c>
      <c r="C51" s="6" t="s">
        <v>1161</v>
      </c>
      <c r="D51" s="6" t="s">
        <v>1162</v>
      </c>
      <c r="E51" s="47" t="s">
        <v>1158</v>
      </c>
      <c r="F51" s="6" t="s">
        <v>1163</v>
      </c>
      <c r="G51" s="52" t="n">
        <v>46465</v>
      </c>
      <c r="H51" s="52" t="n">
        <v>46503</v>
      </c>
      <c r="I51" s="6"/>
      <c r="J51" s="47" t="str">
        <f aca="false">IF(SUMIF('Unit tests'!$E:$E,A51,'Unit tests'!$C:$C)=0,"",SUMIF('Unit tests'!$E:$E,A51,'Unit tests'!$C:$C))</f>
        <v/>
      </c>
      <c r="K51" s="6" t="s">
        <v>1164</v>
      </c>
    </row>
    <row r="52" customFormat="false" ht="23.85" hidden="false" customHeight="false" outlineLevel="0" collapsed="false">
      <c r="A52" s="5" t="s">
        <v>1165</v>
      </c>
      <c r="B52" s="47" t="n">
        <v>8</v>
      </c>
      <c r="C52" s="6" t="s">
        <v>1166</v>
      </c>
      <c r="D52" s="6" t="s">
        <v>1167</v>
      </c>
      <c r="E52" s="47" t="s">
        <v>1168</v>
      </c>
      <c r="F52" s="6" t="s">
        <v>1169</v>
      </c>
      <c r="G52" s="52" t="n">
        <v>46478</v>
      </c>
      <c r="H52" s="52" t="n">
        <v>46478</v>
      </c>
      <c r="I52" s="6"/>
      <c r="J52" s="47" t="str">
        <f aca="false">IF(SUMIF('Unit tests'!$E:$E,A52,'Unit tests'!$C:$C)=0,"",SUMIF('Unit tests'!$E:$E,A52,'Unit tests'!$C:$C))</f>
        <v/>
      </c>
      <c r="K52" s="6" t="s">
        <v>881</v>
      </c>
    </row>
    <row r="53" customFormat="false" ht="35.05" hidden="false" customHeight="false" outlineLevel="0" collapsed="false">
      <c r="A53" s="5" t="s">
        <v>1170</v>
      </c>
      <c r="B53" s="47" t="n">
        <v>8</v>
      </c>
      <c r="C53" s="6" t="s">
        <v>1171</v>
      </c>
      <c r="D53" s="6"/>
      <c r="E53" s="47" t="s">
        <v>1168</v>
      </c>
      <c r="F53" s="6" t="s">
        <v>1172</v>
      </c>
      <c r="G53" s="52" t="n">
        <v>46479</v>
      </c>
      <c r="H53" s="52" t="n">
        <v>46479</v>
      </c>
      <c r="I53" s="6"/>
      <c r="J53" s="47" t="str">
        <f aca="false">IF(SUMIF('Unit tests'!$E:$E,A53,'Unit tests'!$C:$C)=0,"",SUMIF('Unit tests'!$E:$E,A53,'Unit tests'!$C:$C))</f>
        <v/>
      </c>
      <c r="K53" s="6" t="s">
        <v>884</v>
      </c>
    </row>
    <row r="54" customFormat="false" ht="68.65" hidden="false" customHeight="false" outlineLevel="0" collapsed="false">
      <c r="A54" s="5" t="s">
        <v>1173</v>
      </c>
      <c r="B54" s="47" t="n">
        <v>8</v>
      </c>
      <c r="C54" s="6" t="s">
        <v>1174</v>
      </c>
      <c r="D54" s="6" t="s">
        <v>1175</v>
      </c>
      <c r="E54" s="47" t="s">
        <v>1176</v>
      </c>
      <c r="F54" s="6" t="s">
        <v>1177</v>
      </c>
      <c r="G54" s="52" t="n">
        <v>46484</v>
      </c>
      <c r="H54" s="52" t="n">
        <v>46491</v>
      </c>
      <c r="I54" s="6"/>
      <c r="J54" s="47" t="str">
        <f aca="false">IF(SUMIF('Unit tests'!$E:$E,A54,'Unit tests'!$C:$C)=0,"",SUMIF('Unit tests'!$E:$E,A54,'Unit tests'!$C:$C))</f>
        <v/>
      </c>
      <c r="K54" s="6" t="s">
        <v>1178</v>
      </c>
    </row>
    <row r="55" customFormat="false" ht="91" hidden="false" customHeight="false" outlineLevel="0" collapsed="false">
      <c r="A55" s="5" t="s">
        <v>1179</v>
      </c>
      <c r="B55" s="47" t="n">
        <v>8</v>
      </c>
      <c r="C55" s="6" t="s">
        <v>1180</v>
      </c>
      <c r="D55" s="6" t="s">
        <v>1181</v>
      </c>
      <c r="E55" s="47" t="s">
        <v>1176</v>
      </c>
      <c r="F55" s="6" t="s">
        <v>1182</v>
      </c>
      <c r="G55" s="52" t="n">
        <v>46486</v>
      </c>
      <c r="H55" s="52" t="n">
        <v>46496</v>
      </c>
      <c r="I55" s="6"/>
      <c r="J55" s="47" t="str">
        <f aca="false">IF(SUMIF('Unit tests'!$E:$E,A55,'Unit tests'!$C:$C)=0,"",SUMIF('Unit tests'!$E:$E,A55,'Unit tests'!$C:$C))</f>
        <v/>
      </c>
      <c r="K55" s="6" t="s">
        <v>1183</v>
      </c>
    </row>
    <row r="56" customFormat="false" ht="57.45" hidden="false" customHeight="false" outlineLevel="0" collapsed="false">
      <c r="A56" s="5" t="s">
        <v>1184</v>
      </c>
      <c r="B56" s="47" t="n">
        <v>8</v>
      </c>
      <c r="C56" s="6" t="s">
        <v>1185</v>
      </c>
      <c r="D56" s="6" t="s">
        <v>1186</v>
      </c>
      <c r="E56" s="47" t="s">
        <v>1176</v>
      </c>
      <c r="F56" s="6" t="s">
        <v>1187</v>
      </c>
      <c r="G56" s="52" t="n">
        <v>46492</v>
      </c>
      <c r="H56" s="52" t="n">
        <v>46492</v>
      </c>
      <c r="I56" s="6"/>
      <c r="J56" s="47" t="str">
        <f aca="false">IF(SUMIF('Unit tests'!$E:$E,A56,'Unit tests'!$C:$C)=0,"",SUMIF('Unit tests'!$E:$E,A56,'Unit tests'!$C:$C))</f>
        <v/>
      </c>
      <c r="K56" s="6" t="s">
        <v>905</v>
      </c>
    </row>
    <row r="57" customFormat="false" ht="35.05" hidden="false" customHeight="false" outlineLevel="0" collapsed="false">
      <c r="A57" s="5" t="s">
        <v>1188</v>
      </c>
      <c r="B57" s="47" t="n">
        <v>8</v>
      </c>
      <c r="C57" s="6" t="s">
        <v>1189</v>
      </c>
      <c r="D57" s="6" t="s">
        <v>1190</v>
      </c>
      <c r="E57" s="47" t="s">
        <v>1191</v>
      </c>
      <c r="F57" s="6" t="s">
        <v>1192</v>
      </c>
      <c r="G57" s="52" t="n">
        <v>46498</v>
      </c>
      <c r="H57" s="52" t="n">
        <v>46498</v>
      </c>
      <c r="I57" s="6" t="s">
        <v>942</v>
      </c>
      <c r="J57" s="47" t="str">
        <f aca="false">IF(SUMIF('Unit tests'!$E:$E,A57,'Unit tests'!$C:$C)=0,"",SUMIF('Unit tests'!$E:$E,A57,'Unit tests'!$C:$C))</f>
        <v/>
      </c>
      <c r="K57" s="6" t="s">
        <v>914</v>
      </c>
    </row>
    <row r="58" customFormat="false" ht="68.65" hidden="false" customHeight="false" outlineLevel="0" collapsed="false">
      <c r="A58" s="5" t="s">
        <v>1193</v>
      </c>
      <c r="B58" s="47" t="n">
        <v>8</v>
      </c>
      <c r="C58" s="6" t="s">
        <v>1194</v>
      </c>
      <c r="D58" s="6" t="s">
        <v>1195</v>
      </c>
      <c r="E58" s="47" t="s">
        <v>1196</v>
      </c>
      <c r="F58" s="6" t="s">
        <v>1197</v>
      </c>
      <c r="G58" s="52" t="n">
        <v>46504</v>
      </c>
      <c r="H58" s="52" t="n">
        <v>46504</v>
      </c>
      <c r="I58" s="6"/>
      <c r="J58" s="47" t="str">
        <f aca="false">IF(SUMIF('Unit tests'!$E:$E,A58,'Unit tests'!$C:$C)=0,"",SUMIF('Unit tests'!$E:$E,A58,'Unit tests'!$C:$C))</f>
        <v/>
      </c>
      <c r="K58" s="6" t="s">
        <v>920</v>
      </c>
    </row>
    <row r="59" customFormat="false" ht="23.85" hidden="false" customHeight="false" outlineLevel="0" collapsed="false">
      <c r="A59" s="5" t="s">
        <v>1198</v>
      </c>
      <c r="B59" s="47" t="s">
        <v>1199</v>
      </c>
      <c r="C59" s="6" t="s">
        <v>1200</v>
      </c>
      <c r="D59" s="6"/>
      <c r="E59" s="47" t="s">
        <v>1201</v>
      </c>
      <c r="F59" s="6"/>
      <c r="G59" s="52"/>
      <c r="H59" s="52"/>
      <c r="I59" s="6" t="s">
        <v>1202</v>
      </c>
      <c r="J59" s="47" t="str">
        <f aca="false">IF(SUMIF('Unit tests'!$E:$E,A59,'Unit tests'!$C:$C)=0,"",SUMIF('Unit tests'!$E:$E,A59,'Unit tests'!$C:$C))</f>
        <v/>
      </c>
      <c r="K59" s="6"/>
    </row>
    <row r="60" customFormat="false" ht="23.85" hidden="false" customHeight="false" outlineLevel="0" collapsed="false">
      <c r="A60" s="5" t="s">
        <v>1203</v>
      </c>
      <c r="B60" s="47" t="s">
        <v>1199</v>
      </c>
      <c r="C60" s="6" t="s">
        <v>1200</v>
      </c>
      <c r="D60" s="6"/>
      <c r="E60" s="47" t="s">
        <v>1201</v>
      </c>
      <c r="F60" s="6"/>
      <c r="G60" s="52"/>
      <c r="H60" s="52"/>
      <c r="I60" s="6" t="s">
        <v>1202</v>
      </c>
      <c r="J60" s="47" t="str">
        <f aca="false">IF(SUMIF('Unit tests'!$E:$E,A60,'Unit tests'!$C:$C)=0,"",SUMIF('Unit tests'!$E:$E,A60,'Unit tests'!$C:$C))</f>
        <v/>
      </c>
      <c r="K60" s="6"/>
    </row>
    <row r="61" customFormat="false" ht="23.85" hidden="false" customHeight="false" outlineLevel="0" collapsed="false">
      <c r="A61" s="5" t="s">
        <v>1204</v>
      </c>
      <c r="B61" s="47" t="s">
        <v>1199</v>
      </c>
      <c r="C61" s="6" t="s">
        <v>1200</v>
      </c>
      <c r="D61" s="6"/>
      <c r="E61" s="47" t="s">
        <v>1201</v>
      </c>
      <c r="F61" s="6"/>
      <c r="G61" s="52"/>
      <c r="H61" s="52"/>
      <c r="I61" s="6" t="s">
        <v>1202</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1205</v>
      </c>
    </row>
    <row r="3" customFormat="false" ht="30" hidden="false" customHeight="true" outlineLevel="0" collapsed="false">
      <c r="A3" s="9" t="s">
        <v>30</v>
      </c>
      <c r="B3" s="9" t="s">
        <v>1206</v>
      </c>
      <c r="C3" s="9" t="s">
        <v>1207</v>
      </c>
      <c r="D3" s="9" t="s">
        <v>1208</v>
      </c>
      <c r="E3" s="9" t="s">
        <v>1209</v>
      </c>
      <c r="F3" s="9" t="s">
        <v>1210</v>
      </c>
      <c r="G3" s="9" t="s">
        <v>1211</v>
      </c>
      <c r="H3" s="9" t="s">
        <v>1212</v>
      </c>
      <c r="I3" s="9" t="s">
        <v>1213</v>
      </c>
    </row>
    <row r="4" customFormat="false" ht="15" hidden="false" customHeight="false" outlineLevel="0" collapsed="false">
      <c r="A4" s="5" t="s">
        <v>1214</v>
      </c>
      <c r="B4" s="53" t="s">
        <v>1215</v>
      </c>
      <c r="C4" s="7"/>
      <c r="D4" s="47"/>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1216</v>
      </c>
      <c r="B5" s="53" t="s">
        <v>1215</v>
      </c>
      <c r="C5" s="7"/>
      <c r="D5" s="47"/>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1217</v>
      </c>
      <c r="B6" s="48" t="n">
        <v>46310</v>
      </c>
      <c r="C6" s="48" t="n">
        <v>46311</v>
      </c>
      <c r="D6" s="47" t="n">
        <f aca="false">C46</f>
        <v>41</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1218</v>
      </c>
      <c r="B7" s="48" t="n">
        <v>46324</v>
      </c>
      <c r="C7" s="48" t="n">
        <v>46325</v>
      </c>
      <c r="D7" s="47" t="n">
        <f aca="false">C70</f>
        <v>34</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1219</v>
      </c>
      <c r="B8" s="48" t="n">
        <v>46338</v>
      </c>
      <c r="C8" s="48" t="n">
        <v>46339</v>
      </c>
      <c r="D8" s="47"/>
      <c r="E8" s="53" t="s">
        <v>227</v>
      </c>
      <c r="F8" s="53"/>
      <c r="G8" s="53"/>
      <c r="H8" s="53"/>
      <c r="I8" s="53"/>
    </row>
    <row r="9" customFormat="false" ht="15" hidden="false" customHeight="false" outlineLevel="0" collapsed="false">
      <c r="A9" s="5" t="s">
        <v>1220</v>
      </c>
      <c r="B9" s="48" t="n">
        <v>46359</v>
      </c>
      <c r="C9" s="48" t="n">
        <v>46360</v>
      </c>
      <c r="D9" s="47"/>
      <c r="E9" s="53" t="s">
        <v>227</v>
      </c>
      <c r="F9" s="53"/>
      <c r="G9" s="53"/>
      <c r="H9" s="53"/>
      <c r="I9" s="53"/>
    </row>
    <row r="10" customFormat="false" ht="15" hidden="false" customHeight="false" outlineLevel="0" collapsed="false">
      <c r="A10" s="5" t="s">
        <v>1221</v>
      </c>
      <c r="B10" s="48" t="n">
        <v>46370</v>
      </c>
      <c r="C10" s="48" t="n">
        <v>46371</v>
      </c>
      <c r="D10" s="47"/>
      <c r="E10" s="53" t="s">
        <v>227</v>
      </c>
      <c r="F10" s="53"/>
      <c r="G10" s="53"/>
      <c r="H10" s="53"/>
      <c r="I10" s="53"/>
    </row>
    <row r="11" customFormat="false" ht="15" hidden="false" customHeight="false" outlineLevel="0" collapsed="false">
      <c r="A11" s="5" t="s">
        <v>1222</v>
      </c>
      <c r="B11" s="48" t="n">
        <v>46408</v>
      </c>
      <c r="C11" s="48" t="n">
        <v>46409</v>
      </c>
      <c r="D11" s="47"/>
      <c r="E11" s="53" t="s">
        <v>227</v>
      </c>
      <c r="F11" s="53"/>
      <c r="G11" s="53"/>
      <c r="H11" s="53"/>
      <c r="I11" s="53"/>
    </row>
    <row r="12" customFormat="false" ht="15" hidden="false" customHeight="false" outlineLevel="0" collapsed="false">
      <c r="A12" s="5" t="s">
        <v>1223</v>
      </c>
      <c r="B12" s="48" t="n">
        <v>46422</v>
      </c>
      <c r="C12" s="48" t="n">
        <v>46423</v>
      </c>
      <c r="D12" s="47"/>
      <c r="E12" s="53" t="s">
        <v>227</v>
      </c>
      <c r="F12" s="53"/>
      <c r="G12" s="53"/>
      <c r="H12" s="53"/>
      <c r="I12" s="53"/>
    </row>
    <row r="13" customFormat="false" ht="15" hidden="false" customHeight="false" outlineLevel="0" collapsed="false">
      <c r="A13" s="5" t="s">
        <v>1224</v>
      </c>
      <c r="B13" s="48" t="n">
        <v>46436</v>
      </c>
      <c r="C13" s="48" t="n">
        <v>46437</v>
      </c>
      <c r="D13" s="47"/>
      <c r="E13" s="53" t="s">
        <v>227</v>
      </c>
      <c r="F13" s="53"/>
      <c r="G13" s="53"/>
      <c r="H13" s="53"/>
      <c r="I13" s="53"/>
    </row>
    <row r="14" customFormat="false" ht="15" hidden="false" customHeight="false" outlineLevel="0" collapsed="false">
      <c r="A14" s="5" t="s">
        <v>1225</v>
      </c>
      <c r="B14" s="48" t="n">
        <v>46454</v>
      </c>
      <c r="C14" s="48" t="n">
        <v>46455</v>
      </c>
      <c r="D14" s="47"/>
      <c r="E14" s="53" t="s">
        <v>227</v>
      </c>
      <c r="F14" s="53"/>
      <c r="G14" s="53"/>
      <c r="H14" s="53"/>
      <c r="I14" s="53"/>
    </row>
    <row r="15" customFormat="false" ht="15" hidden="false" customHeight="false" outlineLevel="0" collapsed="false">
      <c r="A15" s="5" t="s">
        <v>1226</v>
      </c>
      <c r="B15" s="48" t="n">
        <v>46475</v>
      </c>
      <c r="C15" s="48" t="n">
        <v>46476</v>
      </c>
      <c r="D15" s="47"/>
      <c r="E15" s="53" t="s">
        <v>227</v>
      </c>
      <c r="F15" s="53"/>
      <c r="G15" s="53"/>
      <c r="H15" s="53"/>
      <c r="I15" s="53"/>
    </row>
    <row r="16" customFormat="false" ht="15" hidden="false" customHeight="false" outlineLevel="0" collapsed="false">
      <c r="A16" s="5" t="s">
        <v>1227</v>
      </c>
      <c r="B16" s="48" t="n">
        <v>46482</v>
      </c>
      <c r="C16" s="48" t="n">
        <v>46483</v>
      </c>
      <c r="D16" s="47"/>
      <c r="E16" s="53" t="s">
        <v>227</v>
      </c>
      <c r="F16" s="53"/>
      <c r="G16" s="53"/>
      <c r="H16" s="53"/>
      <c r="I16" s="53"/>
    </row>
    <row r="17" customFormat="false" ht="15" hidden="false" customHeight="false" outlineLevel="0" collapsed="false">
      <c r="A17" s="5" t="s">
        <v>1228</v>
      </c>
      <c r="B17" s="48" t="n">
        <v>46499</v>
      </c>
      <c r="C17" s="48" t="n">
        <v>46500</v>
      </c>
      <c r="D17" s="47"/>
      <c r="E17" s="53" t="s">
        <v>227</v>
      </c>
      <c r="F17" s="53"/>
      <c r="G17" s="53"/>
      <c r="H17" s="53"/>
      <c r="I17" s="53"/>
    </row>
    <row r="18" customFormat="false" ht="15" hidden="false" customHeight="false" outlineLevel="0" collapsed="false">
      <c r="A18" s="5" t="s">
        <v>1229</v>
      </c>
      <c r="B18" s="48" t="n">
        <v>46506</v>
      </c>
      <c r="C18" s="48" t="n">
        <v>46507</v>
      </c>
      <c r="D18" s="47"/>
      <c r="E18" s="53" t="s">
        <v>227</v>
      </c>
      <c r="F18" s="53"/>
      <c r="G18" s="53"/>
      <c r="H18" s="53"/>
      <c r="I18" s="53"/>
    </row>
    <row r="19" customFormat="false" ht="15" hidden="false" customHeight="false" outlineLevel="0" collapsed="false">
      <c r="A19" s="5" t="s">
        <v>1230</v>
      </c>
      <c r="B19" s="48" t="n">
        <v>46372</v>
      </c>
      <c r="C19" s="48" t="n">
        <v>46374</v>
      </c>
      <c r="D19" s="7"/>
      <c r="E19" s="53" t="s">
        <v>1231</v>
      </c>
      <c r="F19" s="53"/>
      <c r="G19" s="53"/>
      <c r="H19" s="53"/>
      <c r="I19" s="53"/>
    </row>
    <row r="20" customFormat="false" ht="15" hidden="false" customHeight="false" outlineLevel="0" collapsed="false">
      <c r="A20" s="5" t="s">
        <v>658</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1208</v>
      </c>
      <c r="D24" s="9" t="s">
        <v>1237</v>
      </c>
      <c r="E24" s="9" t="s">
        <v>6</v>
      </c>
      <c r="F24" s="9" t="s">
        <v>1238</v>
      </c>
      <c r="G24" s="9" t="s">
        <v>1239</v>
      </c>
      <c r="I24" s="54" t="s">
        <v>6</v>
      </c>
      <c r="J24" s="54" t="s">
        <v>1208</v>
      </c>
      <c r="K24" s="54" t="s">
        <v>1240</v>
      </c>
    </row>
    <row r="25" customFormat="false" ht="15" hidden="false" customHeight="false" outlineLevel="0" collapsed="false">
      <c r="A25" s="47" t="n">
        <v>1</v>
      </c>
      <c r="B25" s="47" t="s">
        <v>1241</v>
      </c>
      <c r="C25" s="47" t="n">
        <v>4</v>
      </c>
      <c r="D25" s="7" t="s">
        <v>1242</v>
      </c>
      <c r="E25" s="7" t="s">
        <v>955</v>
      </c>
      <c r="F25" s="7" t="s">
        <v>1236</v>
      </c>
      <c r="G25" s="47"/>
      <c r="I25" s="7" t="s">
        <v>955</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955</v>
      </c>
      <c r="F26" s="7" t="s">
        <v>1236</v>
      </c>
      <c r="G26" s="47"/>
      <c r="I26" s="7" t="s">
        <v>961</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955</v>
      </c>
      <c r="F27" s="7" t="s">
        <v>1244</v>
      </c>
      <c r="G27" s="47"/>
      <c r="I27" s="7" t="s">
        <v>966</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955</v>
      </c>
      <c r="F28" s="7" t="s">
        <v>1245</v>
      </c>
      <c r="G28" s="47"/>
      <c r="I28" s="7" t="s">
        <v>972</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961</v>
      </c>
      <c r="F29" s="7" t="s">
        <v>1236</v>
      </c>
      <c r="G29" s="47"/>
    </row>
    <row r="30" customFormat="false" ht="15" hidden="false" customHeight="false" outlineLevel="0" collapsed="false">
      <c r="A30" s="47" t="n">
        <v>6</v>
      </c>
      <c r="B30" s="47" t="s">
        <v>1241</v>
      </c>
      <c r="C30" s="47" t="n">
        <v>4</v>
      </c>
      <c r="D30" s="7" t="s">
        <v>1246</v>
      </c>
      <c r="E30" s="7" t="s">
        <v>961</v>
      </c>
      <c r="F30" s="7" t="s">
        <v>1236</v>
      </c>
      <c r="G30" s="47"/>
    </row>
    <row r="31" customFormat="false" ht="15" hidden="false" customHeight="false" outlineLevel="0" collapsed="false">
      <c r="A31" s="47" t="n">
        <v>7</v>
      </c>
      <c r="B31" s="47"/>
      <c r="C31" s="47" t="n">
        <v>1</v>
      </c>
      <c r="D31" s="7" t="s">
        <v>1246</v>
      </c>
      <c r="E31" s="7" t="s">
        <v>961</v>
      </c>
      <c r="F31" s="7" t="s">
        <v>1244</v>
      </c>
      <c r="G31" s="47"/>
    </row>
    <row r="32" customFormat="false" ht="15" hidden="false" customHeight="false" outlineLevel="0" collapsed="false">
      <c r="A32" s="47" t="n">
        <v>8</v>
      </c>
      <c r="B32" s="47"/>
      <c r="C32" s="47" t="n">
        <v>1</v>
      </c>
      <c r="D32" s="7" t="s">
        <v>1246</v>
      </c>
      <c r="E32" s="7" t="s">
        <v>961</v>
      </c>
      <c r="F32" s="7" t="s">
        <v>1244</v>
      </c>
      <c r="G32" s="47"/>
    </row>
    <row r="33" customFormat="false" ht="15" hidden="false" customHeight="false" outlineLevel="0" collapsed="false">
      <c r="A33" s="47" t="n">
        <v>9</v>
      </c>
      <c r="B33" s="47"/>
      <c r="C33" s="47" t="n">
        <v>1</v>
      </c>
      <c r="D33" s="7" t="s">
        <v>1246</v>
      </c>
      <c r="E33" s="7" t="s">
        <v>961</v>
      </c>
      <c r="F33" s="7" t="s">
        <v>1245</v>
      </c>
      <c r="G33" s="47"/>
    </row>
    <row r="34" customFormat="false" ht="15" hidden="false" customHeight="false" outlineLevel="0" collapsed="false">
      <c r="A34" s="47" t="n">
        <v>10</v>
      </c>
      <c r="B34" s="47"/>
      <c r="C34" s="47" t="n">
        <v>1</v>
      </c>
      <c r="D34" s="7" t="s">
        <v>1246</v>
      </c>
      <c r="E34" s="7" t="s">
        <v>961</v>
      </c>
      <c r="F34" s="7" t="s">
        <v>1245</v>
      </c>
      <c r="G34" s="47" t="s">
        <v>1247</v>
      </c>
    </row>
    <row r="35" customFormat="false" ht="15" hidden="false" customHeight="false" outlineLevel="0" collapsed="false">
      <c r="A35" s="47" t="n">
        <v>11</v>
      </c>
      <c r="B35" s="47" t="s">
        <v>1241</v>
      </c>
      <c r="C35" s="47" t="n">
        <v>4</v>
      </c>
      <c r="D35" s="7" t="s">
        <v>1248</v>
      </c>
      <c r="E35" s="7" t="s">
        <v>966</v>
      </c>
      <c r="F35" s="7" t="s">
        <v>1236</v>
      </c>
      <c r="G35" s="47"/>
    </row>
    <row r="36" customFormat="false" ht="15" hidden="false" customHeight="false" outlineLevel="0" collapsed="false">
      <c r="A36" s="47" t="n">
        <v>12</v>
      </c>
      <c r="B36" s="47" t="s">
        <v>1243</v>
      </c>
      <c r="C36" s="47" t="n">
        <v>3</v>
      </c>
      <c r="D36" s="7" t="s">
        <v>1248</v>
      </c>
      <c r="E36" s="7" t="s">
        <v>966</v>
      </c>
      <c r="F36" s="7" t="s">
        <v>1236</v>
      </c>
      <c r="G36" s="47"/>
    </row>
    <row r="37" customFormat="false" ht="15" hidden="false" customHeight="false" outlineLevel="0" collapsed="false">
      <c r="A37" s="47" t="n">
        <v>13</v>
      </c>
      <c r="B37" s="47"/>
      <c r="C37" s="47" t="n">
        <v>1</v>
      </c>
      <c r="D37" s="7" t="s">
        <v>1248</v>
      </c>
      <c r="E37" s="7" t="s">
        <v>966</v>
      </c>
      <c r="F37" s="7" t="s">
        <v>1244</v>
      </c>
      <c r="G37" s="47"/>
    </row>
    <row r="38" customFormat="false" ht="15" hidden="false" customHeight="false" outlineLevel="0" collapsed="false">
      <c r="A38" s="47" t="n">
        <v>14</v>
      </c>
      <c r="B38" s="47"/>
      <c r="C38" s="47" t="n">
        <v>1</v>
      </c>
      <c r="D38" s="7" t="s">
        <v>1248</v>
      </c>
      <c r="E38" s="7" t="s">
        <v>966</v>
      </c>
      <c r="F38" s="7" t="s">
        <v>1245</v>
      </c>
      <c r="G38" s="47"/>
    </row>
    <row r="39" customFormat="false" ht="15" hidden="false" customHeight="false" outlineLevel="0" collapsed="false">
      <c r="A39" s="47" t="n">
        <v>15</v>
      </c>
      <c r="B39" s="47" t="s">
        <v>1241</v>
      </c>
      <c r="C39" s="47" t="n">
        <v>4</v>
      </c>
      <c r="D39" s="7" t="s">
        <v>1249</v>
      </c>
      <c r="E39" s="7" t="s">
        <v>972</v>
      </c>
      <c r="F39" s="7" t="s">
        <v>1236</v>
      </c>
      <c r="G39" s="47"/>
    </row>
    <row r="40" customFormat="false" ht="15" hidden="false" customHeight="false" outlineLevel="0" collapsed="false">
      <c r="A40" s="47" t="n">
        <v>16</v>
      </c>
      <c r="B40" s="47" t="s">
        <v>1250</v>
      </c>
      <c r="C40" s="47" t="n">
        <v>2</v>
      </c>
      <c r="D40" s="7" t="s">
        <v>1249</v>
      </c>
      <c r="E40" s="7" t="s">
        <v>972</v>
      </c>
      <c r="F40" s="7" t="s">
        <v>1236</v>
      </c>
      <c r="G40" s="47"/>
    </row>
    <row r="41" customFormat="false" ht="15" hidden="false" customHeight="false" outlineLevel="0" collapsed="false">
      <c r="A41" s="47" t="n">
        <v>17</v>
      </c>
      <c r="B41" s="47"/>
      <c r="C41" s="47" t="n">
        <v>1</v>
      </c>
      <c r="D41" s="7" t="s">
        <v>1249</v>
      </c>
      <c r="E41" s="7" t="s">
        <v>972</v>
      </c>
      <c r="F41" s="7" t="s">
        <v>1244</v>
      </c>
      <c r="G41" s="47"/>
    </row>
    <row r="42" customFormat="false" ht="15" hidden="false" customHeight="false" outlineLevel="0" collapsed="false">
      <c r="A42" s="47" t="n">
        <v>18</v>
      </c>
      <c r="B42" s="47" t="s">
        <v>1250</v>
      </c>
      <c r="C42" s="47" t="n">
        <v>2</v>
      </c>
      <c r="D42" s="7" t="s">
        <v>1249</v>
      </c>
      <c r="E42" s="7" t="s">
        <v>972</v>
      </c>
      <c r="F42" s="7" t="s">
        <v>1236</v>
      </c>
      <c r="G42" s="47"/>
    </row>
    <row r="43" customFormat="false" ht="15" hidden="false" customHeight="false" outlineLevel="0" collapsed="false">
      <c r="A43" s="47" t="n">
        <v>19</v>
      </c>
      <c r="B43" s="47"/>
      <c r="C43" s="47" t="n">
        <v>1</v>
      </c>
      <c r="D43" s="7" t="s">
        <v>1249</v>
      </c>
      <c r="E43" s="7" t="s">
        <v>972</v>
      </c>
      <c r="F43" s="7" t="s">
        <v>1245</v>
      </c>
      <c r="G43" s="47"/>
    </row>
    <row r="44" customFormat="false" ht="15" hidden="false" customHeight="false" outlineLevel="0" collapsed="false">
      <c r="A44" s="47" t="n">
        <v>20</v>
      </c>
      <c r="B44" s="47"/>
      <c r="C44" s="47" t="n">
        <v>1</v>
      </c>
      <c r="D44" s="7" t="s">
        <v>1249</v>
      </c>
      <c r="E44" s="7" t="s">
        <v>972</v>
      </c>
      <c r="F44" s="7" t="s">
        <v>1245</v>
      </c>
      <c r="G44" s="47"/>
    </row>
    <row r="45" customFormat="false" ht="15" hidden="false" customHeight="false" outlineLevel="0" collapsed="false">
      <c r="A45" s="47" t="n">
        <v>21</v>
      </c>
      <c r="B45" s="47"/>
      <c r="C45" s="47" t="n">
        <v>1</v>
      </c>
      <c r="D45" s="7" t="s">
        <v>1249</v>
      </c>
      <c r="E45" s="7" t="s">
        <v>972</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1208</v>
      </c>
      <c r="D51" s="9" t="s">
        <v>1237</v>
      </c>
      <c r="E51" s="9" t="s">
        <v>6</v>
      </c>
      <c r="F51" s="9" t="s">
        <v>1238</v>
      </c>
      <c r="G51" s="9" t="s">
        <v>1239</v>
      </c>
      <c r="I51" s="54" t="s">
        <v>6</v>
      </c>
      <c r="J51" s="54" t="s">
        <v>1208</v>
      </c>
      <c r="K51" s="54" t="s">
        <v>1240</v>
      </c>
    </row>
    <row r="52" customFormat="false" ht="15" hidden="false" customHeight="false" outlineLevel="0" collapsed="false">
      <c r="A52" s="47" t="n">
        <v>1</v>
      </c>
      <c r="B52" s="47" t="s">
        <v>1241</v>
      </c>
      <c r="C52" s="47" t="n">
        <v>4</v>
      </c>
      <c r="D52" s="7" t="s">
        <v>1253</v>
      </c>
      <c r="E52" s="7" t="s">
        <v>976</v>
      </c>
      <c r="F52" s="7" t="s">
        <v>1236</v>
      </c>
      <c r="G52" s="47"/>
      <c r="I52" s="7" t="s">
        <v>976</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976</v>
      </c>
      <c r="F53" s="7" t="s">
        <v>1236</v>
      </c>
      <c r="G53" s="47"/>
      <c r="I53" s="7" t="s">
        <v>982</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976</v>
      </c>
      <c r="F54" s="7" t="s">
        <v>1244</v>
      </c>
      <c r="G54" s="47"/>
      <c r="I54" s="7" t="s">
        <v>986</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976</v>
      </c>
      <c r="F55" s="7" t="s">
        <v>1244</v>
      </c>
      <c r="G55" s="47"/>
    </row>
    <row r="56" customFormat="false" ht="15" hidden="false" customHeight="false" outlineLevel="0" collapsed="false">
      <c r="A56" s="47" t="n">
        <v>5</v>
      </c>
      <c r="B56" s="47"/>
      <c r="C56" s="47" t="n">
        <v>1</v>
      </c>
      <c r="D56" s="7" t="s">
        <v>1253</v>
      </c>
      <c r="E56" s="7" t="s">
        <v>976</v>
      </c>
      <c r="F56" s="7" t="s">
        <v>1245</v>
      </c>
      <c r="G56" s="47"/>
    </row>
    <row r="57" customFormat="false" ht="15" hidden="false" customHeight="false" outlineLevel="0" collapsed="false">
      <c r="A57" s="47" t="n">
        <v>6</v>
      </c>
      <c r="B57" s="47"/>
      <c r="C57" s="47" t="n">
        <v>1</v>
      </c>
      <c r="D57" s="7" t="s">
        <v>1253</v>
      </c>
      <c r="E57" s="7" t="s">
        <v>976</v>
      </c>
      <c r="F57" s="7" t="s">
        <v>1245</v>
      </c>
      <c r="G57" s="47" t="s">
        <v>1247</v>
      </c>
    </row>
    <row r="58" customFormat="false" ht="15" hidden="false" customHeight="false" outlineLevel="0" collapsed="false">
      <c r="A58" s="47" t="n">
        <v>7</v>
      </c>
      <c r="B58" s="47" t="s">
        <v>1243</v>
      </c>
      <c r="C58" s="47" t="n">
        <v>3</v>
      </c>
      <c r="D58" s="7" t="s">
        <v>1254</v>
      </c>
      <c r="E58" s="7" t="s">
        <v>982</v>
      </c>
      <c r="F58" s="7" t="s">
        <v>1236</v>
      </c>
      <c r="G58" s="47"/>
    </row>
    <row r="59" customFormat="false" ht="15" hidden="false" customHeight="false" outlineLevel="0" collapsed="false">
      <c r="A59" s="47" t="n">
        <v>8</v>
      </c>
      <c r="B59" s="47" t="s">
        <v>1250</v>
      </c>
      <c r="C59" s="47" t="n">
        <v>2</v>
      </c>
      <c r="D59" s="7" t="s">
        <v>1254</v>
      </c>
      <c r="E59" s="7" t="s">
        <v>982</v>
      </c>
      <c r="F59" s="7" t="s">
        <v>1236</v>
      </c>
      <c r="G59" s="47"/>
    </row>
    <row r="60" customFormat="false" ht="15" hidden="false" customHeight="false" outlineLevel="0" collapsed="false">
      <c r="A60" s="47" t="n">
        <v>9</v>
      </c>
      <c r="B60" s="47" t="s">
        <v>1250</v>
      </c>
      <c r="C60" s="47" t="n">
        <v>2</v>
      </c>
      <c r="D60" s="7" t="s">
        <v>1254</v>
      </c>
      <c r="E60" s="7" t="s">
        <v>982</v>
      </c>
      <c r="F60" s="7" t="s">
        <v>1236</v>
      </c>
      <c r="G60" s="47"/>
    </row>
    <row r="61" customFormat="false" ht="15" hidden="false" customHeight="false" outlineLevel="0" collapsed="false">
      <c r="A61" s="47" t="n">
        <v>10</v>
      </c>
      <c r="B61" s="47"/>
      <c r="C61" s="47" t="n">
        <v>1</v>
      </c>
      <c r="D61" s="7" t="s">
        <v>1254</v>
      </c>
      <c r="E61" s="7" t="s">
        <v>982</v>
      </c>
      <c r="F61" s="7" t="s">
        <v>1245</v>
      </c>
      <c r="G61" s="47"/>
    </row>
    <row r="62" customFormat="false" ht="15" hidden="false" customHeight="false" outlineLevel="0" collapsed="false">
      <c r="A62" s="47" t="n">
        <v>11</v>
      </c>
      <c r="B62" s="47"/>
      <c r="C62" s="47" t="n">
        <v>1</v>
      </c>
      <c r="D62" s="7" t="s">
        <v>1254</v>
      </c>
      <c r="E62" s="7" t="s">
        <v>982</v>
      </c>
      <c r="F62" s="7" t="s">
        <v>1244</v>
      </c>
      <c r="G62" s="47"/>
    </row>
    <row r="63" customFormat="false" ht="15" hidden="false" customHeight="false" outlineLevel="0" collapsed="false">
      <c r="A63" s="47" t="n">
        <v>12</v>
      </c>
      <c r="B63" s="47" t="s">
        <v>1241</v>
      </c>
      <c r="C63" s="47" t="n">
        <v>4</v>
      </c>
      <c r="D63" s="7" t="s">
        <v>1255</v>
      </c>
      <c r="E63" s="7" t="s">
        <v>986</v>
      </c>
      <c r="F63" s="7" t="s">
        <v>1236</v>
      </c>
      <c r="G63" s="47"/>
    </row>
    <row r="64" customFormat="false" ht="15" hidden="false" customHeight="false" outlineLevel="0" collapsed="false">
      <c r="A64" s="47" t="n">
        <v>13</v>
      </c>
      <c r="B64" s="47" t="s">
        <v>1243</v>
      </c>
      <c r="C64" s="47" t="n">
        <v>3</v>
      </c>
      <c r="D64" s="7" t="s">
        <v>1255</v>
      </c>
      <c r="E64" s="7" t="s">
        <v>986</v>
      </c>
      <c r="F64" s="7" t="s">
        <v>1236</v>
      </c>
      <c r="G64" s="47"/>
    </row>
    <row r="65" customFormat="false" ht="15" hidden="false" customHeight="false" outlineLevel="0" collapsed="false">
      <c r="A65" s="47" t="n">
        <v>14</v>
      </c>
      <c r="B65" s="47" t="s">
        <v>1250</v>
      </c>
      <c r="C65" s="47" t="n">
        <v>2</v>
      </c>
      <c r="D65" s="7" t="s">
        <v>1255</v>
      </c>
      <c r="E65" s="7" t="s">
        <v>986</v>
      </c>
      <c r="F65" s="7" t="s">
        <v>1236</v>
      </c>
      <c r="G65" s="47"/>
    </row>
    <row r="66" customFormat="false" ht="15" hidden="false" customHeight="false" outlineLevel="0" collapsed="false">
      <c r="A66" s="47" t="n">
        <v>15</v>
      </c>
      <c r="B66" s="47"/>
      <c r="C66" s="47" t="n">
        <v>1</v>
      </c>
      <c r="D66" s="7" t="s">
        <v>1255</v>
      </c>
      <c r="E66" s="7" t="s">
        <v>986</v>
      </c>
      <c r="F66" s="7" t="s">
        <v>1244</v>
      </c>
      <c r="G66" s="47"/>
    </row>
    <row r="67" customFormat="false" ht="15" hidden="false" customHeight="false" outlineLevel="0" collapsed="false">
      <c r="A67" s="47" t="n">
        <v>16</v>
      </c>
      <c r="B67" s="47"/>
      <c r="C67" s="47" t="n">
        <v>1</v>
      </c>
      <c r="D67" s="7" t="s">
        <v>1255</v>
      </c>
      <c r="E67" s="7" t="s">
        <v>986</v>
      </c>
      <c r="F67" s="7" t="s">
        <v>1244</v>
      </c>
      <c r="G67" s="47"/>
    </row>
    <row r="68" customFormat="false" ht="15" hidden="false" customHeight="false" outlineLevel="0" collapsed="false">
      <c r="A68" s="47" t="n">
        <v>17</v>
      </c>
      <c r="B68" s="47"/>
      <c r="C68" s="47" t="n">
        <v>1</v>
      </c>
      <c r="D68" s="7" t="s">
        <v>1255</v>
      </c>
      <c r="E68" s="7" t="s">
        <v>986</v>
      </c>
      <c r="F68" s="7" t="s">
        <v>1245</v>
      </c>
      <c r="G68" s="47"/>
    </row>
    <row r="69" customFormat="false" ht="15" hidden="false" customHeight="false" outlineLevel="0" collapsed="false">
      <c r="A69" s="47" t="n">
        <v>18</v>
      </c>
      <c r="B69" s="47"/>
      <c r="C69" s="47" t="n">
        <v>1</v>
      </c>
      <c r="D69" s="7" t="s">
        <v>1255</v>
      </c>
      <c r="E69" s="7" t="s">
        <v>986</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2" t="s">
        <v>1271</v>
      </c>
      <c r="E8" s="62" t="s">
        <v>1272</v>
      </c>
    </row>
    <row r="9" customFormat="false" ht="66" hidden="false" customHeight="true" outlineLevel="0" collapsed="false">
      <c r="A9" s="60" t="s">
        <v>1273</v>
      </c>
      <c r="B9" s="60" t="s">
        <v>1274</v>
      </c>
      <c r="C9" s="60" t="s">
        <v>1275</v>
      </c>
      <c r="D9" s="62" t="s">
        <v>1276</v>
      </c>
      <c r="E9" s="60" t="s">
        <v>1277</v>
      </c>
    </row>
    <row r="10" customFormat="false" ht="66" hidden="false" customHeight="true" outlineLevel="0" collapsed="false">
      <c r="A10" s="63" t="s">
        <v>1278</v>
      </c>
      <c r="B10" s="62" t="s">
        <v>1279</v>
      </c>
      <c r="C10" s="62" t="s">
        <v>1280</v>
      </c>
      <c r="D10" s="64" t="s">
        <v>1281</v>
      </c>
      <c r="E10" s="64" t="s">
        <v>1282</v>
      </c>
    </row>
    <row r="11" customFormat="false" ht="66" hidden="false" customHeight="true" outlineLevel="0" collapsed="false">
      <c r="A11" s="65" t="s">
        <v>1283</v>
      </c>
      <c r="B11" s="65" t="s">
        <v>1284</v>
      </c>
      <c r="C11" s="65" t="s">
        <v>1285</v>
      </c>
      <c r="D11" s="65" t="s">
        <v>1286</v>
      </c>
      <c r="E11" s="65" t="s">
        <v>1287</v>
      </c>
    </row>
    <row r="12" customFormat="false" ht="66" hidden="false" customHeight="true" outlineLevel="0" collapsed="false">
      <c r="A12" s="65" t="s">
        <v>1288</v>
      </c>
      <c r="B12" s="62" t="s">
        <v>1289</v>
      </c>
      <c r="C12" s="62" t="s">
        <v>1290</v>
      </c>
      <c r="D12" s="64" t="s">
        <v>1291</v>
      </c>
      <c r="E12" s="64"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0" t="s">
        <v>1296</v>
      </c>
      <c r="D17" s="60" t="s">
        <v>1297</v>
      </c>
      <c r="E17" s="60" t="s">
        <v>1298</v>
      </c>
    </row>
    <row r="18" customFormat="false" ht="66" hidden="false" customHeight="true" outlineLevel="0" collapsed="false">
      <c r="A18" s="60" t="s">
        <v>1299</v>
      </c>
      <c r="B18" s="62" t="s">
        <v>1300</v>
      </c>
      <c r="C18" s="63" t="s">
        <v>1301</v>
      </c>
      <c r="D18" s="64" t="s">
        <v>1302</v>
      </c>
      <c r="E18" s="64" t="s">
        <v>1303</v>
      </c>
    </row>
    <row r="19" customFormat="false" ht="66" hidden="false" customHeight="true" outlineLevel="0" collapsed="false">
      <c r="A19" s="65" t="s">
        <v>1304</v>
      </c>
      <c r="B19" s="65" t="s">
        <v>1305</v>
      </c>
      <c r="C19" s="65" t="s">
        <v>1306</v>
      </c>
      <c r="D19" s="65" t="s">
        <v>1307</v>
      </c>
      <c r="E19" s="65" t="s">
        <v>1308</v>
      </c>
    </row>
    <row r="20" customFormat="false" ht="66" hidden="false" customHeight="true" outlineLevel="0" collapsed="false">
      <c r="A20" s="63" t="s">
        <v>1309</v>
      </c>
      <c r="B20" s="63" t="s">
        <v>1310</v>
      </c>
      <c r="C20" s="63" t="s">
        <v>1311</v>
      </c>
      <c r="D20" s="63" t="s">
        <v>1312</v>
      </c>
      <c r="E20" s="63" t="s">
        <v>1313</v>
      </c>
    </row>
    <row r="21" customFormat="false" ht="66" hidden="false" customHeight="true" outlineLevel="0" collapsed="false">
      <c r="A21" s="65"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5" t="s">
        <v>1316</v>
      </c>
      <c r="C25" s="65" t="s">
        <v>1317</v>
      </c>
      <c r="D25" s="64" t="s">
        <v>1318</v>
      </c>
      <c r="E25" s="64" t="s">
        <v>1319</v>
      </c>
    </row>
    <row r="26" customFormat="false" ht="66" hidden="false" customHeight="true" outlineLevel="0" collapsed="false">
      <c r="A26" s="60" t="s">
        <v>1320</v>
      </c>
      <c r="B26" s="60" t="s">
        <v>1321</v>
      </c>
      <c r="C26" s="60" t="s">
        <v>1322</v>
      </c>
      <c r="D26" s="60" t="s">
        <v>1323</v>
      </c>
      <c r="E26" s="60" t="s">
        <v>1324</v>
      </c>
    </row>
    <row r="27" customFormat="false" ht="66" hidden="false" customHeight="true" outlineLevel="0" collapsed="false">
      <c r="A27" s="64" t="s">
        <v>1325</v>
      </c>
      <c r="B27" s="64" t="s">
        <v>1326</v>
      </c>
      <c r="C27" s="62" t="s">
        <v>1327</v>
      </c>
      <c r="D27" s="62" t="s">
        <v>1328</v>
      </c>
      <c r="E27" s="62" t="s">
        <v>1329</v>
      </c>
    </row>
    <row r="28" customFormat="false" ht="66" hidden="false" customHeight="true" outlineLevel="0" collapsed="false">
      <c r="A28" s="63" t="s">
        <v>1330</v>
      </c>
      <c r="B28" s="63" t="s">
        <v>1331</v>
      </c>
      <c r="C28" s="63" t="s">
        <v>1309</v>
      </c>
      <c r="D28" s="63" t="s">
        <v>1310</v>
      </c>
      <c r="E28" s="63" t="s">
        <v>1311</v>
      </c>
    </row>
    <row r="29" customFormat="false" ht="66" hidden="false" customHeight="true" outlineLevel="0" collapsed="false">
      <c r="A29" s="63" t="s">
        <v>1332</v>
      </c>
      <c r="B29" s="63" t="s">
        <v>1333</v>
      </c>
      <c r="C29" s="63" t="s">
        <v>1334</v>
      </c>
      <c r="D29" s="63"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3" t="s">
        <v>1337</v>
      </c>
    </row>
    <row r="34" customFormat="false" ht="66" hidden="false" customHeight="true" outlineLevel="0" collapsed="false">
      <c r="A34" s="63" t="s">
        <v>1338</v>
      </c>
      <c r="B34" s="63" t="s">
        <v>1339</v>
      </c>
      <c r="C34" s="65" t="s">
        <v>1340</v>
      </c>
      <c r="D34" s="65" t="s">
        <v>1341</v>
      </c>
      <c r="E34" s="65" t="s">
        <v>1342</v>
      </c>
    </row>
    <row r="35" customFormat="false" ht="66" hidden="false" customHeight="true" outlineLevel="0" collapsed="false">
      <c r="A35" s="65" t="s">
        <v>1343</v>
      </c>
      <c r="B35" s="65" t="s">
        <v>1344</v>
      </c>
      <c r="C35" s="60" t="s">
        <v>1345</v>
      </c>
      <c r="D35" s="62" t="s">
        <v>1346</v>
      </c>
      <c r="E35" s="60" t="s">
        <v>1347</v>
      </c>
    </row>
    <row r="36" customFormat="false" ht="66" hidden="false" customHeight="true" outlineLevel="0" collapsed="false">
      <c r="A36" s="63" t="s">
        <v>1348</v>
      </c>
      <c r="B36" s="62" t="s">
        <v>1349</v>
      </c>
      <c r="C36" s="62" t="s">
        <v>1350</v>
      </c>
      <c r="D36" s="64" t="s">
        <v>1351</v>
      </c>
      <c r="E36" s="64"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5" t="s">
        <v>1359</v>
      </c>
      <c r="B41" s="65" t="s">
        <v>1360</v>
      </c>
      <c r="C41" s="65" t="s">
        <v>1361</v>
      </c>
      <c r="D41" s="64" t="s">
        <v>1362</v>
      </c>
      <c r="E41" s="64"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3" t="s">
        <v>1369</v>
      </c>
      <c r="B43" s="60" t="s">
        <v>1370</v>
      </c>
      <c r="C43" s="60" t="s">
        <v>1371</v>
      </c>
      <c r="D43" s="64" t="s">
        <v>1372</v>
      </c>
      <c r="E43" s="64"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2" t="s">
        <v>1380</v>
      </c>
      <c r="B48" s="65" t="s">
        <v>1381</v>
      </c>
      <c r="C48" s="65" t="s">
        <v>1382</v>
      </c>
      <c r="D48" s="62" t="s">
        <v>1383</v>
      </c>
      <c r="E48" s="63" t="s">
        <v>1339</v>
      </c>
    </row>
    <row r="49" customFormat="false" ht="66" hidden="false" customHeight="true" outlineLevel="0" collapsed="false">
      <c r="A49" s="64" t="s">
        <v>1384</v>
      </c>
      <c r="B49" s="64" t="s">
        <v>1385</v>
      </c>
      <c r="C49" s="62" t="s">
        <v>1386</v>
      </c>
      <c r="D49" s="60" t="s">
        <v>1387</v>
      </c>
      <c r="E49" s="60" t="s">
        <v>1388</v>
      </c>
    </row>
    <row r="50" customFormat="false" ht="66" hidden="false" customHeight="true" outlineLevel="0" collapsed="false">
      <c r="A50" s="60" t="s">
        <v>1389</v>
      </c>
      <c r="B50" s="60" t="s">
        <v>1390</v>
      </c>
      <c r="C50" s="60" t="s">
        <v>1391</v>
      </c>
      <c r="D50" s="60" t="s">
        <v>1392</v>
      </c>
      <c r="E50" s="60" t="s">
        <v>1393</v>
      </c>
    </row>
    <row r="51" customFormat="false" ht="66" hidden="false" customHeight="true" outlineLevel="0" collapsed="false">
      <c r="A51" s="63" t="s">
        <v>1331</v>
      </c>
      <c r="B51" s="63" t="s">
        <v>1309</v>
      </c>
      <c r="C51" s="63" t="s">
        <v>1310</v>
      </c>
      <c r="D51" s="63" t="s">
        <v>1311</v>
      </c>
      <c r="E51" s="63" t="s">
        <v>1312</v>
      </c>
    </row>
    <row r="52" customFormat="false" ht="66" hidden="false" customHeight="true" outlineLevel="0" collapsed="false">
      <c r="A52" s="64" t="s">
        <v>1394</v>
      </c>
      <c r="B52" s="64" t="s">
        <v>1395</v>
      </c>
      <c r="C52" s="65" t="s">
        <v>1396</v>
      </c>
      <c r="D52" s="61"/>
      <c r="E52" s="61"/>
    </row>
    <row r="54" customFormat="false" ht="17.35" hidden="false" customHeight="false" outlineLevel="0" collapsed="false">
      <c r="A54" s="57" t="s">
        <v>1397</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1398</v>
      </c>
      <c r="E56" s="65" t="s">
        <v>1399</v>
      </c>
    </row>
    <row r="57" customFormat="false" ht="66" hidden="false" customHeight="true" outlineLevel="0" collapsed="false">
      <c r="A57" s="64" t="s">
        <v>1400</v>
      </c>
      <c r="B57" s="64" t="s">
        <v>1401</v>
      </c>
      <c r="C57" s="60" t="s">
        <v>1402</v>
      </c>
      <c r="D57" s="60" t="s">
        <v>1403</v>
      </c>
      <c r="E57" s="60" t="s">
        <v>1404</v>
      </c>
    </row>
    <row r="58" customFormat="false" ht="66" hidden="false" customHeight="true" outlineLevel="0" collapsed="false">
      <c r="A58" s="60" t="s">
        <v>1405</v>
      </c>
      <c r="B58" s="60" t="s">
        <v>1406</v>
      </c>
      <c r="C58" s="60" t="s">
        <v>1407</v>
      </c>
      <c r="D58" s="60" t="s">
        <v>1408</v>
      </c>
      <c r="E58" s="63" t="s">
        <v>1409</v>
      </c>
    </row>
    <row r="59" customFormat="false" ht="66" hidden="false" customHeight="true" outlineLevel="0" collapsed="false">
      <c r="A59" s="60" t="s">
        <v>1410</v>
      </c>
      <c r="B59" s="65" t="s">
        <v>1411</v>
      </c>
      <c r="C59" s="65" t="s">
        <v>1412</v>
      </c>
      <c r="D59" s="64" t="s">
        <v>1413</v>
      </c>
      <c r="E59" s="64" t="s">
        <v>1414</v>
      </c>
    </row>
    <row r="60" customFormat="false" ht="66" hidden="false" customHeight="true" outlineLevel="0" collapsed="false">
      <c r="A60" s="60" t="s">
        <v>1415</v>
      </c>
      <c r="B60" s="60" t="s">
        <v>1416</v>
      </c>
      <c r="C60" s="62" t="s">
        <v>1290</v>
      </c>
      <c r="D60" s="64" t="s">
        <v>1417</v>
      </c>
      <c r="E60" s="64"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926</v>
      </c>
      <c r="D1" s="9" t="s">
        <v>1440</v>
      </c>
      <c r="E1" s="9" t="s">
        <v>1441</v>
      </c>
    </row>
    <row r="2" customFormat="false" ht="15" hidden="false" customHeight="false" outlineLevel="0" collapsed="false">
      <c r="A2" s="47" t="n">
        <v>3</v>
      </c>
      <c r="B2" s="5" t="s">
        <v>40</v>
      </c>
      <c r="C2" s="66" t="n">
        <v>46288</v>
      </c>
      <c r="D2" s="67" t="s">
        <v>1442</v>
      </c>
      <c r="E2" s="6" t="s">
        <v>1443</v>
      </c>
    </row>
    <row r="3" customFormat="false" ht="15" hidden="false" customHeight="false" outlineLevel="0" collapsed="false">
      <c r="A3" s="47" t="n">
        <v>3</v>
      </c>
      <c r="B3" s="5" t="s">
        <v>40</v>
      </c>
      <c r="C3" s="66" t="n">
        <v>46288</v>
      </c>
      <c r="D3" s="67" t="s">
        <v>1444</v>
      </c>
      <c r="E3" s="6" t="s">
        <v>1445</v>
      </c>
    </row>
    <row r="4" customFormat="false" ht="15" hidden="false" customHeight="false" outlineLevel="0" collapsed="false">
      <c r="A4" s="47" t="n">
        <v>3</v>
      </c>
      <c r="B4" s="5" t="s">
        <v>40</v>
      </c>
      <c r="C4" s="66" t="n">
        <v>46288</v>
      </c>
      <c r="D4" s="67" t="s">
        <v>1446</v>
      </c>
      <c r="E4" s="6" t="s">
        <v>1447</v>
      </c>
    </row>
    <row r="5" customFormat="false" ht="15" hidden="false" customHeight="false" outlineLevel="0" collapsed="false">
      <c r="A5" s="47" t="n">
        <v>3</v>
      </c>
      <c r="B5" s="5" t="s">
        <v>40</v>
      </c>
      <c r="C5" s="66" t="n">
        <v>46288</v>
      </c>
      <c r="D5" s="67" t="s">
        <v>1448</v>
      </c>
      <c r="E5" s="6" t="s">
        <v>1449</v>
      </c>
    </row>
    <row r="6" customFormat="false" ht="15" hidden="false" customHeight="false" outlineLevel="0" collapsed="false">
      <c r="A6" s="47" t="n">
        <v>3</v>
      </c>
      <c r="B6" s="5" t="s">
        <v>40</v>
      </c>
      <c r="C6" s="66" t="n">
        <v>46288</v>
      </c>
      <c r="D6" s="67" t="s">
        <v>1450</v>
      </c>
      <c r="E6" s="6" t="s">
        <v>1451</v>
      </c>
    </row>
    <row r="7" customFormat="false" ht="15" hidden="false" customHeight="false" outlineLevel="0" collapsed="false">
      <c r="A7" s="47" t="n">
        <v>3</v>
      </c>
      <c r="B7" s="5" t="s">
        <v>40</v>
      </c>
      <c r="C7" s="66" t="n">
        <v>46288</v>
      </c>
      <c r="D7" s="67" t="s">
        <v>1452</v>
      </c>
      <c r="E7" s="6" t="s">
        <v>1453</v>
      </c>
    </row>
    <row r="8" customFormat="false" ht="15" hidden="false" customHeight="false" outlineLevel="0" collapsed="false">
      <c r="A8" s="47" t="n">
        <v>3</v>
      </c>
      <c r="B8" s="5" t="s">
        <v>40</v>
      </c>
      <c r="C8" s="66" t="n">
        <v>46288</v>
      </c>
      <c r="D8" s="67" t="s">
        <v>1454</v>
      </c>
      <c r="E8" s="6" t="s">
        <v>1455</v>
      </c>
    </row>
    <row r="9" customFormat="false" ht="15" hidden="false" customHeight="false" outlineLevel="0" collapsed="false">
      <c r="A9" s="47" t="n">
        <v>3</v>
      </c>
      <c r="B9" s="5" t="s">
        <v>53</v>
      </c>
      <c r="C9" s="66" t="n">
        <v>46289</v>
      </c>
      <c r="D9" s="67" t="s">
        <v>1456</v>
      </c>
      <c r="E9" s="6" t="s">
        <v>1457</v>
      </c>
    </row>
    <row r="10" customFormat="false" ht="15" hidden="false" customHeight="false" outlineLevel="0" collapsed="false">
      <c r="A10" s="47" t="n">
        <v>3</v>
      </c>
      <c r="B10" s="5" t="s">
        <v>53</v>
      </c>
      <c r="C10" s="66" t="n">
        <v>46289</v>
      </c>
      <c r="D10" s="67" t="s">
        <v>1458</v>
      </c>
      <c r="E10" s="6" t="s">
        <v>1459</v>
      </c>
    </row>
    <row r="11" customFormat="false" ht="15" hidden="false" customHeight="false" outlineLevel="0" collapsed="false">
      <c r="A11" s="47" t="n">
        <v>3</v>
      </c>
      <c r="B11" s="5" t="s">
        <v>53</v>
      </c>
      <c r="C11" s="66" t="n">
        <v>46289</v>
      </c>
      <c r="D11" s="67" t="s">
        <v>1460</v>
      </c>
      <c r="E11" s="6" t="s">
        <v>1461</v>
      </c>
    </row>
    <row r="12" customFormat="false" ht="15" hidden="false" customHeight="false" outlineLevel="0" collapsed="false">
      <c r="A12" s="47" t="n">
        <v>3</v>
      </c>
      <c r="B12" s="5" t="s">
        <v>64</v>
      </c>
      <c r="C12" s="66" t="n">
        <v>46290</v>
      </c>
      <c r="D12" s="67" t="s">
        <v>1462</v>
      </c>
      <c r="E12" s="6" t="s">
        <v>1463</v>
      </c>
    </row>
    <row r="13" customFormat="false" ht="15" hidden="false" customHeight="false" outlineLevel="0" collapsed="false">
      <c r="A13" s="47" t="n">
        <v>3</v>
      </c>
      <c r="B13" s="5" t="s">
        <v>64</v>
      </c>
      <c r="C13" s="66" t="n">
        <v>46290</v>
      </c>
      <c r="D13" s="67" t="s">
        <v>1464</v>
      </c>
      <c r="E13" s="6" t="s">
        <v>1465</v>
      </c>
    </row>
    <row r="14" customFormat="false" ht="15" hidden="false" customHeight="false" outlineLevel="0" collapsed="false">
      <c r="A14" s="47" t="n">
        <v>3</v>
      </c>
      <c r="B14" s="5" t="s">
        <v>64</v>
      </c>
      <c r="C14" s="66" t="n">
        <v>46290</v>
      </c>
      <c r="D14" s="67" t="s">
        <v>1466</v>
      </c>
      <c r="E14" s="6" t="s">
        <v>1467</v>
      </c>
    </row>
    <row r="15" customFormat="false" ht="15" hidden="false" customHeight="false" outlineLevel="0" collapsed="false">
      <c r="A15" s="47" t="n">
        <v>3</v>
      </c>
      <c r="B15" s="5" t="s">
        <v>75</v>
      </c>
      <c r="C15" s="66" t="n">
        <v>46293</v>
      </c>
      <c r="D15" s="67" t="s">
        <v>1468</v>
      </c>
      <c r="E15" s="6" t="s">
        <v>1469</v>
      </c>
    </row>
    <row r="16" customFormat="false" ht="15" hidden="false" customHeight="false" outlineLevel="0" collapsed="false">
      <c r="A16" s="47" t="n">
        <v>3</v>
      </c>
      <c r="B16" s="5" t="s">
        <v>75</v>
      </c>
      <c r="C16" s="66" t="n">
        <v>46293</v>
      </c>
      <c r="D16" s="67" t="s">
        <v>1470</v>
      </c>
      <c r="E16" s="6" t="s">
        <v>1471</v>
      </c>
    </row>
    <row r="17" customFormat="false" ht="23.85" hidden="false" customHeight="false" outlineLevel="0" collapsed="false">
      <c r="A17" s="47" t="n">
        <v>3</v>
      </c>
      <c r="B17" s="5" t="s">
        <v>75</v>
      </c>
      <c r="C17" s="66" t="n">
        <v>46293</v>
      </c>
      <c r="D17" s="67" t="s">
        <v>1472</v>
      </c>
      <c r="E17" s="6" t="s">
        <v>1473</v>
      </c>
    </row>
    <row r="18" customFormat="false" ht="15" hidden="false" customHeight="false" outlineLevel="0" collapsed="false">
      <c r="A18" s="47" t="n">
        <v>3</v>
      </c>
      <c r="B18" s="5" t="s">
        <v>88</v>
      </c>
      <c r="C18" s="66" t="n">
        <v>46294</v>
      </c>
      <c r="D18" s="67" t="s">
        <v>1474</v>
      </c>
      <c r="E18" s="6" t="s">
        <v>1475</v>
      </c>
    </row>
    <row r="19" customFormat="false" ht="23.85" hidden="false" customHeight="false" outlineLevel="0" collapsed="false">
      <c r="A19" s="47" t="n">
        <v>3</v>
      </c>
      <c r="B19" s="5" t="s">
        <v>88</v>
      </c>
      <c r="C19" s="66" t="n">
        <v>46294</v>
      </c>
      <c r="D19" s="67" t="s">
        <v>1476</v>
      </c>
      <c r="E19" s="6" t="s">
        <v>1477</v>
      </c>
    </row>
    <row r="20" customFormat="false" ht="15" hidden="false" customHeight="false" outlineLevel="0" collapsed="false">
      <c r="A20" s="47" t="n">
        <v>3</v>
      </c>
      <c r="B20" s="5" t="s">
        <v>97</v>
      </c>
      <c r="C20" s="66" t="n">
        <v>46295</v>
      </c>
      <c r="D20" s="67" t="s">
        <v>1478</v>
      </c>
      <c r="E20" s="6" t="s">
        <v>1479</v>
      </c>
    </row>
    <row r="21" customFormat="false" ht="15" hidden="false" customHeight="false" outlineLevel="0" collapsed="false">
      <c r="A21" s="47" t="n">
        <v>3</v>
      </c>
      <c r="B21" s="5" t="s">
        <v>97</v>
      </c>
      <c r="C21" s="66" t="n">
        <v>46295</v>
      </c>
      <c r="D21" s="67" t="s">
        <v>1480</v>
      </c>
      <c r="E21" s="6" t="s">
        <v>1481</v>
      </c>
    </row>
    <row r="22" customFormat="false" ht="15" hidden="false" customHeight="false" outlineLevel="0" collapsed="false">
      <c r="A22" s="47" t="n">
        <v>3</v>
      </c>
      <c r="B22" s="5" t="s">
        <v>110</v>
      </c>
      <c r="C22" s="66" t="n">
        <v>46300</v>
      </c>
      <c r="D22" s="67" t="s">
        <v>1482</v>
      </c>
      <c r="E22" s="6" t="s">
        <v>1483</v>
      </c>
    </row>
    <row r="23" customFormat="false" ht="15" hidden="false" customHeight="false" outlineLevel="0" collapsed="false">
      <c r="A23" s="47" t="n">
        <v>3</v>
      </c>
      <c r="B23" s="5" t="s">
        <v>110</v>
      </c>
      <c r="C23" s="66" t="n">
        <v>46300</v>
      </c>
      <c r="D23" s="67" t="s">
        <v>1484</v>
      </c>
      <c r="E23" s="6" t="s">
        <v>1485</v>
      </c>
    </row>
    <row r="24" customFormat="false" ht="15" hidden="false" customHeight="false" outlineLevel="0" collapsed="false">
      <c r="A24" s="47" t="n">
        <v>3</v>
      </c>
      <c r="B24" s="5" t="s">
        <v>110</v>
      </c>
      <c r="C24" s="66" t="n">
        <v>46300</v>
      </c>
      <c r="D24" s="67" t="s">
        <v>1486</v>
      </c>
      <c r="E24" s="6" t="s">
        <v>1487</v>
      </c>
    </row>
    <row r="25" customFormat="false" ht="23.85" hidden="false" customHeight="false" outlineLevel="0" collapsed="false">
      <c r="A25" s="47" t="n">
        <v>3</v>
      </c>
      <c r="B25" s="5" t="s">
        <v>121</v>
      </c>
      <c r="C25" s="66" t="n">
        <v>46301</v>
      </c>
      <c r="D25" s="67" t="s">
        <v>1468</v>
      </c>
      <c r="E25" s="6" t="s">
        <v>1488</v>
      </c>
    </row>
    <row r="26" customFormat="false" ht="15" hidden="false" customHeight="false" outlineLevel="0" collapsed="false">
      <c r="A26" s="47" t="n">
        <v>3</v>
      </c>
      <c r="B26" s="5" t="s">
        <v>121</v>
      </c>
      <c r="C26" s="66" t="n">
        <v>46301</v>
      </c>
      <c r="D26" s="67" t="s">
        <v>1489</v>
      </c>
      <c r="E26" s="6" t="s">
        <v>1490</v>
      </c>
    </row>
    <row r="27" customFormat="false" ht="15" hidden="false" customHeight="false" outlineLevel="0" collapsed="false">
      <c r="A27" s="47" t="n">
        <v>3</v>
      </c>
      <c r="B27" s="5" t="s">
        <v>130</v>
      </c>
      <c r="C27" s="66" t="n">
        <v>46302</v>
      </c>
      <c r="D27" s="67" t="s">
        <v>1491</v>
      </c>
      <c r="E27" s="6" t="s">
        <v>1492</v>
      </c>
    </row>
    <row r="28" customFormat="false" ht="15" hidden="false" customHeight="false" outlineLevel="0" collapsed="false">
      <c r="A28" s="47" t="n">
        <v>3</v>
      </c>
      <c r="B28" s="5" t="s">
        <v>130</v>
      </c>
      <c r="C28" s="66" t="n">
        <v>46302</v>
      </c>
      <c r="D28" s="67" t="s">
        <v>1493</v>
      </c>
      <c r="E28" s="6" t="s">
        <v>1494</v>
      </c>
    </row>
    <row r="29" customFormat="false" ht="15" hidden="false" customHeight="false" outlineLevel="0" collapsed="false">
      <c r="A29" s="47" t="n">
        <v>3</v>
      </c>
      <c r="B29" s="5" t="s">
        <v>130</v>
      </c>
      <c r="C29" s="66" t="n">
        <v>46302</v>
      </c>
      <c r="D29" s="67" t="s">
        <v>1484</v>
      </c>
      <c r="E29" s="6" t="s">
        <v>1495</v>
      </c>
    </row>
    <row r="30" customFormat="false" ht="15" hidden="false" customHeight="false" outlineLevel="0" collapsed="false">
      <c r="A30" s="47" t="n">
        <v>3</v>
      </c>
      <c r="B30" s="5" t="s">
        <v>144</v>
      </c>
      <c r="C30" s="66" t="n">
        <v>46304</v>
      </c>
      <c r="D30" s="67" t="s">
        <v>1496</v>
      </c>
      <c r="E30" s="6" t="s">
        <v>1497</v>
      </c>
    </row>
    <row r="31" customFormat="false" ht="15" hidden="false" customHeight="false" outlineLevel="0" collapsed="false">
      <c r="A31" s="47" t="n">
        <v>3</v>
      </c>
      <c r="B31" s="5" t="s">
        <v>144</v>
      </c>
      <c r="C31" s="66" t="n">
        <v>46304</v>
      </c>
      <c r="D31" s="67" t="s">
        <v>1491</v>
      </c>
      <c r="E31" s="6" t="s">
        <v>1498</v>
      </c>
    </row>
    <row r="32" customFormat="false" ht="15" hidden="false" customHeight="false" outlineLevel="0" collapsed="false">
      <c r="A32" s="47" t="n">
        <v>4</v>
      </c>
      <c r="B32" s="5" t="s">
        <v>160</v>
      </c>
      <c r="C32" s="66" t="n">
        <v>46314</v>
      </c>
      <c r="D32" s="67" t="s">
        <v>1491</v>
      </c>
      <c r="E32" s="6" t="s">
        <v>1499</v>
      </c>
    </row>
    <row r="33" customFormat="false" ht="15" hidden="false" customHeight="false" outlineLevel="0" collapsed="false">
      <c r="A33" s="47" t="n">
        <v>4</v>
      </c>
      <c r="B33" s="5" t="s">
        <v>160</v>
      </c>
      <c r="C33" s="66" t="n">
        <v>46314</v>
      </c>
      <c r="D33" s="67" t="s">
        <v>1484</v>
      </c>
      <c r="E33" s="6" t="s">
        <v>1500</v>
      </c>
    </row>
    <row r="34" customFormat="false" ht="23.85" hidden="false" customHeight="false" outlineLevel="0" collapsed="false">
      <c r="A34" s="47" t="n">
        <v>4</v>
      </c>
      <c r="B34" s="5" t="s">
        <v>160</v>
      </c>
      <c r="C34" s="66" t="n">
        <v>46314</v>
      </c>
      <c r="D34" s="67" t="s">
        <v>1501</v>
      </c>
      <c r="E34" s="6" t="s">
        <v>1502</v>
      </c>
    </row>
    <row r="35" customFormat="false" ht="15" hidden="false" customHeight="false" outlineLevel="0" collapsed="false">
      <c r="A35" s="47" t="n">
        <v>4</v>
      </c>
      <c r="B35" s="5" t="s">
        <v>171</v>
      </c>
      <c r="C35" s="66" t="n">
        <v>46315</v>
      </c>
      <c r="D35" s="67" t="s">
        <v>1448</v>
      </c>
      <c r="E35" s="6" t="s">
        <v>1503</v>
      </c>
    </row>
    <row r="36" customFormat="false" ht="15" hidden="false" customHeight="false" outlineLevel="0" collapsed="false">
      <c r="A36" s="47" t="n">
        <v>4</v>
      </c>
      <c r="B36" s="5" t="s">
        <v>171</v>
      </c>
      <c r="C36" s="66" t="n">
        <v>46315</v>
      </c>
      <c r="D36" s="67" t="s">
        <v>1456</v>
      </c>
      <c r="E36" s="6" t="s">
        <v>1504</v>
      </c>
    </row>
    <row r="37" customFormat="false" ht="15" hidden="false" customHeight="false" outlineLevel="0" collapsed="false">
      <c r="A37" s="47" t="n">
        <v>4</v>
      </c>
      <c r="B37" s="5" t="s">
        <v>171</v>
      </c>
      <c r="C37" s="66" t="n">
        <v>46315</v>
      </c>
      <c r="D37" s="67" t="s">
        <v>1505</v>
      </c>
      <c r="E37" s="6" t="s">
        <v>1506</v>
      </c>
    </row>
    <row r="38" customFormat="false" ht="23.85" hidden="false" customHeight="false" outlineLevel="0" collapsed="false">
      <c r="A38" s="47" t="n">
        <v>4</v>
      </c>
      <c r="B38" s="5" t="s">
        <v>180</v>
      </c>
      <c r="C38" s="66" t="n">
        <v>46316</v>
      </c>
      <c r="D38" s="67" t="s">
        <v>1507</v>
      </c>
      <c r="E38" s="6" t="s">
        <v>1508</v>
      </c>
    </row>
    <row r="39" customFormat="false" ht="15" hidden="false" customHeight="false" outlineLevel="0" collapsed="false">
      <c r="A39" s="47" t="n">
        <v>4</v>
      </c>
      <c r="B39" s="5" t="s">
        <v>180</v>
      </c>
      <c r="C39" s="66" t="n">
        <v>46316</v>
      </c>
      <c r="D39" s="67" t="s">
        <v>1509</v>
      </c>
      <c r="E39" s="6" t="s">
        <v>1510</v>
      </c>
    </row>
    <row r="40" customFormat="false" ht="23.85" hidden="false" customHeight="false" outlineLevel="0" collapsed="false">
      <c r="A40" s="47" t="n">
        <v>4</v>
      </c>
      <c r="B40" s="5" t="s">
        <v>180</v>
      </c>
      <c r="C40" s="66" t="n">
        <v>46316</v>
      </c>
      <c r="D40" s="67" t="s">
        <v>1511</v>
      </c>
      <c r="E40" s="6" t="s">
        <v>1512</v>
      </c>
    </row>
    <row r="41" customFormat="false" ht="15" hidden="false" customHeight="false" outlineLevel="0" collapsed="false">
      <c r="A41" s="47" t="n">
        <v>4</v>
      </c>
      <c r="B41" s="5" t="s">
        <v>192</v>
      </c>
      <c r="C41" s="66" t="n">
        <v>46317</v>
      </c>
      <c r="D41" s="67" t="s">
        <v>1513</v>
      </c>
      <c r="E41" s="6" t="s">
        <v>1514</v>
      </c>
    </row>
    <row r="42" customFormat="false" ht="15" hidden="false" customHeight="false" outlineLevel="0" collapsed="false">
      <c r="A42" s="47" t="n">
        <v>4</v>
      </c>
      <c r="B42" s="5" t="s">
        <v>192</v>
      </c>
      <c r="C42" s="66" t="n">
        <v>46317</v>
      </c>
      <c r="D42" s="67" t="s">
        <v>1515</v>
      </c>
      <c r="E42" s="6" t="s">
        <v>1516</v>
      </c>
    </row>
    <row r="43" customFormat="false" ht="15" hidden="false" customHeight="false" outlineLevel="0" collapsed="false">
      <c r="A43" s="47" t="n">
        <v>4</v>
      </c>
      <c r="B43" s="5" t="s">
        <v>192</v>
      </c>
      <c r="C43" s="66" t="n">
        <v>46317</v>
      </c>
      <c r="D43" s="67" t="s">
        <v>1517</v>
      </c>
      <c r="E43" s="6" t="s">
        <v>1518</v>
      </c>
    </row>
    <row r="44" customFormat="false" ht="23.85" hidden="false" customHeight="false" outlineLevel="0" collapsed="false">
      <c r="A44" s="47" t="n">
        <v>4</v>
      </c>
      <c r="B44" s="5" t="s">
        <v>203</v>
      </c>
      <c r="C44" s="66" t="n">
        <v>46318</v>
      </c>
      <c r="D44" s="67" t="s">
        <v>1519</v>
      </c>
      <c r="E44" s="6" t="s">
        <v>1520</v>
      </c>
    </row>
    <row r="45" customFormat="false" ht="15" hidden="false" customHeight="false" outlineLevel="0" collapsed="false">
      <c r="A45" s="47" t="n">
        <v>4</v>
      </c>
      <c r="B45" s="5" t="s">
        <v>203</v>
      </c>
      <c r="C45" s="66" t="n">
        <v>46318</v>
      </c>
      <c r="D45" s="67" t="s">
        <v>1521</v>
      </c>
      <c r="E45" s="6" t="s">
        <v>1522</v>
      </c>
    </row>
    <row r="46" customFormat="false" ht="15" hidden="false" customHeight="false" outlineLevel="0" collapsed="false">
      <c r="A46" s="47" t="n">
        <v>4</v>
      </c>
      <c r="B46" s="5" t="s">
        <v>203</v>
      </c>
      <c r="C46" s="66" t="n">
        <v>46318</v>
      </c>
      <c r="D46" s="67" t="s">
        <v>1523</v>
      </c>
      <c r="E46" s="6" t="s">
        <v>1524</v>
      </c>
    </row>
    <row r="47" customFormat="false" ht="15" hidden="false" customHeight="false" outlineLevel="0" collapsed="false">
      <c r="A47" s="47" t="n">
        <v>4</v>
      </c>
      <c r="B47" s="5" t="s">
        <v>211</v>
      </c>
      <c r="C47" s="66" t="n">
        <v>46321</v>
      </c>
      <c r="D47" s="67" t="s">
        <v>1525</v>
      </c>
      <c r="E47" s="6" t="s">
        <v>1526</v>
      </c>
    </row>
    <row r="48" customFormat="false" ht="23.85" hidden="false" customHeight="false" outlineLevel="0" collapsed="false">
      <c r="A48" s="47" t="n">
        <v>4</v>
      </c>
      <c r="B48" s="5" t="s">
        <v>211</v>
      </c>
      <c r="C48" s="66" t="n">
        <v>46321</v>
      </c>
      <c r="D48" s="67" t="s">
        <v>1527</v>
      </c>
      <c r="E48" s="6" t="s">
        <v>1528</v>
      </c>
    </row>
    <row r="49" customFormat="false" ht="15" hidden="false" customHeight="false" outlineLevel="0" collapsed="false">
      <c r="A49" s="47" t="n">
        <v>4</v>
      </c>
      <c r="B49" s="5" t="s">
        <v>211</v>
      </c>
      <c r="C49" s="66" t="n">
        <v>46321</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1531</v>
      </c>
      <c r="C1" s="9" t="s">
        <v>926</v>
      </c>
      <c r="D1" s="9" t="s">
        <v>927</v>
      </c>
      <c r="E1" s="9" t="s">
        <v>1532</v>
      </c>
      <c r="F1" s="9" t="s">
        <v>673</v>
      </c>
      <c r="G1" s="9" t="s">
        <v>1533</v>
      </c>
      <c r="H1" s="9" t="s">
        <v>1534</v>
      </c>
      <c r="I1" s="9" t="s">
        <v>1213</v>
      </c>
      <c r="J1" s="9" t="s">
        <v>1535</v>
      </c>
      <c r="K1" s="9" t="s">
        <v>1212</v>
      </c>
      <c r="L1" s="9" t="s">
        <v>1536</v>
      </c>
      <c r="M1" s="9" t="s">
        <v>1537</v>
      </c>
      <c r="N1" s="9" t="s">
        <v>1538</v>
      </c>
    </row>
    <row r="2" customFormat="false" ht="23.85" hidden="false" customHeight="false" outlineLevel="0" collapsed="false">
      <c r="A2" s="56" t="n">
        <v>1</v>
      </c>
      <c r="B2" s="6" t="s">
        <v>1539</v>
      </c>
      <c r="C2" s="53" t="s">
        <v>1215</v>
      </c>
      <c r="D2" s="7"/>
      <c r="E2" s="7"/>
      <c r="F2" s="6" t="s">
        <v>1540</v>
      </c>
      <c r="G2" s="8" t="str">
        <f aca="false">HYPERLINK(Links!$Q$22,"folder")</f>
        <v>folder</v>
      </c>
      <c r="H2" s="8" t="str">
        <f aca="false">HYPERLINK(Links!$Q$23,"open")</f>
        <v>open</v>
      </c>
      <c r="I2" s="8" t="str">
        <f aca="false">HYPERLINK(Links!$Q$24,"open")</f>
        <v>open</v>
      </c>
      <c r="J2" s="8" t="str">
        <f aca="false">HYPERLINK(Links!$Q$25,"open")</f>
        <v>open</v>
      </c>
      <c r="K2" s="8" t="str">
        <f aca="false">HYPERLINK(Links!$Q$26,"open")</f>
        <v>open</v>
      </c>
      <c r="L2" s="8" t="str">
        <f aca="false">HYPERLINK(Links!$Q$27,"open")</f>
        <v>open</v>
      </c>
      <c r="M2" s="8" t="str">
        <f aca="false">HYPERLINK(Links!$Q$28,"open")</f>
        <v>open</v>
      </c>
      <c r="N2" s="8" t="str">
        <f aca="false">HYPERLINK(Links!$Q$29,"folder")</f>
        <v>folder</v>
      </c>
    </row>
    <row r="3" customFormat="false" ht="23.85" hidden="false" customHeight="false" outlineLevel="0" collapsed="false">
      <c r="A3" s="56" t="n">
        <v>2</v>
      </c>
      <c r="B3" s="6" t="s">
        <v>1541</v>
      </c>
      <c r="C3" s="53" t="s">
        <v>1215</v>
      </c>
      <c r="D3" s="7"/>
      <c r="E3" s="7"/>
      <c r="F3" s="6" t="s">
        <v>1540</v>
      </c>
      <c r="G3" s="8" t="str">
        <f aca="false">HYPERLINK(Links!$Q$30,"folder")</f>
        <v>folder</v>
      </c>
      <c r="H3" s="8" t="str">
        <f aca="false">HYPERLINK(Links!$Q$31,"open")</f>
        <v>open</v>
      </c>
      <c r="I3" s="8" t="str">
        <f aca="false">HYPERLINK(Links!$Q$32,"open")</f>
        <v>open</v>
      </c>
      <c r="J3" s="8" t="str">
        <f aca="false">HYPERLINK(Links!$Q$33,"open")</f>
        <v>open</v>
      </c>
      <c r="K3" s="8" t="str">
        <f aca="false">HYPERLINK(Links!$Q$34,"open")</f>
        <v>open</v>
      </c>
      <c r="L3" s="8" t="str">
        <f aca="false">HYPERLINK(Links!$Q$35,"open")</f>
        <v>open</v>
      </c>
      <c r="M3" s="8" t="str">
        <f aca="false">HYPERLINK(Links!$Q$36,"open")</f>
        <v>open</v>
      </c>
      <c r="N3" s="8" t="str">
        <f aca="false">HYPERLINK(Links!$Q$37,"folder")</f>
        <v>folder</v>
      </c>
    </row>
    <row r="4" customFormat="false" ht="15" hidden="false" customHeight="false" outlineLevel="0" collapsed="false">
      <c r="A4" s="56" t="n">
        <v>3</v>
      </c>
      <c r="B4" s="6" t="s">
        <v>1542</v>
      </c>
      <c r="C4" s="52" t="n">
        <v>46288</v>
      </c>
      <c r="D4" s="52" t="n">
        <v>46311</v>
      </c>
      <c r="E4" s="47" t="n">
        <f aca="false">COUNTIF('Scope &amp; Sequence'!$C$2:$C$132,A4)</f>
        <v>17</v>
      </c>
      <c r="F4" s="6" t="s">
        <v>1543</v>
      </c>
      <c r="G4" s="8" t="str">
        <f aca="false">HYPERLINK(Links!$Q$38,"folder")</f>
        <v>folder</v>
      </c>
      <c r="H4" s="8" t="str">
        <f aca="false">HYPERLINK(Links!$Q$39,"open")</f>
        <v>open</v>
      </c>
      <c r="I4" s="8" t="str">
        <f aca="false">HYPERLINK(Links!$Q$40,"open")</f>
        <v>open</v>
      </c>
      <c r="J4" s="8" t="str">
        <f aca="false">HYPERLINK(Links!$Q$41,"open")</f>
        <v>open</v>
      </c>
      <c r="K4" s="8" t="str">
        <f aca="false">HYPERLINK(Links!$Q$42,"open")</f>
        <v>open</v>
      </c>
      <c r="L4" s="8" t="str">
        <f aca="false">HYPERLINK(Links!$Q$43,"open")</f>
        <v>open</v>
      </c>
      <c r="M4" s="8" t="str">
        <f aca="false">HYPERLINK(Links!$Q$44,"open")</f>
        <v>open</v>
      </c>
      <c r="N4" s="8" t="str">
        <f aca="false">HYPERLINK(Links!$Q$45,"folder")</f>
        <v>folder</v>
      </c>
    </row>
    <row r="5" customFormat="false" ht="15" hidden="false" customHeight="false" outlineLevel="0" collapsed="false">
      <c r="A5" s="56" t="n">
        <v>4</v>
      </c>
      <c r="B5" s="6" t="s">
        <v>1544</v>
      </c>
      <c r="C5" s="52" t="n">
        <v>46314</v>
      </c>
      <c r="D5" s="52" t="n">
        <v>46325</v>
      </c>
      <c r="E5" s="47" t="n">
        <f aca="false">COUNTIF('Scope &amp; Sequence'!$C$2:$C$132,A5)</f>
        <v>10</v>
      </c>
      <c r="F5" s="6" t="s">
        <v>1543</v>
      </c>
      <c r="G5" s="8" t="str">
        <f aca="false">HYPERLINK(Links!$Q$46,"folder")</f>
        <v>folder</v>
      </c>
      <c r="H5" s="8" t="str">
        <f aca="false">HYPERLINK(Links!$Q$47,"open")</f>
        <v>open</v>
      </c>
      <c r="I5" s="8" t="str">
        <f aca="false">HYPERLINK(Links!$Q$48,"open")</f>
        <v>open</v>
      </c>
      <c r="J5" s="8" t="str">
        <f aca="false">HYPERLINK(Links!$Q$49,"open")</f>
        <v>open</v>
      </c>
      <c r="K5" s="8" t="str">
        <f aca="false">HYPERLINK(Links!$Q$50,"open")</f>
        <v>open</v>
      </c>
      <c r="L5" s="8" t="str">
        <f aca="false">HYPERLINK(Links!$Q$51,"open")</f>
        <v>open</v>
      </c>
      <c r="M5" s="8" t="str">
        <f aca="false">HYPERLINK(Links!$Q$52,"open")</f>
        <v>open</v>
      </c>
      <c r="N5" s="8" t="str">
        <f aca="false">HYPERLINK(Links!$Q$53,"folder")</f>
        <v>folder</v>
      </c>
    </row>
    <row r="6" customFormat="false" ht="23.85" hidden="false" customHeight="false" outlineLevel="0" collapsed="false">
      <c r="A6" s="56" t="n">
        <v>5</v>
      </c>
      <c r="B6" s="6" t="s">
        <v>1545</v>
      </c>
      <c r="C6" s="52" t="n">
        <v>46328</v>
      </c>
      <c r="D6" s="52" t="n">
        <v>46339</v>
      </c>
      <c r="E6" s="47" t="n">
        <f aca="false">COUNTIF('Scope &amp; Sequence'!$C$2:$C$132,A6)</f>
        <v>9</v>
      </c>
      <c r="F6" s="53" t="s">
        <v>227</v>
      </c>
      <c r="G6" s="7"/>
      <c r="H6" s="7"/>
      <c r="I6" s="7"/>
      <c r="J6" s="7"/>
      <c r="K6" s="7"/>
      <c r="L6" s="7"/>
      <c r="M6" s="7"/>
      <c r="N6" s="7"/>
    </row>
    <row r="7" customFormat="false" ht="15" hidden="false" customHeight="false" outlineLevel="0" collapsed="false">
      <c r="A7" s="56" t="n">
        <v>6</v>
      </c>
      <c r="B7" s="6" t="s">
        <v>1546</v>
      </c>
      <c r="C7" s="52" t="n">
        <v>46342</v>
      </c>
      <c r="D7" s="52" t="n">
        <v>46360</v>
      </c>
      <c r="E7" s="47" t="n">
        <f aca="false">COUNTIF('Scope &amp; Sequence'!$C$2:$C$132,A7)</f>
        <v>10</v>
      </c>
      <c r="F7" s="53" t="s">
        <v>227</v>
      </c>
      <c r="G7" s="7"/>
      <c r="H7" s="7"/>
      <c r="I7" s="7"/>
      <c r="J7" s="7"/>
      <c r="K7" s="7"/>
      <c r="L7" s="7"/>
      <c r="M7" s="7"/>
      <c r="N7" s="7"/>
    </row>
    <row r="8" customFormat="false" ht="15" hidden="false" customHeight="false" outlineLevel="0" collapsed="false">
      <c r="A8" s="56" t="n">
        <v>7</v>
      </c>
      <c r="B8" s="6" t="s">
        <v>1547</v>
      </c>
      <c r="C8" s="52" t="n">
        <v>46363</v>
      </c>
      <c r="D8" s="52" t="n">
        <v>46371</v>
      </c>
      <c r="E8" s="47" t="n">
        <f aca="false">COUNTIF('Scope &amp; Sequence'!$C$2:$C$132,A8)</f>
        <v>7</v>
      </c>
      <c r="F8" s="53" t="s">
        <v>227</v>
      </c>
      <c r="G8" s="7"/>
      <c r="H8" s="7"/>
      <c r="I8" s="7"/>
      <c r="J8" s="7"/>
      <c r="K8" s="7"/>
      <c r="L8" s="7"/>
      <c r="M8" s="7"/>
      <c r="N8" s="7"/>
    </row>
    <row r="9" customFormat="false" ht="15" hidden="false" customHeight="false" outlineLevel="0" collapsed="false">
      <c r="A9" s="56" t="n">
        <v>8</v>
      </c>
      <c r="B9" s="6" t="s">
        <v>1548</v>
      </c>
      <c r="C9" s="52" t="n">
        <v>46393</v>
      </c>
      <c r="D9" s="52" t="n">
        <v>46399</v>
      </c>
      <c r="E9" s="47" t="n">
        <f aca="false">COUNTIF('Scope &amp; Sequence'!$C$2:$C$132,A9)</f>
        <v>5</v>
      </c>
      <c r="F9" s="53" t="s">
        <v>227</v>
      </c>
      <c r="G9" s="7"/>
      <c r="H9" s="7"/>
      <c r="I9" s="7"/>
      <c r="J9" s="7"/>
      <c r="K9" s="7"/>
      <c r="L9" s="7"/>
      <c r="M9" s="7"/>
      <c r="N9" s="7"/>
    </row>
    <row r="10" customFormat="false" ht="15" hidden="false" customHeight="false" outlineLevel="0" collapsed="false">
      <c r="A10" s="56" t="n">
        <v>9</v>
      </c>
      <c r="B10" s="6" t="s">
        <v>1549</v>
      </c>
      <c r="C10" s="52" t="n">
        <v>46400</v>
      </c>
      <c r="D10" s="52" t="n">
        <v>46409</v>
      </c>
      <c r="E10" s="47" t="n">
        <f aca="false">COUNTIF('Scope &amp; Sequence'!$C$2:$C$132,A10)</f>
        <v>7</v>
      </c>
      <c r="F10" s="53" t="s">
        <v>227</v>
      </c>
      <c r="G10" s="7"/>
      <c r="H10" s="7"/>
      <c r="I10" s="7"/>
      <c r="J10" s="7"/>
      <c r="K10" s="7"/>
      <c r="L10" s="7"/>
      <c r="M10" s="7"/>
      <c r="N10" s="7"/>
    </row>
    <row r="11" customFormat="false" ht="15" hidden="false" customHeight="false" outlineLevel="0" collapsed="false">
      <c r="A11" s="56" t="n">
        <v>10</v>
      </c>
      <c r="B11" s="6" t="s">
        <v>1550</v>
      </c>
      <c r="C11" s="52" t="n">
        <v>46412</v>
      </c>
      <c r="D11" s="52" t="n">
        <v>46423</v>
      </c>
      <c r="E11" s="47" t="n">
        <f aca="false">COUNTIF('Scope &amp; Sequence'!$C$2:$C$132,A11)</f>
        <v>10</v>
      </c>
      <c r="F11" s="53" t="s">
        <v>227</v>
      </c>
      <c r="G11" s="7"/>
      <c r="H11" s="7"/>
      <c r="I11" s="7"/>
      <c r="J11" s="7"/>
      <c r="K11" s="7"/>
      <c r="L11" s="7"/>
      <c r="M11" s="7"/>
      <c r="N11" s="7"/>
    </row>
    <row r="12" customFormat="false" ht="15" hidden="false" customHeight="false" outlineLevel="0" collapsed="false">
      <c r="A12" s="56" t="n">
        <v>11</v>
      </c>
      <c r="B12" s="6" t="s">
        <v>1551</v>
      </c>
      <c r="C12" s="52" t="n">
        <v>46426</v>
      </c>
      <c r="D12" s="52" t="n">
        <v>46440</v>
      </c>
      <c r="E12" s="47" t="n">
        <f aca="false">COUNTIF('Scope &amp; Sequence'!$C$2:$C$132,A12)</f>
        <v>10</v>
      </c>
      <c r="F12" s="53" t="s">
        <v>227</v>
      </c>
      <c r="G12" s="7"/>
      <c r="H12" s="7"/>
      <c r="I12" s="7"/>
      <c r="J12" s="7"/>
      <c r="K12" s="7"/>
      <c r="L12" s="7"/>
      <c r="M12" s="7"/>
      <c r="N12" s="7"/>
    </row>
    <row r="13" customFormat="false" ht="15" hidden="false" customHeight="false" outlineLevel="0" collapsed="false">
      <c r="A13" s="56" t="n">
        <v>12</v>
      </c>
      <c r="B13" s="6" t="s">
        <v>1552</v>
      </c>
      <c r="C13" s="52" t="n">
        <v>46441</v>
      </c>
      <c r="D13" s="52" t="n">
        <v>46456</v>
      </c>
      <c r="E13" s="47" t="n">
        <f aca="false">COUNTIF('Scope &amp; Sequence'!$C$2:$C$132,A13)</f>
        <v>11</v>
      </c>
      <c r="F13" s="53" t="s">
        <v>227</v>
      </c>
      <c r="G13" s="7"/>
      <c r="H13" s="7"/>
      <c r="I13" s="7"/>
      <c r="J13" s="7"/>
      <c r="K13" s="7"/>
      <c r="L13" s="7"/>
      <c r="M13" s="7"/>
      <c r="N13" s="7"/>
    </row>
    <row r="14" customFormat="false" ht="15" hidden="false" customHeight="false" outlineLevel="0" collapsed="false">
      <c r="A14" s="56" t="n">
        <v>13</v>
      </c>
      <c r="B14" s="6" t="s">
        <v>1553</v>
      </c>
      <c r="C14" s="52" t="n">
        <v>46457</v>
      </c>
      <c r="D14" s="52" t="n">
        <v>46476</v>
      </c>
      <c r="E14" s="47" t="n">
        <f aca="false">COUNTIF('Scope &amp; Sequence'!$C$2:$C$132,A14)</f>
        <v>9</v>
      </c>
      <c r="F14" s="53" t="s">
        <v>227</v>
      </c>
      <c r="G14" s="7"/>
      <c r="H14" s="7"/>
      <c r="I14" s="7"/>
      <c r="J14" s="7"/>
      <c r="K14" s="7"/>
      <c r="L14" s="7"/>
      <c r="M14" s="7"/>
      <c r="N14" s="7"/>
    </row>
    <row r="15" customFormat="false" ht="15" hidden="false" customHeight="false" outlineLevel="0" collapsed="false">
      <c r="A15" s="56" t="n">
        <v>14</v>
      </c>
      <c r="B15" s="6" t="s">
        <v>1554</v>
      </c>
      <c r="C15" s="52" t="n">
        <v>46477</v>
      </c>
      <c r="D15" s="52" t="n">
        <v>46483</v>
      </c>
      <c r="E15" s="47" t="n">
        <f aca="false">COUNTIF('Scope &amp; Sequence'!$C$2:$C$132,A15)</f>
        <v>5</v>
      </c>
      <c r="F15" s="53" t="s">
        <v>227</v>
      </c>
      <c r="G15" s="7"/>
      <c r="H15" s="7"/>
      <c r="I15" s="7"/>
      <c r="J15" s="7"/>
      <c r="K15" s="7"/>
      <c r="L15" s="7"/>
      <c r="M15" s="7"/>
      <c r="N15" s="7"/>
    </row>
    <row r="16" customFormat="false" ht="15" hidden="false" customHeight="false" outlineLevel="0" collapsed="false">
      <c r="A16" s="56" t="n">
        <v>15</v>
      </c>
      <c r="B16" s="6" t="s">
        <v>1555</v>
      </c>
      <c r="C16" s="52" t="n">
        <v>46484</v>
      </c>
      <c r="D16" s="52" t="n">
        <v>46496</v>
      </c>
      <c r="E16" s="47" t="n">
        <f aca="false">COUNTIF('Scope &amp; Sequence'!$C$2:$C$132,A16)</f>
        <v>8</v>
      </c>
      <c r="F16" s="53" t="s">
        <v>227</v>
      </c>
      <c r="G16" s="7"/>
      <c r="H16" s="7"/>
      <c r="I16" s="7"/>
      <c r="J16" s="7"/>
      <c r="K16" s="7"/>
      <c r="L16" s="7"/>
      <c r="M16" s="7"/>
      <c r="N16" s="7"/>
    </row>
    <row r="17" customFormat="false" ht="15" hidden="false" customHeight="false" outlineLevel="0" collapsed="false">
      <c r="A17" s="56" t="n">
        <v>16</v>
      </c>
      <c r="B17" s="6" t="s">
        <v>1556</v>
      </c>
      <c r="C17" s="52" t="n">
        <v>46497</v>
      </c>
      <c r="D17" s="52" t="n">
        <v>46500</v>
      </c>
      <c r="E17" s="47" t="n">
        <f aca="false">COUNTIF('Scope &amp; Sequence'!$C$2:$C$132,A17)</f>
        <v>4</v>
      </c>
      <c r="F17" s="53" t="s">
        <v>227</v>
      </c>
      <c r="G17" s="7"/>
      <c r="H17" s="7"/>
      <c r="I17" s="7"/>
      <c r="J17" s="7"/>
      <c r="K17" s="7"/>
      <c r="L17" s="7"/>
      <c r="M17" s="7"/>
      <c r="N17" s="7"/>
    </row>
    <row r="18" customFormat="false" ht="15" hidden="false" customHeight="false" outlineLevel="0" collapsed="false">
      <c r="A18" s="56" t="n">
        <v>17</v>
      </c>
      <c r="B18" s="6" t="s">
        <v>1557</v>
      </c>
      <c r="C18" s="52" t="n">
        <v>46503</v>
      </c>
      <c r="D18" s="52" t="n">
        <v>46507</v>
      </c>
      <c r="E18" s="47" t="n">
        <f aca="false">COUNTIF('Scope &amp; Sequence'!$C$2:$C$132,A18)</f>
        <v>5</v>
      </c>
      <c r="F18" s="53" t="s">
        <v>227</v>
      </c>
      <c r="G18" s="7"/>
      <c r="H18" s="7"/>
      <c r="I18" s="7"/>
      <c r="J18" s="7"/>
      <c r="K18" s="7"/>
      <c r="L18" s="7"/>
      <c r="M18" s="7"/>
      <c r="N18" s="7"/>
    </row>
    <row r="20" customFormat="false" ht="15" hidden="false" customHeight="false" outlineLevel="0" collapsed="false">
      <c r="A20" s="12" t="s">
        <v>1558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1559</v>
      </c>
      <c r="G1" s="9" t="s">
        <v>16</v>
      </c>
      <c r="H1" s="9" t="s">
        <v>18</v>
      </c>
    </row>
    <row r="2" customFormat="false" ht="15" hidden="false" customHeight="false" outlineLevel="0" collapsed="false">
      <c r="A2" s="56" t="n">
        <v>1</v>
      </c>
      <c r="B2" s="5" t="s">
        <v>1560</v>
      </c>
      <c r="C2" s="8" t="str">
        <f aca="false">HYPERLINK(Links!$Q$54,"open")</f>
        <v>open</v>
      </c>
      <c r="D2" s="8" t="str">
        <f aca="false">HYPERLINK(Links!$Q$55,"open")</f>
        <v>open</v>
      </c>
      <c r="E2" s="8" t="str">
        <f aca="false">HYPERLINK(Links!$Q$56,"open")</f>
        <v>open</v>
      </c>
      <c r="F2" s="8" t="str">
        <f aca="false">HYPERLINK(Links!$Q$57,"open")</f>
        <v>open</v>
      </c>
      <c r="G2" s="8" t="str">
        <f aca="false">HYPERLINK(Links!$Q$58,"open")</f>
        <v>open</v>
      </c>
      <c r="H2" s="8" t="str">
        <f aca="false">HYPERLINK(Links!$Q$59,"open")</f>
        <v>open</v>
      </c>
    </row>
    <row r="3" customFormat="false" ht="15" hidden="false" customHeight="false" outlineLevel="0" collapsed="false">
      <c r="A3" s="56" t="n">
        <v>1</v>
      </c>
      <c r="B3" s="5" t="s">
        <v>1561</v>
      </c>
      <c r="C3" s="8" t="str">
        <f aca="false">HYPERLINK(Links!$Q$60,"open")</f>
        <v>open</v>
      </c>
      <c r="D3" s="8" t="str">
        <f aca="false">HYPERLINK(Links!$Q$61,"open")</f>
        <v>open</v>
      </c>
      <c r="E3" s="8" t="str">
        <f aca="false">HYPERLINK(Links!$Q$62,"open")</f>
        <v>open</v>
      </c>
      <c r="F3" s="8" t="str">
        <f aca="false">HYPERLINK(Links!$Q$63,"open")</f>
        <v>open</v>
      </c>
      <c r="G3" s="8" t="str">
        <f aca="false">HYPERLINK(Links!$Q$64,"open")</f>
        <v>open</v>
      </c>
      <c r="H3" s="8" t="str">
        <f aca="false">HYPERLINK(Links!$Q$65,"open")</f>
        <v>open</v>
      </c>
    </row>
    <row r="4" customFormat="false" ht="15" hidden="false" customHeight="false" outlineLevel="0" collapsed="false">
      <c r="A4" s="56" t="n">
        <v>1</v>
      </c>
      <c r="B4" s="5" t="s">
        <v>1562</v>
      </c>
      <c r="C4" s="8" t="str">
        <f aca="false">HYPERLINK(Links!$Q$66,"open")</f>
        <v>open</v>
      </c>
      <c r="D4" s="8" t="str">
        <f aca="false">HYPERLINK(Links!$Q$67,"open")</f>
        <v>open</v>
      </c>
      <c r="E4" s="8" t="str">
        <f aca="false">HYPERLINK(Links!$Q$68,"open")</f>
        <v>open</v>
      </c>
      <c r="F4" s="8" t="str">
        <f aca="false">HYPERLINK(Links!$Q$69,"open")</f>
        <v>open</v>
      </c>
      <c r="G4" s="8" t="str">
        <f aca="false">HYPERLINK(Links!$Q$70,"open")</f>
        <v>open</v>
      </c>
      <c r="H4" s="8" t="str">
        <f aca="false">HYPERLINK(Links!$Q$71,"open")</f>
        <v>open</v>
      </c>
    </row>
    <row r="5" customFormat="false" ht="15" hidden="false" customHeight="false" outlineLevel="0" collapsed="false">
      <c r="A5" s="56" t="n">
        <v>1</v>
      </c>
      <c r="B5" s="5" t="s">
        <v>1563</v>
      </c>
      <c r="C5" s="8" t="str">
        <f aca="false">HYPERLINK(Links!$Q$72,"open")</f>
        <v>open</v>
      </c>
      <c r="D5" s="8" t="str">
        <f aca="false">HYPERLINK(Links!$Q$73,"open")</f>
        <v>open</v>
      </c>
      <c r="E5" s="8" t="str">
        <f aca="false">HYPERLINK(Links!$Q$74,"open")</f>
        <v>open</v>
      </c>
      <c r="F5" s="8" t="str">
        <f aca="false">HYPERLINK(Links!$Q$75,"open")</f>
        <v>open</v>
      </c>
      <c r="G5" s="8" t="str">
        <f aca="false">HYPERLINK(Links!$Q$76,"open")</f>
        <v>open</v>
      </c>
      <c r="H5" s="8" t="str">
        <f aca="false">HYPERLINK(Links!$Q$77,"open")</f>
        <v>open</v>
      </c>
    </row>
    <row r="6" customFormat="false" ht="15" hidden="false" customHeight="false" outlineLevel="0" collapsed="false">
      <c r="A6" s="56" t="n">
        <v>1</v>
      </c>
      <c r="B6" s="5" t="s">
        <v>1564</v>
      </c>
      <c r="C6" s="8" t="str">
        <f aca="false">HYPERLINK(Links!$Q$78,"open")</f>
        <v>open</v>
      </c>
      <c r="D6" s="8" t="str">
        <f aca="false">HYPERLINK(Links!$Q$79,"open")</f>
        <v>open</v>
      </c>
      <c r="E6" s="8" t="str">
        <f aca="false">HYPERLINK(Links!$Q$80,"open")</f>
        <v>open</v>
      </c>
      <c r="F6" s="8" t="str">
        <f aca="false">HYPERLINK(Links!$Q$81,"open")</f>
        <v>open</v>
      </c>
      <c r="G6" s="8" t="str">
        <f aca="false">HYPERLINK(Links!$Q$82,"open")</f>
        <v>open</v>
      </c>
      <c r="H6" s="8" t="str">
        <f aca="false">HYPERLINK(Links!$Q$83,"open")</f>
        <v>open</v>
      </c>
    </row>
    <row r="7" customFormat="false" ht="15" hidden="false" customHeight="false" outlineLevel="0" collapsed="false">
      <c r="A7" s="56" t="n">
        <v>1</v>
      </c>
      <c r="B7" s="5" t="s">
        <v>1565</v>
      </c>
      <c r="C7" s="8" t="str">
        <f aca="false">HYPERLINK(Links!$Q$84,"open")</f>
        <v>open</v>
      </c>
      <c r="D7" s="8" t="str">
        <f aca="false">HYPERLINK(Links!$Q$85,"open")</f>
        <v>open</v>
      </c>
      <c r="E7" s="8" t="str">
        <f aca="false">HYPERLINK(Links!$Q$86,"open")</f>
        <v>open</v>
      </c>
      <c r="F7" s="8" t="str">
        <f aca="false">HYPERLINK(Links!$Q$87,"open")</f>
        <v>open</v>
      </c>
      <c r="G7" s="8" t="str">
        <f aca="false">HYPERLINK(Links!$Q$88,"open")</f>
        <v>open</v>
      </c>
      <c r="H7" s="8" t="str">
        <f aca="false">HYPERLINK(Links!$Q$89,"open")</f>
        <v>open</v>
      </c>
    </row>
    <row r="8" customFormat="false" ht="15" hidden="false" customHeight="false" outlineLevel="0" collapsed="false">
      <c r="A8" s="56" t="n">
        <v>1</v>
      </c>
      <c r="B8" s="5" t="s">
        <v>1566</v>
      </c>
      <c r="C8" s="8" t="str">
        <f aca="false">HYPERLINK(Links!$Q$90,"open")</f>
        <v>open</v>
      </c>
      <c r="D8" s="8" t="str">
        <f aca="false">HYPERLINK(Links!$Q$91,"open")</f>
        <v>open</v>
      </c>
      <c r="E8" s="8" t="str">
        <f aca="false">HYPERLINK(Links!$Q$92,"open")</f>
        <v>open</v>
      </c>
      <c r="F8" s="8" t="str">
        <f aca="false">HYPERLINK(Links!$Q$93,"open")</f>
        <v>open</v>
      </c>
      <c r="G8" s="8" t="str">
        <f aca="false">HYPERLINK(Links!$Q$94,"open")</f>
        <v>open</v>
      </c>
      <c r="H8" s="8" t="str">
        <f aca="false">HYPERLINK(Links!$Q$95,"open")</f>
        <v>open</v>
      </c>
    </row>
    <row r="9" customFormat="false" ht="15" hidden="false" customHeight="false" outlineLevel="0" collapsed="false">
      <c r="A9" s="56" t="n">
        <v>1</v>
      </c>
      <c r="B9" s="5" t="s">
        <v>1567</v>
      </c>
      <c r="C9" s="8" t="str">
        <f aca="false">HYPERLINK(Links!$Q$96,"open")</f>
        <v>open</v>
      </c>
      <c r="D9" s="8" t="str">
        <f aca="false">HYPERLINK(Links!$Q$97,"open")</f>
        <v>open</v>
      </c>
      <c r="E9" s="8" t="str">
        <f aca="false">HYPERLINK(Links!$Q$98,"open")</f>
        <v>open</v>
      </c>
      <c r="F9" s="8" t="str">
        <f aca="false">HYPERLINK(Links!$Q$99,"open")</f>
        <v>open</v>
      </c>
      <c r="G9" s="8" t="str">
        <f aca="false">HYPERLINK(Links!$Q$100,"open")</f>
        <v>open</v>
      </c>
      <c r="H9" s="8" t="str">
        <f aca="false">HYPERLINK(Links!$Q$101,"open")</f>
        <v>open</v>
      </c>
    </row>
    <row r="10" customFormat="false" ht="15" hidden="false" customHeight="false" outlineLevel="0" collapsed="false">
      <c r="A10" s="56" t="n">
        <v>1</v>
      </c>
      <c r="B10" s="5" t="s">
        <v>1568</v>
      </c>
      <c r="C10" s="8" t="str">
        <f aca="false">HYPERLINK(Links!$Q$102,"open")</f>
        <v>open</v>
      </c>
      <c r="D10" s="8" t="str">
        <f aca="false">HYPERLINK(Links!$Q$103,"open")</f>
        <v>open</v>
      </c>
      <c r="E10" s="8" t="str">
        <f aca="false">HYPERLINK(Links!$Q$104,"open")</f>
        <v>open</v>
      </c>
      <c r="F10" s="8" t="str">
        <f aca="false">HYPERLINK(Links!$Q$105,"open")</f>
        <v>open</v>
      </c>
      <c r="G10" s="8" t="str">
        <f aca="false">HYPERLINK(Links!$Q$106,"open")</f>
        <v>open</v>
      </c>
      <c r="H10" s="8" t="str">
        <f aca="false">HYPERLINK(Links!$Q$107,"open")</f>
        <v>open</v>
      </c>
    </row>
    <row r="11" customFormat="false" ht="15" hidden="false" customHeight="false" outlineLevel="0" collapsed="false">
      <c r="A11" s="56" t="n">
        <v>1</v>
      </c>
      <c r="B11" s="5" t="s">
        <v>1569</v>
      </c>
      <c r="C11" s="8" t="str">
        <f aca="false">HYPERLINK(Links!$Q$108,"open")</f>
        <v>open</v>
      </c>
      <c r="D11" s="8" t="str">
        <f aca="false">HYPERLINK(Links!$Q$109,"open")</f>
        <v>open</v>
      </c>
      <c r="E11" s="8" t="str">
        <f aca="false">HYPERLINK(Links!$Q$110,"open")</f>
        <v>open</v>
      </c>
      <c r="F11" s="8" t="str">
        <f aca="false">HYPERLINK(Links!$Q$111,"open")</f>
        <v>open</v>
      </c>
      <c r="G11" s="8" t="str">
        <f aca="false">HYPERLINK(Links!$Q$112,"open")</f>
        <v>open</v>
      </c>
      <c r="H11" s="8" t="str">
        <f aca="false">HYPERLINK(Links!$Q$113,"open")</f>
        <v>open</v>
      </c>
    </row>
    <row r="12" customFormat="false" ht="15" hidden="false" customHeight="false" outlineLevel="0" collapsed="false">
      <c r="A12" s="56" t="n">
        <v>2</v>
      </c>
      <c r="B12" s="5" t="s">
        <v>1570</v>
      </c>
      <c r="C12" s="8" t="str">
        <f aca="false">HYPERLINK(Links!$Q$114,"open")</f>
        <v>open</v>
      </c>
      <c r="D12" s="8" t="str">
        <f aca="false">HYPERLINK(Links!$Q$115,"open")</f>
        <v>open</v>
      </c>
      <c r="E12" s="8" t="str">
        <f aca="false">HYPERLINK(Links!$Q$116,"open")</f>
        <v>open</v>
      </c>
      <c r="F12" s="8" t="str">
        <f aca="false">HYPERLINK(Links!$Q$117,"open")</f>
        <v>open</v>
      </c>
      <c r="G12" s="8" t="str">
        <f aca="false">HYPERLINK(Links!$Q$118,"open")</f>
        <v>open</v>
      </c>
      <c r="H12" s="8" t="str">
        <f aca="false">HYPERLINK(Links!$Q$119,"open")</f>
        <v>open</v>
      </c>
    </row>
    <row r="13" customFormat="false" ht="15" hidden="false" customHeight="false" outlineLevel="0" collapsed="false">
      <c r="A13" s="56" t="n">
        <v>2</v>
      </c>
      <c r="B13" s="5" t="s">
        <v>1571</v>
      </c>
      <c r="C13" s="8" t="str">
        <f aca="false">HYPERLINK(Links!$Q$120,"open")</f>
        <v>open</v>
      </c>
      <c r="D13" s="8" t="str">
        <f aca="false">HYPERLINK(Links!$Q$121,"open")</f>
        <v>open</v>
      </c>
      <c r="E13" s="8" t="str">
        <f aca="false">HYPERLINK(Links!$Q$122,"open")</f>
        <v>open</v>
      </c>
      <c r="F13" s="8" t="str">
        <f aca="false">HYPERLINK(Links!$Q$123,"open")</f>
        <v>open</v>
      </c>
      <c r="G13" s="8" t="str">
        <f aca="false">HYPERLINK(Links!$Q$124,"open")</f>
        <v>open</v>
      </c>
      <c r="H13" s="8" t="str">
        <f aca="false">HYPERLINK(Links!$Q$125,"open")</f>
        <v>open</v>
      </c>
    </row>
    <row r="14" customFormat="false" ht="15" hidden="false" customHeight="false" outlineLevel="0" collapsed="false">
      <c r="A14" s="56" t="n">
        <v>2</v>
      </c>
      <c r="B14" s="5" t="s">
        <v>1572</v>
      </c>
      <c r="C14" s="8" t="str">
        <f aca="false">HYPERLINK(Links!$Q$126,"open")</f>
        <v>open</v>
      </c>
      <c r="D14" s="8" t="str">
        <f aca="false">HYPERLINK(Links!$Q$127,"open")</f>
        <v>open</v>
      </c>
      <c r="E14" s="8" t="str">
        <f aca="false">HYPERLINK(Links!$Q$128,"open")</f>
        <v>open</v>
      </c>
      <c r="F14" s="8" t="str">
        <f aca="false">HYPERLINK(Links!$Q$129,"open")</f>
        <v>open</v>
      </c>
      <c r="G14" s="8" t="str">
        <f aca="false">HYPERLINK(Links!$Q$130,"open")</f>
        <v>open</v>
      </c>
      <c r="H14" s="8" t="str">
        <f aca="false">HYPERLINK(Links!$Q$131,"open")</f>
        <v>open</v>
      </c>
    </row>
    <row r="15" customFormat="false" ht="15" hidden="false" customHeight="false" outlineLevel="0" collapsed="false">
      <c r="A15" s="56" t="n">
        <v>2</v>
      </c>
      <c r="B15" s="5" t="s">
        <v>1573</v>
      </c>
      <c r="C15" s="8" t="str">
        <f aca="false">HYPERLINK(Links!$Q$132,"open")</f>
        <v>open</v>
      </c>
      <c r="D15" s="8" t="str">
        <f aca="false">HYPERLINK(Links!$Q$133,"open")</f>
        <v>open</v>
      </c>
      <c r="E15" s="8" t="str">
        <f aca="false">HYPERLINK(Links!$Q$134,"open")</f>
        <v>open</v>
      </c>
      <c r="F15" s="8" t="str">
        <f aca="false">HYPERLINK(Links!$Q$135,"open")</f>
        <v>open</v>
      </c>
      <c r="G15" s="8" t="str">
        <f aca="false">HYPERLINK(Links!$Q$136,"open")</f>
        <v>open</v>
      </c>
      <c r="H15" s="8" t="str">
        <f aca="false">HYPERLINK(Links!$Q$137,"open")</f>
        <v>open</v>
      </c>
    </row>
    <row r="16" customFormat="false" ht="15" hidden="false" customHeight="false" outlineLevel="0" collapsed="false">
      <c r="A16" s="56" t="n">
        <v>2</v>
      </c>
      <c r="B16" s="5" t="s">
        <v>1574</v>
      </c>
      <c r="C16" s="8" t="str">
        <f aca="false">HYPERLINK(Links!$Q$138,"open")</f>
        <v>open</v>
      </c>
      <c r="D16" s="8" t="str">
        <f aca="false">HYPERLINK(Links!$Q$139,"open")</f>
        <v>open</v>
      </c>
      <c r="E16" s="8" t="str">
        <f aca="false">HYPERLINK(Links!$Q$140,"open")</f>
        <v>open</v>
      </c>
      <c r="F16" s="8" t="str">
        <f aca="false">HYPERLINK(Links!$Q$141,"open")</f>
        <v>open</v>
      </c>
      <c r="G16" s="8" t="str">
        <f aca="false">HYPERLINK(Links!$Q$142,"open")</f>
        <v>open</v>
      </c>
      <c r="H16" s="8" t="str">
        <f aca="false">HYPERLINK(Links!$Q$143,"open")</f>
        <v>open</v>
      </c>
    </row>
    <row r="17" customFormat="false" ht="15" hidden="false" customHeight="false" outlineLevel="0" collapsed="false">
      <c r="A17" s="56" t="n">
        <v>2</v>
      </c>
      <c r="B17" s="5" t="s">
        <v>1575</v>
      </c>
      <c r="C17" s="8" t="str">
        <f aca="false">HYPERLINK(Links!$Q$144,"open")</f>
        <v>open</v>
      </c>
      <c r="D17" s="8" t="str">
        <f aca="false">HYPERLINK(Links!$Q$145,"open")</f>
        <v>open</v>
      </c>
      <c r="E17" s="7"/>
      <c r="F17" s="8" t="str">
        <f aca="false">HYPERLINK(Links!$Q$146,"open")</f>
        <v>open</v>
      </c>
      <c r="G17" s="7"/>
      <c r="H17" s="8" t="str">
        <f aca="false">HYPERLINK(Links!$Q$147,"open")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1576</v>
      </c>
    </row>
    <row r="2" customFormat="false" ht="23.85" hidden="false" customHeight="false" outlineLevel="0" collapsed="false">
      <c r="A2" s="69" t="s">
        <v>1577</v>
      </c>
    </row>
    <row r="3" customFormat="false" ht="15" hidden="false" customHeight="false" outlineLevel="0" collapsed="false">
      <c r="A3" s="69"/>
    </row>
    <row r="4" customFormat="false" ht="15" hidden="false" customHeight="false" outlineLevel="0" collapsed="false">
      <c r="A4" s="68" t="s">
        <v>1578</v>
      </c>
    </row>
    <row r="5" customFormat="false" ht="23.85" hidden="false" customHeight="false" outlineLevel="0" collapsed="false">
      <c r="A5" s="69" t="s">
        <v>1579</v>
      </c>
    </row>
    <row r="6" customFormat="false" ht="35.05" hidden="false" customHeight="false" outlineLevel="0" collapsed="false">
      <c r="A6" s="69" t="s">
        <v>1580</v>
      </c>
    </row>
    <row r="7" customFormat="false" ht="23.85" hidden="false" customHeight="false" outlineLevel="0" collapsed="false">
      <c r="A7" s="69" t="s">
        <v>1581</v>
      </c>
    </row>
    <row r="8" customFormat="false" ht="15" hidden="false" customHeight="false" outlineLevel="0" collapsed="false">
      <c r="A8" s="69" t="s">
        <v>1582</v>
      </c>
    </row>
    <row r="9" customFormat="false" ht="15" hidden="false" customHeight="false" outlineLevel="0" collapsed="false">
      <c r="A9" s="69" t="s">
        <v>1583</v>
      </c>
    </row>
    <row r="10" customFormat="false" ht="15" hidden="false" customHeight="false" outlineLevel="0" collapsed="false">
      <c r="A10" s="69" t="s">
        <v>1584</v>
      </c>
    </row>
    <row r="11" customFormat="false" ht="15" hidden="false" customHeight="false" outlineLevel="0" collapsed="false">
      <c r="A11" s="69" t="s">
        <v>1585</v>
      </c>
    </row>
    <row r="12" customFormat="false" ht="15" hidden="false" customHeight="false" outlineLevel="0" collapsed="false">
      <c r="A12" s="69" t="s">
        <v>1586</v>
      </c>
    </row>
    <row r="13" customFormat="false" ht="15" hidden="false" customHeight="false" outlineLevel="0" collapsed="false">
      <c r="A13" s="69" t="s">
        <v>1587</v>
      </c>
    </row>
    <row r="14" customFormat="false" ht="15" hidden="false" customHeight="false" outlineLevel="0" collapsed="false">
      <c r="A14" s="69"/>
    </row>
    <row r="15" customFormat="false" ht="15" hidden="false" customHeight="false" outlineLevel="0" collapsed="false">
      <c r="A15" s="68" t="s">
        <v>1588</v>
      </c>
    </row>
    <row r="16" customFormat="false" ht="57.45" hidden="false" customHeight="false" outlineLevel="0" collapsed="false">
      <c r="A16" s="69" t="s">
        <v>1589</v>
      </c>
    </row>
    <row r="17" customFormat="false" ht="23.85" hidden="false" customHeight="false" outlineLevel="0" collapsed="false">
      <c r="A17" s="69" t="s">
        <v>1590</v>
      </c>
    </row>
    <row r="18" customFormat="false" ht="23.85" hidden="false" customHeight="false" outlineLevel="0" collapsed="false">
      <c r="A18" s="69" t="s">
        <v>1591</v>
      </c>
    </row>
    <row r="19" customFormat="false" ht="23.85" hidden="false" customHeight="false" outlineLevel="0" collapsed="false">
      <c r="A19" s="69" t="s">
        <v>1592</v>
      </c>
    </row>
    <row r="20" customFormat="false" ht="15" hidden="false" customHeight="false" outlineLevel="0" collapsed="false">
      <c r="A20" s="69" t="s">
        <v>1593</v>
      </c>
    </row>
    <row r="21" customFormat="false" ht="46.25" hidden="false" customHeight="false" outlineLevel="0" collapsed="false">
      <c r="A21" s="69" t="s">
        <v>1594</v>
      </c>
    </row>
    <row r="22" customFormat="false" ht="23.85" hidden="false" customHeight="false" outlineLevel="0" collapsed="false">
      <c r="A22" s="69" t="s">
        <v>1595</v>
      </c>
    </row>
    <row r="23" customFormat="false" ht="23.85" hidden="false" customHeight="false" outlineLevel="0" collapsed="false">
      <c r="A23" s="69" t="s">
        <v>1596</v>
      </c>
    </row>
    <row r="24" customFormat="false" ht="15" hidden="false" customHeight="false" outlineLevel="0" collapsed="false">
      <c r="A24" s="69"/>
    </row>
    <row r="25" customFormat="false" ht="15" hidden="false" customHeight="false" outlineLevel="0" collapsed="false">
      <c r="A25" s="68" t="s">
        <v>1597</v>
      </c>
    </row>
    <row r="26" customFormat="false" ht="46.25" hidden="false" customHeight="false" outlineLevel="0" collapsed="false">
      <c r="A26" s="69" t="s">
        <v>1598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24</v>
      </c>
      <c r="B1" s="70" t="s">
        <v>11</v>
      </c>
      <c r="C1" s="70" t="s">
        <v>12</v>
      </c>
      <c r="D1" s="70" t="s">
        <v>13</v>
      </c>
      <c r="E1" s="70" t="s">
        <v>14</v>
      </c>
      <c r="F1" s="70" t="s">
        <v>15</v>
      </c>
      <c r="G1" s="70" t="s">
        <v>16</v>
      </c>
      <c r="H1" s="70" t="s">
        <v>17</v>
      </c>
      <c r="I1" s="70" t="s">
        <v>18</v>
      </c>
      <c r="J1" s="70" t="s">
        <v>19</v>
      </c>
      <c r="K1" s="70" t="s">
        <v>20</v>
      </c>
      <c r="L1" s="70" t="s">
        <v>21</v>
      </c>
      <c r="M1" s="70" t="s">
        <v>22</v>
      </c>
      <c r="N1" s="70"/>
      <c r="O1" s="70" t="s">
        <v>1599</v>
      </c>
      <c r="P1" s="70" t="s">
        <v>1600</v>
      </c>
      <c r="Q1" s="70" t="s">
        <v>1601</v>
      </c>
    </row>
    <row r="2" customFormat="false" ht="15" hidden="false" customHeight="false" outlineLevel="0" collapsed="false">
      <c r="A2" s="71" t="n">
        <v>46288</v>
      </c>
      <c r="B2" s="70"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70"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70"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70"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70"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70"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70"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70"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70"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70"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70" t="s">
        <v>1602</v>
      </c>
      <c r="N2" s="70"/>
      <c r="O2" s="70" t="s">
        <v>1603</v>
      </c>
      <c r="P2" s="70" t="s">
        <v>1604</v>
      </c>
      <c r="Q2"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1" t="n">
        <v>46289</v>
      </c>
      <c r="B3" s="70"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70"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70"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70"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70"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70"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70"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70"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70"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70"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70" t="s">
        <v>1605</v>
      </c>
      <c r="N3" s="70"/>
      <c r="O3" s="70" t="s">
        <v>1606</v>
      </c>
      <c r="P3" s="70" t="s">
        <v>1604</v>
      </c>
      <c r="Q3"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1" t="n">
        <v>46290</v>
      </c>
      <c r="B4" s="70" t="str">
        <f aca="false">IFERROR("https://drive.google.com/file/d/"&amp;VLOOKUP("kc90423d940c0",Drive!$A:$B,2,0)&amp;"/view","https://drive.google.com/drive/search?q=title:%22A7%203.03%20Exponential%20Expressions%20-%20Slides.pdf%22")</f>
        <v>https://drive.google.com/drive/search?q=title:%22A7%203.03%20Exponential%20Expressions%20-%20Slides.pdf%22</v>
      </c>
      <c r="C4" s="70" t="str">
        <f aca="false">IFERROR("https://drive.google.com/file/d/"&amp;VLOOKUP("k4eea9ff73989",Drive!$A:$B,2,0)&amp;"/view","https://drive.google.com/drive/search?q=title:%22A7%203.03%20Exponential%20Expressions%20-%20Slides.pptx%22")</f>
        <v>https://drive.google.com/drive/search?q=title:%22A7%203.03%20Exponential%20Expressions%20-%20Slides.pptx%22</v>
      </c>
      <c r="D4" s="70"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70"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70"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70"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70"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70"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70"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70"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70" t="s">
        <v>1607</v>
      </c>
      <c r="N4" s="70"/>
      <c r="O4" s="70" t="s">
        <v>1608</v>
      </c>
      <c r="P4" s="70" t="s">
        <v>1604</v>
      </c>
      <c r="Q4"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1" t="n">
        <v>46293</v>
      </c>
      <c r="B5" s="70" t="str">
        <f aca="false">IFERROR("https://drive.google.com/file/d/"&amp;VLOOKUP("k6a4a44fa7229",Drive!$A:$B,2,0)&amp;"/view","https://drive.google.com/drive/search?q=title:%22A7%203.04%20Negative%20Exponent%20Law%20-%20Slides.pdf%22")</f>
        <v>https://drive.google.com/drive/search?q=title:%22A7%203.04%20Negative%20Exponent%20Law%20-%20Slides.pdf%22</v>
      </c>
      <c r="C5" s="70" t="str">
        <f aca="false">IFERROR("https://drive.google.com/file/d/"&amp;VLOOKUP("k33620394314f",Drive!$A:$B,2,0)&amp;"/view","https://drive.google.com/drive/search?q=title:%22A7%203.04%20Negative%20Exponent%20Law%20-%20Slides.pptx%22")</f>
        <v>https://drive.google.com/drive/search?q=title:%22A7%203.04%20Negative%20Exponent%20Law%20-%20Slides.pptx%22</v>
      </c>
      <c r="D5" s="70"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70"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70"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70"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70"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70"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70"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70"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70" t="s">
        <v>1609</v>
      </c>
      <c r="N5" s="70"/>
      <c r="O5" s="70" t="s">
        <v>1610</v>
      </c>
      <c r="P5" s="70" t="s">
        <v>1604</v>
      </c>
      <c r="Q5"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1" t="n">
        <v>46294</v>
      </c>
      <c r="B6" s="70" t="str">
        <f aca="false">IFERROR("https://drive.google.com/file/d/"&amp;VLOOKUP("k7490a741d736",Drive!$A:$B,2,0)&amp;"/view","https://drive.google.com/drive/search?q=title:%22A7%203.05%20Applying%20Exponent%20Laws%20-%20Slides.pdf%22")</f>
        <v>https://drive.google.com/drive/search?q=title:%22A7%203.05%20Applying%20Exponent%20Laws%20-%20Slides.pdf%22</v>
      </c>
      <c r="C6" s="70" t="str">
        <f aca="false">IFERROR("https://drive.google.com/file/d/"&amp;VLOOKUP("kdb2d4c07cbe6",Drive!$A:$B,2,0)&amp;"/view","https://drive.google.com/drive/search?q=title:%22A7%203.05%20Applying%20Exponent%20Laws%20-%20Slides.pptx%22")</f>
        <v>https://drive.google.com/drive/search?q=title:%22A7%203.05%20Applying%20Exponent%20Laws%20-%20Slides.pptx%22</v>
      </c>
      <c r="D6" s="70"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70"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70"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70"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70"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70"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70"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70"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70" t="s">
        <v>1611</v>
      </c>
      <c r="N6" s="70"/>
      <c r="O6" s="70" t="s">
        <v>1612</v>
      </c>
      <c r="P6" s="70" t="s">
        <v>1604</v>
      </c>
      <c r="Q6"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1" t="n">
        <v>46295</v>
      </c>
      <c r="B7" s="70"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70"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70"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70"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70"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70"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70"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70"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70"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70"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70" t="s">
        <v>1613</v>
      </c>
      <c r="N7" s="70"/>
      <c r="O7" s="70" t="s">
        <v>1614</v>
      </c>
      <c r="P7" s="70" t="s">
        <v>1604</v>
      </c>
      <c r="Q7"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1" t="n">
        <v>46296</v>
      </c>
      <c r="B8" s="70"/>
      <c r="C8" s="70"/>
      <c r="D8" s="70"/>
      <c r="E8" s="70"/>
      <c r="F8" s="70"/>
      <c r="G8" s="70"/>
      <c r="H8" s="70"/>
      <c r="I8" s="70"/>
      <c r="J8" s="70"/>
      <c r="K8" s="70"/>
      <c r="L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70"/>
      <c r="N8" s="70"/>
      <c r="O8" s="70" t="s">
        <v>1615</v>
      </c>
      <c r="P8" s="70" t="s">
        <v>1604</v>
      </c>
      <c r="Q8"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1" t="n">
        <v>46297</v>
      </c>
      <c r="B9" s="70"/>
      <c r="C9" s="70"/>
      <c r="D9" s="70"/>
      <c r="E9" s="70"/>
      <c r="F9" s="70"/>
      <c r="G9" s="70"/>
      <c r="H9" s="70"/>
      <c r="I9" s="70"/>
      <c r="J9" s="70"/>
      <c r="K9" s="70"/>
      <c r="L9"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70"/>
      <c r="N9" s="70"/>
      <c r="O9" s="70" t="s">
        <v>1616</v>
      </c>
      <c r="P9" s="70" t="s">
        <v>1604</v>
      </c>
      <c r="Q9"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1" t="n">
        <v>46300</v>
      </c>
      <c r="B10" s="70"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70"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70"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70"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70"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70"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70"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70"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70"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70"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70" t="s">
        <v>1617</v>
      </c>
      <c r="N10" s="70"/>
      <c r="O10" s="70" t="s">
        <v>1618</v>
      </c>
      <c r="P10" s="70" t="s">
        <v>1604</v>
      </c>
      <c r="Q10"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1" t="n">
        <v>46301</v>
      </c>
      <c r="B11" s="70"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70"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70"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70"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70"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70"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70"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70"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70"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70"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70" t="s">
        <v>1619</v>
      </c>
      <c r="N11" s="70"/>
      <c r="O11" s="70" t="s">
        <v>1620</v>
      </c>
      <c r="P11" s="70" t="s">
        <v>1604</v>
      </c>
      <c r="Q11"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1" t="n">
        <v>46302</v>
      </c>
      <c r="B12" s="70"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70"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70"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70"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70"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70"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70"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70"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70"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70"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70" t="s">
        <v>1621</v>
      </c>
      <c r="N12" s="70"/>
      <c r="O12" s="70" t="s">
        <v>1622</v>
      </c>
      <c r="P12" s="70" t="s">
        <v>1604</v>
      </c>
      <c r="Q12"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1" t="n">
        <v>46303</v>
      </c>
      <c r="B13" s="70"/>
      <c r="C13" s="70"/>
      <c r="D13" s="70"/>
      <c r="E13" s="70"/>
      <c r="F13" s="70"/>
      <c r="G13" s="70"/>
      <c r="H13" s="70"/>
      <c r="I13" s="70"/>
      <c r="J13" s="70"/>
      <c r="K13" s="70"/>
      <c r="L13"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70"/>
      <c r="N13" s="70"/>
      <c r="O13" s="70" t="s">
        <v>1623</v>
      </c>
      <c r="P13" s="70" t="s">
        <v>1604</v>
      </c>
      <c r="Q13"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1" t="n">
        <v>46304</v>
      </c>
      <c r="B14" s="70"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70"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70"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70"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70"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70"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70"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70"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70"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70"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70" t="s">
        <v>1624</v>
      </c>
      <c r="N14" s="70"/>
      <c r="O14" s="70" t="s">
        <v>1625</v>
      </c>
      <c r="P14" s="70" t="s">
        <v>1604</v>
      </c>
      <c r="Q14"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1" t="n">
        <v>46308</v>
      </c>
      <c r="B15"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70"/>
      <c r="D15" s="70"/>
      <c r="E15" s="70"/>
      <c r="F15" s="70"/>
      <c r="G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70"/>
      <c r="I15" s="70"/>
      <c r="J15" s="70"/>
      <c r="K15" s="70"/>
      <c r="L15"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70"/>
      <c r="N15" s="70"/>
      <c r="O15" s="70" t="s">
        <v>1626</v>
      </c>
      <c r="P15" s="70" t="s">
        <v>1604</v>
      </c>
      <c r="Q15"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1" t="n">
        <v>46309</v>
      </c>
      <c r="B16"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70"/>
      <c r="D16" s="70"/>
      <c r="E16" s="70"/>
      <c r="F16" s="70"/>
      <c r="G16"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70"/>
      <c r="I16" s="70"/>
      <c r="J16" s="70"/>
      <c r="K16" s="70"/>
      <c r="L16"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70"/>
      <c r="N16" s="70"/>
      <c r="O16" s="70" t="s">
        <v>1627</v>
      </c>
      <c r="P16" s="70" t="s">
        <v>1604</v>
      </c>
      <c r="Q16"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1" t="n">
        <v>46310</v>
      </c>
      <c r="B17"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70"/>
      <c r="D17" s="70"/>
      <c r="E17" s="70"/>
      <c r="F17" s="70"/>
      <c r="G17"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70"/>
      <c r="I17" s="70"/>
      <c r="J17" s="70"/>
      <c r="K17" s="70"/>
      <c r="L17"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70"/>
      <c r="N17" s="70"/>
      <c r="O17" s="70" t="s">
        <v>1628</v>
      </c>
      <c r="P17" s="70" t="s">
        <v>1604</v>
      </c>
      <c r="Q1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18" customFormat="false" ht="15" hidden="false" customHeight="false" outlineLevel="0" collapsed="false">
      <c r="A18" s="71" t="n">
        <v>46311</v>
      </c>
      <c r="B18"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8" s="70"/>
      <c r="D18" s="70"/>
      <c r="E18" s="70"/>
      <c r="F18" s="70"/>
      <c r="G18"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8" s="70"/>
      <c r="I18" s="70"/>
      <c r="J18" s="70"/>
      <c r="K18" s="70"/>
      <c r="L1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8" s="70"/>
      <c r="N18" s="70"/>
      <c r="O18" s="70" t="s">
        <v>1629</v>
      </c>
      <c r="P18" s="70" t="s">
        <v>1604</v>
      </c>
      <c r="Q1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19" customFormat="false" ht="15" hidden="false" customHeight="false" outlineLevel="0" collapsed="false">
      <c r="A19" s="71" t="n">
        <v>46314</v>
      </c>
      <c r="B19" s="70"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9" s="70"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9" s="70"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9" s="70"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9" s="70"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9" s="70"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9" s="70"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9" s="70"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9" s="70"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9" s="70"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9"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70" t="s">
        <v>1630</v>
      </c>
      <c r="N19" s="70"/>
      <c r="O19" s="70" t="s">
        <v>1631</v>
      </c>
      <c r="P19" s="70" t="s">
        <v>1604</v>
      </c>
      <c r="Q1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1" t="n">
        <v>46315</v>
      </c>
      <c r="B20" s="70"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20" s="70"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20" s="70"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20" s="70"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20" s="70"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20" s="70"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20" s="70"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20" s="70"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20" s="70"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20" s="70"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20"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70" t="s">
        <v>1632</v>
      </c>
      <c r="N20" s="70"/>
      <c r="O20" s="70" t="s">
        <v>1633</v>
      </c>
      <c r="P20" s="70" t="s">
        <v>1604</v>
      </c>
      <c r="Q2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1" t="n">
        <v>46316</v>
      </c>
      <c r="B21" s="70"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1" s="70"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1" s="70"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1" s="70"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1" s="70"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1" s="70"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1" s="70"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1" s="70"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1" s="70"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1" s="70"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1"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70" t="s">
        <v>1634</v>
      </c>
      <c r="N21" s="70"/>
      <c r="O21" s="70" t="s">
        <v>1635</v>
      </c>
      <c r="P21" s="70" t="s">
        <v>1604</v>
      </c>
      <c r="Q21"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1" t="n">
        <v>46317</v>
      </c>
      <c r="B22" s="70"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2" s="70"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2" s="70"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2" s="70"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2" s="70"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2" s="70"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2" s="70"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2" s="70"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2" s="70"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2" s="70"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2"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70" t="s">
        <v>1636</v>
      </c>
      <c r="N22" s="70"/>
      <c r="O22" s="70" t="s">
        <v>1637</v>
      </c>
      <c r="P22" s="70" t="s">
        <v>1638</v>
      </c>
      <c r="Q22" s="70"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3" customFormat="false" ht="15" hidden="false" customHeight="false" outlineLevel="0" collapsed="false">
      <c r="A23" s="71" t="n">
        <v>46318</v>
      </c>
      <c r="B23" s="70"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3" s="70"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3" s="70"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3" s="70"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3" s="70"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3" s="70"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3" s="70"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3" s="70"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3" s="70"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3" s="70"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3"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70" t="s">
        <v>1639</v>
      </c>
      <c r="N23" s="70"/>
      <c r="O23" s="70" t="s">
        <v>1640</v>
      </c>
      <c r="P23" s="70" t="s">
        <v>1604</v>
      </c>
      <c r="Q23" s="70"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4" customFormat="false" ht="15" hidden="false" customHeight="false" outlineLevel="0" collapsed="false">
      <c r="A24" s="71" t="n">
        <v>46321</v>
      </c>
      <c r="B24" s="70"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4" s="70"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4" s="70"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4" s="70"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4" s="70"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4" s="70"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4" s="70"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4" s="70"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4" s="70"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4" s="70"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4"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70" t="s">
        <v>1641</v>
      </c>
      <c r="N24" s="70"/>
      <c r="O24" s="70" t="s">
        <v>1642</v>
      </c>
      <c r="P24" s="70" t="s">
        <v>1604</v>
      </c>
      <c r="Q24" s="70"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25" customFormat="false" ht="15" hidden="false" customHeight="false" outlineLevel="0" collapsed="false">
      <c r="A25" s="71" t="n">
        <v>46322</v>
      </c>
      <c r="B25"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5" s="70"/>
      <c r="D25" s="70"/>
      <c r="E25" s="70"/>
      <c r="F25" s="70"/>
      <c r="G25"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5" s="70"/>
      <c r="I25" s="70"/>
      <c r="J25" s="70"/>
      <c r="K25" s="70"/>
      <c r="L25"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5" s="70"/>
      <c r="N25" s="70"/>
      <c r="O25" s="70" t="s">
        <v>1643</v>
      </c>
      <c r="P25" s="70" t="s">
        <v>1604</v>
      </c>
      <c r="Q25" s="70"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26" customFormat="false" ht="15" hidden="false" customHeight="false" outlineLevel="0" collapsed="false">
      <c r="A26" s="71" t="n">
        <v>46323</v>
      </c>
      <c r="B26"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c r="C26" s="70"/>
      <c r="D26" s="70"/>
      <c r="E26" s="70"/>
      <c r="F26" s="70"/>
      <c r="G26"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c r="H26" s="70"/>
      <c r="I26" s="70"/>
      <c r="J26" s="70"/>
      <c r="K26" s="70"/>
      <c r="L2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6" s="70"/>
      <c r="N26" s="70"/>
      <c r="O26" s="70" t="s">
        <v>1644</v>
      </c>
      <c r="P26" s="70" t="s">
        <v>1604</v>
      </c>
      <c r="Q26" s="70"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27" customFormat="false" ht="15" hidden="false" customHeight="false" outlineLevel="0" collapsed="false">
      <c r="A27" s="71" t="n">
        <v>46324</v>
      </c>
      <c r="B27"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7" s="70"/>
      <c r="D27" s="70"/>
      <c r="E27" s="70"/>
      <c r="F27" s="70"/>
      <c r="G27"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7" s="70"/>
      <c r="I27" s="70"/>
      <c r="J27" s="70"/>
      <c r="K27" s="70"/>
      <c r="L27"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7" s="70"/>
      <c r="N27" s="70"/>
      <c r="O27" s="70" t="s">
        <v>1645</v>
      </c>
      <c r="P27" s="70" t="s">
        <v>1604</v>
      </c>
      <c r="Q27" s="70"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28" customFormat="false" ht="15" hidden="false" customHeight="false" outlineLevel="0" collapsed="false">
      <c r="A28" s="71" t="n">
        <v>46325</v>
      </c>
      <c r="B28"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c r="C28" s="70"/>
      <c r="D28" s="70"/>
      <c r="E28" s="70"/>
      <c r="F28" s="70"/>
      <c r="G28"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c r="H28" s="70"/>
      <c r="I28" s="70"/>
      <c r="J28" s="70"/>
      <c r="K28" s="70"/>
      <c r="L28"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8" s="70"/>
      <c r="N28" s="70"/>
      <c r="O28" s="70" t="s">
        <v>1646</v>
      </c>
      <c r="P28" s="70" t="s">
        <v>1604</v>
      </c>
      <c r="Q28" s="70"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29" customFormat="false" ht="15" hidden="false" customHeight="false" outlineLevel="0" collapsed="false">
      <c r="A29" s="71" t="n">
        <v>46328</v>
      </c>
      <c r="B29" s="70"/>
      <c r="C29" s="70"/>
      <c r="D29" s="70"/>
      <c r="E29" s="70"/>
      <c r="F29" s="70"/>
      <c r="G29" s="70"/>
      <c r="H29" s="70"/>
      <c r="I29" s="70"/>
      <c r="J29" s="70"/>
      <c r="K29" s="70"/>
      <c r="L29" s="70"/>
      <c r="M29" s="70" t="s">
        <v>1647</v>
      </c>
      <c r="N29" s="70"/>
      <c r="O29" s="70" t="s">
        <v>1648</v>
      </c>
      <c r="P29" s="70" t="s">
        <v>1638</v>
      </c>
      <c r="Q29" s="70"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0" customFormat="false" ht="15" hidden="false" customHeight="false" outlineLevel="0" collapsed="false">
      <c r="A30" s="71" t="n">
        <v>46329</v>
      </c>
      <c r="B30" s="70"/>
      <c r="C30" s="70"/>
      <c r="D30" s="70"/>
      <c r="E30" s="70"/>
      <c r="F30" s="70"/>
      <c r="G30" s="70"/>
      <c r="H30" s="70"/>
      <c r="I30" s="70"/>
      <c r="J30" s="70"/>
      <c r="K30" s="70"/>
      <c r="L30" s="70"/>
      <c r="M30" s="70" t="s">
        <v>1649</v>
      </c>
      <c r="N30" s="70"/>
      <c r="O30" s="70" t="s">
        <v>1650</v>
      </c>
      <c r="P30" s="70" t="s">
        <v>1638</v>
      </c>
      <c r="Q30" s="70"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1" customFormat="false" ht="15" hidden="false" customHeight="false" outlineLevel="0" collapsed="false">
      <c r="A31" s="71" t="n">
        <v>46330</v>
      </c>
      <c r="B31" s="70"/>
      <c r="C31" s="70"/>
      <c r="D31" s="70"/>
      <c r="E31" s="70"/>
      <c r="F31" s="70"/>
      <c r="G31" s="70"/>
      <c r="H31" s="70"/>
      <c r="I31" s="70"/>
      <c r="J31" s="70"/>
      <c r="K31" s="70"/>
      <c r="L31" s="70"/>
      <c r="M31" s="70" t="s">
        <v>1651</v>
      </c>
      <c r="N31" s="70"/>
      <c r="O31" s="70" t="s">
        <v>1652</v>
      </c>
      <c r="P31" s="70" t="s">
        <v>1604</v>
      </c>
      <c r="Q31" s="70"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2" customFormat="false" ht="15" hidden="false" customHeight="false" outlineLevel="0" collapsed="false">
      <c r="A32" s="71" t="n">
        <v>46331</v>
      </c>
      <c r="B32" s="70"/>
      <c r="C32" s="70"/>
      <c r="D32" s="70"/>
      <c r="E32" s="70"/>
      <c r="F32" s="70"/>
      <c r="G32" s="70"/>
      <c r="H32" s="70"/>
      <c r="I32" s="70"/>
      <c r="J32" s="70"/>
      <c r="K32" s="70"/>
      <c r="L32" s="70"/>
      <c r="M32" s="70" t="s">
        <v>1653</v>
      </c>
      <c r="N32" s="70"/>
      <c r="O32" s="70" t="s">
        <v>1654</v>
      </c>
      <c r="P32" s="70" t="s">
        <v>1604</v>
      </c>
      <c r="Q32" s="70"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3" customFormat="false" ht="15" hidden="false" customHeight="false" outlineLevel="0" collapsed="false">
      <c r="A33" s="71" t="n">
        <v>46332</v>
      </c>
      <c r="B33" s="70"/>
      <c r="C33" s="70"/>
      <c r="D33" s="70"/>
      <c r="E33" s="70"/>
      <c r="F33" s="70"/>
      <c r="G33" s="70"/>
      <c r="H33" s="70"/>
      <c r="I33" s="70"/>
      <c r="J33" s="70"/>
      <c r="K33" s="70"/>
      <c r="L33" s="70"/>
      <c r="M33" s="70" t="s">
        <v>1655</v>
      </c>
      <c r="N33" s="70"/>
      <c r="O33" s="70" t="s">
        <v>1656</v>
      </c>
      <c r="P33" s="70" t="s">
        <v>1604</v>
      </c>
      <c r="Q33" s="70"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4" customFormat="false" ht="15" hidden="false" customHeight="false" outlineLevel="0" collapsed="false">
      <c r="A34" s="71" t="n">
        <v>46335</v>
      </c>
      <c r="B34" s="70"/>
      <c r="C34" s="70"/>
      <c r="D34" s="70"/>
      <c r="E34" s="70"/>
      <c r="F34" s="70"/>
      <c r="G34" s="70"/>
      <c r="H34" s="70"/>
      <c r="I34" s="70"/>
      <c r="J34" s="70"/>
      <c r="K34" s="70"/>
      <c r="L34" s="70"/>
      <c r="M34" s="70" t="s">
        <v>1657</v>
      </c>
      <c r="N34" s="70"/>
      <c r="O34" s="70" t="s">
        <v>1658</v>
      </c>
      <c r="P34" s="70" t="s">
        <v>1604</v>
      </c>
      <c r="Q34" s="70"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35" customFormat="false" ht="15" hidden="false" customHeight="false" outlineLevel="0" collapsed="false">
      <c r="A35" s="71" t="n">
        <v>46336</v>
      </c>
      <c r="B35" s="70"/>
      <c r="C35" s="70"/>
      <c r="D35" s="70"/>
      <c r="E35" s="70"/>
      <c r="F35" s="70"/>
      <c r="G35" s="70"/>
      <c r="H35" s="70"/>
      <c r="I35" s="70"/>
      <c r="J35" s="70"/>
      <c r="K35" s="70"/>
      <c r="L35" s="70"/>
      <c r="M35" s="70"/>
      <c r="N35" s="70"/>
      <c r="O35" s="70" t="s">
        <v>1659</v>
      </c>
      <c r="P35" s="70" t="s">
        <v>1604</v>
      </c>
      <c r="Q35" s="70"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36" customFormat="false" ht="15" hidden="false" customHeight="false" outlineLevel="0" collapsed="false">
      <c r="A36" s="71" t="n">
        <v>46338</v>
      </c>
      <c r="B36" s="70"/>
      <c r="C36" s="70"/>
      <c r="D36" s="70"/>
      <c r="E36" s="70"/>
      <c r="F36" s="70"/>
      <c r="G36" s="70"/>
      <c r="H36" s="70"/>
      <c r="I36" s="70"/>
      <c r="J36" s="70"/>
      <c r="K36" s="70"/>
      <c r="L36" s="70"/>
      <c r="M36" s="70"/>
      <c r="N36" s="70"/>
      <c r="O36" s="70" t="s">
        <v>1660</v>
      </c>
      <c r="P36" s="70" t="s">
        <v>1604</v>
      </c>
      <c r="Q36" s="70"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37" customFormat="false" ht="15" hidden="false" customHeight="false" outlineLevel="0" collapsed="false">
      <c r="A37" s="71" t="n">
        <v>46339</v>
      </c>
      <c r="B37" s="70"/>
      <c r="C37" s="70"/>
      <c r="D37" s="70"/>
      <c r="E37" s="70"/>
      <c r="F37" s="70"/>
      <c r="G37" s="70"/>
      <c r="H37" s="70"/>
      <c r="I37" s="70"/>
      <c r="J37" s="70"/>
      <c r="K37" s="70"/>
      <c r="L37" s="70"/>
      <c r="M37" s="70"/>
      <c r="N37" s="70"/>
      <c r="O37" s="70" t="s">
        <v>1661</v>
      </c>
      <c r="P37" s="70" t="s">
        <v>1638</v>
      </c>
      <c r="Q37" s="70"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38" customFormat="false" ht="15" hidden="false" customHeight="false" outlineLevel="0" collapsed="false">
      <c r="A38" s="71" t="n">
        <v>46342</v>
      </c>
      <c r="B38" s="70"/>
      <c r="C38" s="70"/>
      <c r="D38" s="70"/>
      <c r="E38" s="70"/>
      <c r="F38" s="70"/>
      <c r="G38" s="70"/>
      <c r="H38" s="70"/>
      <c r="I38" s="70"/>
      <c r="J38" s="70"/>
      <c r="K38" s="70"/>
      <c r="L38" s="70"/>
      <c r="M38" s="70" t="s">
        <v>1662</v>
      </c>
      <c r="N38" s="70"/>
      <c r="O38" s="70" t="s">
        <v>1663</v>
      </c>
      <c r="P38" s="70" t="s">
        <v>1638</v>
      </c>
      <c r="Q38" s="70"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39" customFormat="false" ht="15" hidden="false" customHeight="false" outlineLevel="0" collapsed="false">
      <c r="A39" s="71" t="n">
        <v>46343</v>
      </c>
      <c r="B39" s="70"/>
      <c r="C39" s="70"/>
      <c r="D39" s="70"/>
      <c r="E39" s="70"/>
      <c r="F39" s="70"/>
      <c r="G39" s="70"/>
      <c r="H39" s="70"/>
      <c r="I39" s="70"/>
      <c r="J39" s="70"/>
      <c r="K39" s="70"/>
      <c r="L39" s="70"/>
      <c r="M39" s="70" t="s">
        <v>1664</v>
      </c>
      <c r="N39" s="70"/>
      <c r="O39" s="70" t="s">
        <v>1665</v>
      </c>
      <c r="P39" s="70" t="s">
        <v>1604</v>
      </c>
      <c r="Q39" s="70"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0" customFormat="false" ht="15" hidden="false" customHeight="false" outlineLevel="0" collapsed="false">
      <c r="A40" s="71" t="n">
        <v>46344</v>
      </c>
      <c r="B40" s="70"/>
      <c r="C40" s="70"/>
      <c r="D40" s="70"/>
      <c r="E40" s="70"/>
      <c r="F40" s="70"/>
      <c r="G40" s="70"/>
      <c r="H40" s="70"/>
      <c r="I40" s="70"/>
      <c r="J40" s="70"/>
      <c r="K40" s="70"/>
      <c r="L40" s="70"/>
      <c r="M40" s="70" t="s">
        <v>1666</v>
      </c>
      <c r="N40" s="70"/>
      <c r="O40" s="70" t="s">
        <v>1667</v>
      </c>
      <c r="P40" s="70" t="s">
        <v>1604</v>
      </c>
      <c r="Q40" s="70"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1" customFormat="false" ht="15" hidden="false" customHeight="false" outlineLevel="0" collapsed="false">
      <c r="A41" s="71" t="n">
        <v>46345</v>
      </c>
      <c r="B41" s="70"/>
      <c r="C41" s="70"/>
      <c r="D41" s="70"/>
      <c r="E41" s="70"/>
      <c r="F41" s="70"/>
      <c r="G41" s="70"/>
      <c r="H41" s="70"/>
      <c r="I41" s="70"/>
      <c r="J41" s="70"/>
      <c r="K41" s="70"/>
      <c r="L41" s="70"/>
      <c r="M41" s="70" t="s">
        <v>1668</v>
      </c>
      <c r="N41" s="70"/>
      <c r="O41" s="70" t="s">
        <v>1669</v>
      </c>
      <c r="P41" s="70" t="s">
        <v>1604</v>
      </c>
      <c r="Q41" s="70"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2" customFormat="false" ht="15" hidden="false" customHeight="false" outlineLevel="0" collapsed="false">
      <c r="A42" s="71" t="n">
        <v>46346</v>
      </c>
      <c r="B42" s="70"/>
      <c r="C42" s="70"/>
      <c r="D42" s="70"/>
      <c r="E42" s="70"/>
      <c r="F42" s="70"/>
      <c r="G42" s="70"/>
      <c r="H42" s="70"/>
      <c r="I42" s="70"/>
      <c r="J42" s="70"/>
      <c r="K42" s="70"/>
      <c r="L42" s="70"/>
      <c r="M42" s="70" t="s">
        <v>1670</v>
      </c>
      <c r="N42" s="70"/>
      <c r="O42" s="70" t="s">
        <v>1671</v>
      </c>
      <c r="P42" s="70" t="s">
        <v>1604</v>
      </c>
      <c r="Q42" s="70"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3" customFormat="false" ht="15" hidden="false" customHeight="false" outlineLevel="0" collapsed="false">
      <c r="A43" s="71" t="n">
        <v>46356</v>
      </c>
      <c r="B43" s="70"/>
      <c r="C43" s="70"/>
      <c r="D43" s="70"/>
      <c r="E43" s="70"/>
      <c r="F43" s="70"/>
      <c r="G43" s="70"/>
      <c r="H43" s="70"/>
      <c r="I43" s="70"/>
      <c r="J43" s="70"/>
      <c r="K43" s="70"/>
      <c r="L43" s="70"/>
      <c r="M43" s="70" t="s">
        <v>1672</v>
      </c>
      <c r="N43" s="70"/>
      <c r="O43" s="70" t="s">
        <v>1673</v>
      </c>
      <c r="P43" s="70" t="s">
        <v>1604</v>
      </c>
      <c r="Q43" s="70"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4" customFormat="false" ht="15" hidden="false" customHeight="false" outlineLevel="0" collapsed="false">
      <c r="A44" s="71" t="n">
        <v>46357</v>
      </c>
      <c r="B44" s="70"/>
      <c r="C44" s="70"/>
      <c r="D44" s="70"/>
      <c r="E44" s="70"/>
      <c r="F44" s="70"/>
      <c r="G44" s="70"/>
      <c r="H44" s="70"/>
      <c r="I44" s="70"/>
      <c r="J44" s="70"/>
      <c r="K44" s="70"/>
      <c r="L44" s="70"/>
      <c r="M44" s="70" t="s">
        <v>1674</v>
      </c>
      <c r="N44" s="70"/>
      <c r="O44" s="70" t="s">
        <v>1675</v>
      </c>
      <c r="P44" s="70" t="s">
        <v>1604</v>
      </c>
      <c r="Q44" s="70"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45" customFormat="false" ht="15" hidden="false" customHeight="false" outlineLevel="0" collapsed="false">
      <c r="A45" s="71" t="n">
        <v>46358</v>
      </c>
      <c r="B45" s="70"/>
      <c r="C45" s="70"/>
      <c r="D45" s="70"/>
      <c r="E45" s="70"/>
      <c r="F45" s="70"/>
      <c r="G45" s="70"/>
      <c r="H45" s="70"/>
      <c r="I45" s="70"/>
      <c r="J45" s="70"/>
      <c r="K45" s="70"/>
      <c r="L45" s="70"/>
      <c r="M45" s="70" t="s">
        <v>1676</v>
      </c>
      <c r="N45" s="70"/>
      <c r="O45" s="70" t="s">
        <v>1677</v>
      </c>
      <c r="P45" s="70" t="s">
        <v>1638</v>
      </c>
      <c r="Q45" s="70"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46" customFormat="false" ht="15" hidden="false" customHeight="false" outlineLevel="0" collapsed="false">
      <c r="A46" s="71" t="n">
        <v>46359</v>
      </c>
      <c r="B46" s="70"/>
      <c r="C46" s="70"/>
      <c r="D46" s="70"/>
      <c r="E46" s="70"/>
      <c r="F46" s="70"/>
      <c r="G46" s="70"/>
      <c r="H46" s="70"/>
      <c r="I46" s="70"/>
      <c r="J46" s="70"/>
      <c r="K46" s="70"/>
      <c r="L46" s="70"/>
      <c r="M46" s="70"/>
      <c r="N46" s="70"/>
      <c r="O46" s="70" t="s">
        <v>1678</v>
      </c>
      <c r="P46" s="70" t="s">
        <v>1638</v>
      </c>
      <c r="Q46" s="70"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47" customFormat="false" ht="15" hidden="false" customHeight="false" outlineLevel="0" collapsed="false">
      <c r="A47" s="71" t="n">
        <v>46360</v>
      </c>
      <c r="B47" s="70"/>
      <c r="C47" s="70"/>
      <c r="D47" s="70"/>
      <c r="E47" s="70"/>
      <c r="F47" s="70"/>
      <c r="G47" s="70"/>
      <c r="H47" s="70"/>
      <c r="I47" s="70"/>
      <c r="J47" s="70"/>
      <c r="K47" s="70"/>
      <c r="L47" s="70"/>
      <c r="M47" s="70"/>
      <c r="N47" s="70"/>
      <c r="O47" s="70" t="s">
        <v>1679</v>
      </c>
      <c r="P47" s="70" t="s">
        <v>1604</v>
      </c>
      <c r="Q47" s="70"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48" customFormat="false" ht="15" hidden="false" customHeight="false" outlineLevel="0" collapsed="false">
      <c r="A48" s="71" t="n">
        <v>46363</v>
      </c>
      <c r="B48" s="70"/>
      <c r="C48" s="70"/>
      <c r="D48" s="70"/>
      <c r="E48" s="70"/>
      <c r="F48" s="70"/>
      <c r="G48" s="70"/>
      <c r="H48" s="70"/>
      <c r="I48" s="70"/>
      <c r="J48" s="70"/>
      <c r="K48" s="70"/>
      <c r="L48" s="70"/>
      <c r="M48" s="70" t="s">
        <v>1680</v>
      </c>
      <c r="N48" s="70"/>
      <c r="O48" s="70" t="s">
        <v>1681</v>
      </c>
      <c r="P48" s="70" t="s">
        <v>1604</v>
      </c>
      <c r="Q48" s="70"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49" customFormat="false" ht="15" hidden="false" customHeight="false" outlineLevel="0" collapsed="false">
      <c r="A49" s="71" t="n">
        <v>46364</v>
      </c>
      <c r="B49" s="70"/>
      <c r="C49" s="70"/>
      <c r="D49" s="70"/>
      <c r="E49" s="70"/>
      <c r="F49" s="70"/>
      <c r="G49" s="70"/>
      <c r="H49" s="70"/>
      <c r="I49" s="70"/>
      <c r="J49" s="70"/>
      <c r="K49" s="70"/>
      <c r="L49" s="70"/>
      <c r="M49" s="70" t="s">
        <v>1682</v>
      </c>
      <c r="N49" s="70"/>
      <c r="O49" s="70" t="s">
        <v>1683</v>
      </c>
      <c r="P49" s="70" t="s">
        <v>1604</v>
      </c>
      <c r="Q49" s="70"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0" customFormat="false" ht="15" hidden="false" customHeight="false" outlineLevel="0" collapsed="false">
      <c r="A50" s="71" t="n">
        <v>46365</v>
      </c>
      <c r="B50" s="70"/>
      <c r="C50" s="70"/>
      <c r="D50" s="70"/>
      <c r="E50" s="70"/>
      <c r="F50" s="70"/>
      <c r="G50" s="70"/>
      <c r="H50" s="70"/>
      <c r="I50" s="70"/>
      <c r="J50" s="70"/>
      <c r="K50" s="70"/>
      <c r="L50" s="70"/>
      <c r="M50" s="70" t="s">
        <v>1684</v>
      </c>
      <c r="N50" s="70"/>
      <c r="O50" s="70" t="s">
        <v>1685</v>
      </c>
      <c r="P50" s="70" t="s">
        <v>1604</v>
      </c>
      <c r="Q50" s="70"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1" customFormat="false" ht="15" hidden="false" customHeight="false" outlineLevel="0" collapsed="false">
      <c r="A51" s="71" t="n">
        <v>46366</v>
      </c>
      <c r="B51" s="70"/>
      <c r="C51" s="70"/>
      <c r="D51" s="70"/>
      <c r="E51" s="70"/>
      <c r="F51" s="70"/>
      <c r="G51" s="70"/>
      <c r="H51" s="70"/>
      <c r="I51" s="70"/>
      <c r="J51" s="70"/>
      <c r="K51" s="70"/>
      <c r="L51" s="70"/>
      <c r="M51" s="70" t="s">
        <v>1686</v>
      </c>
      <c r="N51" s="70"/>
      <c r="O51" s="70" t="s">
        <v>1687</v>
      </c>
      <c r="P51" s="70" t="s">
        <v>1604</v>
      </c>
      <c r="Q51" s="70" t="str">
        <f aca="false">IFERROR("https://drive.google.com/file/d/"&amp;VLOOKUP("k7c17b9b2eea3",Drive!$A:$B,2,0)&amp;"/view","https://drive.google.com/drive/search?q=title:%22A7%20Unit%204%20Solving%20Problems%20with%20Rational%20Numbers%20-%20Test.pdf%22")</f>
        <v>https://drive.google.com/drive/search?q=title:%22A7%20Unit%204%20Solving%20Problems%20with%20Rational%20Numbers%20-%20Test.pdf%22</v>
      </c>
    </row>
    <row r="52" customFormat="false" ht="15" hidden="false" customHeight="false" outlineLevel="0" collapsed="false">
      <c r="A52" s="71" t="n">
        <v>46367</v>
      </c>
      <c r="B52" s="70"/>
      <c r="C52" s="70"/>
      <c r="D52" s="70"/>
      <c r="E52" s="70"/>
      <c r="F52" s="70"/>
      <c r="G52" s="70"/>
      <c r="H52" s="70"/>
      <c r="I52" s="70"/>
      <c r="J52" s="70"/>
      <c r="K52" s="70"/>
      <c r="L52" s="70"/>
      <c r="M52" s="70" t="s">
        <v>1688</v>
      </c>
      <c r="N52" s="70"/>
      <c r="O52" s="70" t="s">
        <v>1689</v>
      </c>
      <c r="P52" s="70" t="s">
        <v>1604</v>
      </c>
      <c r="Q52" s="70" t="str">
        <f aca="false">IFERROR("https://drive.google.com/file/d/"&amp;VLOOKUP("k584fc57b9722",Drive!$A:$B,2,0)&amp;"/view","https://drive.google.com/drive/search?q=title:%22A7%20Unit%204%20Solving%20Problems%20with%20Rational%20Numbers%20-%20Test%20-%20Key.pdf%22")</f>
        <v>https://drive.google.com/drive/search?q=title:%22A7%20Unit%204%20Solving%20Problems%20with%20Rational%20Numbers%20-%20Test%20-%20Key.pdf%22</v>
      </c>
    </row>
    <row r="53" customFormat="false" ht="15" hidden="false" customHeight="false" outlineLevel="0" collapsed="false">
      <c r="A53" s="71" t="n">
        <v>46370</v>
      </c>
      <c r="B53" s="70"/>
      <c r="C53" s="70"/>
      <c r="D53" s="70"/>
      <c r="E53" s="70"/>
      <c r="F53" s="70"/>
      <c r="G53" s="70"/>
      <c r="H53" s="70"/>
      <c r="I53" s="70"/>
      <c r="J53" s="70"/>
      <c r="K53" s="70"/>
      <c r="L53" s="70"/>
      <c r="M53" s="70"/>
      <c r="N53" s="70"/>
      <c r="O53" s="70" t="s">
        <v>1690</v>
      </c>
      <c r="P53" s="70" t="s">
        <v>1638</v>
      </c>
      <c r="Q53" s="70"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4" customFormat="false" ht="15" hidden="false" customHeight="false" outlineLevel="0" collapsed="false">
      <c r="A54" s="71" t="n">
        <v>46371</v>
      </c>
      <c r="B54" s="70"/>
      <c r="C54" s="70"/>
      <c r="D54" s="70"/>
      <c r="E54" s="70"/>
      <c r="F54" s="70"/>
      <c r="G54" s="70"/>
      <c r="H54" s="70"/>
      <c r="I54" s="70"/>
      <c r="J54" s="70"/>
      <c r="K54" s="70"/>
      <c r="L54" s="70"/>
      <c r="M54" s="70"/>
      <c r="N54" s="70"/>
      <c r="O54" s="70" t="s">
        <v>1691</v>
      </c>
      <c r="P54" s="70" t="s">
        <v>1604</v>
      </c>
      <c r="Q54" s="70" t="str">
        <f aca="false">IFERROR("https://drive.google.com/file/d/"&amp;VLOOKUP("kf7444edd4950",Drive!$A:$B,2,0)&amp;"/view","https://drive.google.com/drive/search?q=title:%22A7%201.01%20Rewriting%20Numbers%20-%20Slides.pdf%22")</f>
        <v>https://drive.google.com/drive/search?q=title:%22A7%201.01%20Rewriting%20Numbers%20-%20Slides.pdf%22</v>
      </c>
    </row>
    <row r="55" customFormat="false" ht="15" hidden="false" customHeight="false" outlineLevel="0" collapsed="false">
      <c r="A55" s="71" t="n">
        <v>46372</v>
      </c>
      <c r="B55" s="70"/>
      <c r="C55" s="70"/>
      <c r="D55" s="70"/>
      <c r="E55" s="70"/>
      <c r="F55" s="70"/>
      <c r="G55" s="70"/>
      <c r="H55" s="70"/>
      <c r="I55" s="70"/>
      <c r="J55" s="70"/>
      <c r="K55" s="70"/>
      <c r="L55" s="70"/>
      <c r="M55" s="70"/>
      <c r="N55" s="70"/>
      <c r="O55" s="70" t="s">
        <v>1692</v>
      </c>
      <c r="P55" s="70" t="s">
        <v>1604</v>
      </c>
      <c r="Q55" s="70"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56" customFormat="false" ht="15" hidden="false" customHeight="false" outlineLevel="0" collapsed="false">
      <c r="A56" s="71" t="n">
        <v>46373</v>
      </c>
      <c r="B56" s="70"/>
      <c r="C56" s="70"/>
      <c r="D56" s="70"/>
      <c r="E56" s="70"/>
      <c r="F56" s="70"/>
      <c r="G56" s="70"/>
      <c r="H56" s="70"/>
      <c r="I56" s="70"/>
      <c r="J56" s="70"/>
      <c r="K56" s="70"/>
      <c r="L56" s="70"/>
      <c r="M56" s="70"/>
      <c r="N56" s="70"/>
      <c r="O56" s="70" t="s">
        <v>1693</v>
      </c>
      <c r="P56" s="70" t="s">
        <v>1604</v>
      </c>
      <c r="Q56" s="70" t="str">
        <f aca="false">IFERROR("https://drive.google.com/file/d/"&amp;VLOOKUP("kc68dd81311bb",Drive!$A:$B,2,0)&amp;"/view","https://drive.google.com/drive/search?q=title:%22A7%201.01%20Rewriting%20Numbers%20-%20Question%20Bank.pdf%22")</f>
        <v>https://drive.google.com/drive/search?q=title:%22A7%201.01%20Rewriting%20Numbers%20-%20Question%20Bank.pdf%22</v>
      </c>
    </row>
    <row r="57" customFormat="false" ht="15" hidden="false" customHeight="false" outlineLevel="0" collapsed="false">
      <c r="A57" s="71" t="n">
        <v>46374</v>
      </c>
      <c r="B57" s="70"/>
      <c r="C57" s="70"/>
      <c r="D57" s="70"/>
      <c r="E57" s="70"/>
      <c r="F57" s="70"/>
      <c r="G57" s="70"/>
      <c r="H57" s="70"/>
      <c r="I57" s="70"/>
      <c r="J57" s="70"/>
      <c r="K57" s="70"/>
      <c r="L57" s="70"/>
      <c r="M57" s="70"/>
      <c r="N57" s="70"/>
      <c r="O57" s="70" t="s">
        <v>1694</v>
      </c>
      <c r="P57" s="70" t="s">
        <v>1604</v>
      </c>
      <c r="Q57" s="70"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58" customFormat="false" ht="15" hidden="false" customHeight="false" outlineLevel="0" collapsed="false">
      <c r="A58" s="71" t="n">
        <v>46393</v>
      </c>
      <c r="B58" s="70"/>
      <c r="C58" s="70"/>
      <c r="D58" s="70"/>
      <c r="E58" s="70"/>
      <c r="F58" s="70"/>
      <c r="G58" s="70"/>
      <c r="H58" s="70"/>
      <c r="I58" s="70"/>
      <c r="J58" s="70"/>
      <c r="K58" s="70"/>
      <c r="L58" s="70"/>
      <c r="M58" s="70" t="s">
        <v>1695</v>
      </c>
      <c r="N58" s="70"/>
      <c r="O58" s="70" t="s">
        <v>1696</v>
      </c>
      <c r="P58" s="70" t="s">
        <v>1604</v>
      </c>
      <c r="Q58" s="70"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59" customFormat="false" ht="15" hidden="false" customHeight="false" outlineLevel="0" collapsed="false">
      <c r="A59" s="71" t="n">
        <v>46394</v>
      </c>
      <c r="B59" s="70"/>
      <c r="C59" s="70"/>
      <c r="D59" s="70"/>
      <c r="E59" s="70"/>
      <c r="F59" s="70"/>
      <c r="G59" s="70"/>
      <c r="H59" s="70"/>
      <c r="I59" s="70"/>
      <c r="J59" s="70"/>
      <c r="K59" s="70"/>
      <c r="L59" s="70"/>
      <c r="M59" s="70" t="s">
        <v>1697</v>
      </c>
      <c r="N59" s="70"/>
      <c r="O59" s="70" t="s">
        <v>1698</v>
      </c>
      <c r="P59" s="70" t="s">
        <v>1604</v>
      </c>
      <c r="Q59" s="70"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60" customFormat="false" ht="15" hidden="false" customHeight="false" outlineLevel="0" collapsed="false">
      <c r="A60" s="71" t="n">
        <v>46395</v>
      </c>
      <c r="B60" s="70"/>
      <c r="C60" s="70"/>
      <c r="D60" s="70"/>
      <c r="E60" s="70"/>
      <c r="F60" s="70"/>
      <c r="G60" s="70"/>
      <c r="H60" s="70"/>
      <c r="I60" s="70"/>
      <c r="J60" s="70"/>
      <c r="K60" s="70"/>
      <c r="L60" s="70"/>
      <c r="M60" s="70" t="s">
        <v>1699</v>
      </c>
      <c r="N60" s="70"/>
      <c r="O60" s="70" t="s">
        <v>1700</v>
      </c>
      <c r="P60" s="70" t="s">
        <v>1604</v>
      </c>
      <c r="Q60" s="70"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61" customFormat="false" ht="15" hidden="false" customHeight="false" outlineLevel="0" collapsed="false">
      <c r="A61" s="71" t="n">
        <v>46398</v>
      </c>
      <c r="B61" s="70"/>
      <c r="C61" s="70"/>
      <c r="D61" s="70"/>
      <c r="E61" s="70"/>
      <c r="F61" s="70"/>
      <c r="G61" s="70"/>
      <c r="H61" s="70"/>
      <c r="I61" s="70"/>
      <c r="J61" s="70"/>
      <c r="K61" s="70"/>
      <c r="L61" s="70"/>
      <c r="M61" s="70" t="s">
        <v>1701</v>
      </c>
      <c r="N61" s="70"/>
      <c r="O61" s="70" t="s">
        <v>1702</v>
      </c>
      <c r="P61" s="70" t="s">
        <v>1604</v>
      </c>
      <c r="Q61" s="70"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62" customFormat="false" ht="15" hidden="false" customHeight="false" outlineLevel="0" collapsed="false">
      <c r="A62" s="71" t="n">
        <v>46399</v>
      </c>
      <c r="B62" s="70"/>
      <c r="C62" s="70"/>
      <c r="D62" s="70"/>
      <c r="E62" s="70"/>
      <c r="F62" s="70"/>
      <c r="G62" s="70"/>
      <c r="H62" s="70"/>
      <c r="I62" s="70"/>
      <c r="J62" s="70"/>
      <c r="K62" s="70"/>
      <c r="L62" s="70"/>
      <c r="M62" s="70" t="s">
        <v>1703</v>
      </c>
      <c r="N62" s="70"/>
      <c r="O62" s="70" t="s">
        <v>1704</v>
      </c>
      <c r="P62" s="70" t="s">
        <v>1604</v>
      </c>
      <c r="Q62" s="70"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63" customFormat="false" ht="15" hidden="false" customHeight="false" outlineLevel="0" collapsed="false">
      <c r="A63" s="71" t="n">
        <v>46400</v>
      </c>
      <c r="B63" s="70"/>
      <c r="C63" s="70"/>
      <c r="D63" s="70"/>
      <c r="E63" s="70"/>
      <c r="F63" s="70"/>
      <c r="G63" s="70"/>
      <c r="H63" s="70"/>
      <c r="I63" s="70"/>
      <c r="J63" s="70"/>
      <c r="K63" s="70"/>
      <c r="L63" s="70"/>
      <c r="M63" s="70" t="s">
        <v>1705</v>
      </c>
      <c r="N63" s="70"/>
      <c r="O63" s="70" t="s">
        <v>1706</v>
      </c>
      <c r="P63" s="70" t="s">
        <v>1604</v>
      </c>
      <c r="Q63" s="70"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64" customFormat="false" ht="15" hidden="false" customHeight="false" outlineLevel="0" collapsed="false">
      <c r="A64" s="71" t="n">
        <v>46401</v>
      </c>
      <c r="B64" s="70"/>
      <c r="C64" s="70"/>
      <c r="D64" s="70"/>
      <c r="E64" s="70"/>
      <c r="F64" s="70"/>
      <c r="G64" s="70"/>
      <c r="H64" s="70"/>
      <c r="I64" s="70"/>
      <c r="J64" s="70"/>
      <c r="K64" s="70"/>
      <c r="L64" s="70"/>
      <c r="M64" s="70"/>
      <c r="N64" s="70"/>
      <c r="O64" s="70" t="s">
        <v>1707</v>
      </c>
      <c r="P64" s="70" t="s">
        <v>1604</v>
      </c>
      <c r="Q64" s="70"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65" customFormat="false" ht="15" hidden="false" customHeight="false" outlineLevel="0" collapsed="false">
      <c r="A65" s="71" t="n">
        <v>46402</v>
      </c>
      <c r="B65" s="70"/>
      <c r="C65" s="70"/>
      <c r="D65" s="70"/>
      <c r="E65" s="70"/>
      <c r="F65" s="70"/>
      <c r="G65" s="70"/>
      <c r="H65" s="70"/>
      <c r="I65" s="70"/>
      <c r="J65" s="70"/>
      <c r="K65" s="70"/>
      <c r="L65" s="70"/>
      <c r="M65" s="70" t="s">
        <v>1708</v>
      </c>
      <c r="N65" s="70"/>
      <c r="O65" s="70" t="s">
        <v>1709</v>
      </c>
      <c r="P65" s="70" t="s">
        <v>1604</v>
      </c>
      <c r="Q65" s="70"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66" customFormat="false" ht="15" hidden="false" customHeight="false" outlineLevel="0" collapsed="false">
      <c r="A66" s="71" t="n">
        <v>46406</v>
      </c>
      <c r="B66" s="70"/>
      <c r="C66" s="70"/>
      <c r="D66" s="70"/>
      <c r="E66" s="70"/>
      <c r="F66" s="70"/>
      <c r="G66" s="70"/>
      <c r="H66" s="70"/>
      <c r="I66" s="70"/>
      <c r="J66" s="70"/>
      <c r="K66" s="70"/>
      <c r="L66" s="70"/>
      <c r="M66" s="70"/>
      <c r="N66" s="70"/>
      <c r="O66" s="70" t="s">
        <v>1710</v>
      </c>
      <c r="P66" s="70" t="s">
        <v>1604</v>
      </c>
      <c r="Q66" s="70" t="str">
        <f aca="false">IFERROR("https://drive.google.com/file/d/"&amp;VLOOKUP("k78f3bd7641b1",Drive!$A:$B,2,0)&amp;"/view","https://drive.google.com/drive/search?q=title:%22A7%201.03%20Two-Step%20Equations%20-%20Slides.pdf%22")</f>
        <v>https://drive.google.com/drive/search?q=title:%22A7%201.03%20Two-Step%20Equations%20-%20Slides.pdf%22</v>
      </c>
    </row>
    <row r="67" customFormat="false" ht="15" hidden="false" customHeight="false" outlineLevel="0" collapsed="false">
      <c r="A67" s="71" t="n">
        <v>46407</v>
      </c>
      <c r="B67" s="70"/>
      <c r="C67" s="70"/>
      <c r="D67" s="70"/>
      <c r="E67" s="70"/>
      <c r="F67" s="70"/>
      <c r="G67" s="70"/>
      <c r="H67" s="70"/>
      <c r="I67" s="70"/>
      <c r="J67" s="70"/>
      <c r="K67" s="70"/>
      <c r="L67" s="70"/>
      <c r="M67" s="70"/>
      <c r="N67" s="70"/>
      <c r="O67" s="70" t="s">
        <v>1711</v>
      </c>
      <c r="P67" s="70" t="s">
        <v>1604</v>
      </c>
      <c r="Q67" s="70"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68" customFormat="false" ht="15" hidden="false" customHeight="false" outlineLevel="0" collapsed="false">
      <c r="A68" s="71" t="n">
        <v>46408</v>
      </c>
      <c r="B68" s="70"/>
      <c r="C68" s="70"/>
      <c r="D68" s="70"/>
      <c r="E68" s="70"/>
      <c r="F68" s="70"/>
      <c r="G68" s="70"/>
      <c r="H68" s="70"/>
      <c r="I68" s="70"/>
      <c r="J68" s="70"/>
      <c r="K68" s="70"/>
      <c r="L68" s="70"/>
      <c r="M68" s="70"/>
      <c r="N68" s="70"/>
      <c r="O68" s="70" t="s">
        <v>1712</v>
      </c>
      <c r="P68" s="70" t="s">
        <v>1604</v>
      </c>
      <c r="Q68" s="70" t="str">
        <f aca="false">IFERROR("https://drive.google.com/file/d/"&amp;VLOOKUP("kb5633697c8e5",Drive!$A:$B,2,0)&amp;"/view","https://drive.google.com/drive/search?q=title:%22A7%201.03%20Two-Step%20Equations%20-%20Question%20Bank.pdf%22")</f>
        <v>https://drive.google.com/drive/search?q=title:%22A7%201.03%20Two-Step%20Equations%20-%20Question%20Bank.pdf%22</v>
      </c>
    </row>
    <row r="69" customFormat="false" ht="15" hidden="false" customHeight="false" outlineLevel="0" collapsed="false">
      <c r="A69" s="71" t="n">
        <v>46409</v>
      </c>
      <c r="B69" s="70"/>
      <c r="C69" s="70"/>
      <c r="D69" s="70"/>
      <c r="E69" s="70"/>
      <c r="F69" s="70"/>
      <c r="G69" s="70"/>
      <c r="H69" s="70"/>
      <c r="I69" s="70"/>
      <c r="J69" s="70"/>
      <c r="K69" s="70"/>
      <c r="L69" s="70"/>
      <c r="M69" s="70"/>
      <c r="N69" s="70"/>
      <c r="O69" s="70" t="s">
        <v>1713</v>
      </c>
      <c r="P69" s="70" t="s">
        <v>1604</v>
      </c>
      <c r="Q69" s="70"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70" customFormat="false" ht="15" hidden="false" customHeight="false" outlineLevel="0" collapsed="false">
      <c r="A70" s="71" t="n">
        <v>46412</v>
      </c>
      <c r="B70" s="70"/>
      <c r="C70" s="70"/>
      <c r="D70" s="70"/>
      <c r="E70" s="70"/>
      <c r="F70" s="70"/>
      <c r="G70" s="70"/>
      <c r="H70" s="70"/>
      <c r="I70" s="70"/>
      <c r="J70" s="70"/>
      <c r="K70" s="70"/>
      <c r="L70" s="70"/>
      <c r="M70" s="70" t="s">
        <v>1714</v>
      </c>
      <c r="N70" s="70"/>
      <c r="O70" s="70" t="s">
        <v>1715</v>
      </c>
      <c r="P70" s="70" t="s">
        <v>1604</v>
      </c>
      <c r="Q70" s="70"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71" customFormat="false" ht="15" hidden="false" customHeight="false" outlineLevel="0" collapsed="false">
      <c r="A71" s="71" t="n">
        <v>46413</v>
      </c>
      <c r="B71" s="70"/>
      <c r="C71" s="70"/>
      <c r="D71" s="70"/>
      <c r="E71" s="70"/>
      <c r="F71" s="70"/>
      <c r="G71" s="70"/>
      <c r="H71" s="70"/>
      <c r="I71" s="70"/>
      <c r="J71" s="70"/>
      <c r="K71" s="70"/>
      <c r="L71" s="70"/>
      <c r="M71" s="70" t="s">
        <v>1716</v>
      </c>
      <c r="N71" s="70"/>
      <c r="O71" s="70" t="s">
        <v>1717</v>
      </c>
      <c r="P71" s="70" t="s">
        <v>1604</v>
      </c>
      <c r="Q71" s="70"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72" customFormat="false" ht="15" hidden="false" customHeight="false" outlineLevel="0" collapsed="false">
      <c r="A72" s="71" t="n">
        <v>46414</v>
      </c>
      <c r="B72" s="70"/>
      <c r="C72" s="70"/>
      <c r="D72" s="70"/>
      <c r="E72" s="70"/>
      <c r="F72" s="70"/>
      <c r="G72" s="70"/>
      <c r="H72" s="70"/>
      <c r="I72" s="70"/>
      <c r="J72" s="70"/>
      <c r="K72" s="70"/>
      <c r="L72" s="70"/>
      <c r="M72" s="70" t="s">
        <v>1718</v>
      </c>
      <c r="N72" s="70"/>
      <c r="O72" s="70" t="s">
        <v>1719</v>
      </c>
      <c r="P72" s="70" t="s">
        <v>1604</v>
      </c>
      <c r="Q72" s="70"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73" customFormat="false" ht="15" hidden="false" customHeight="false" outlineLevel="0" collapsed="false">
      <c r="A73" s="71" t="n">
        <v>46415</v>
      </c>
      <c r="B73" s="70"/>
      <c r="C73" s="70"/>
      <c r="D73" s="70"/>
      <c r="E73" s="70"/>
      <c r="F73" s="70"/>
      <c r="G73" s="70"/>
      <c r="H73" s="70"/>
      <c r="I73" s="70"/>
      <c r="J73" s="70"/>
      <c r="K73" s="70"/>
      <c r="L73" s="70"/>
      <c r="M73" s="70" t="s">
        <v>1720</v>
      </c>
      <c r="N73" s="70"/>
      <c r="O73" s="70" t="s">
        <v>1721</v>
      </c>
      <c r="P73" s="70" t="s">
        <v>1604</v>
      </c>
      <c r="Q73" s="70"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74" customFormat="false" ht="15" hidden="false" customHeight="false" outlineLevel="0" collapsed="false">
      <c r="A74" s="71" t="n">
        <v>46416</v>
      </c>
      <c r="B74" s="70"/>
      <c r="C74" s="70"/>
      <c r="D74" s="70"/>
      <c r="E74" s="70"/>
      <c r="F74" s="70"/>
      <c r="G74" s="70"/>
      <c r="H74" s="70"/>
      <c r="I74" s="70"/>
      <c r="J74" s="70"/>
      <c r="K74" s="70"/>
      <c r="L74" s="70"/>
      <c r="M74" s="70" t="s">
        <v>1722</v>
      </c>
      <c r="N74" s="70"/>
      <c r="O74" s="70" t="s">
        <v>1723</v>
      </c>
      <c r="P74" s="70" t="s">
        <v>1604</v>
      </c>
      <c r="Q74" s="70"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75" customFormat="false" ht="15" hidden="false" customHeight="false" outlineLevel="0" collapsed="false">
      <c r="A75" s="71" t="n">
        <v>46419</v>
      </c>
      <c r="B75" s="70"/>
      <c r="C75" s="70"/>
      <c r="D75" s="70"/>
      <c r="E75" s="70"/>
      <c r="F75" s="70"/>
      <c r="G75" s="70"/>
      <c r="H75" s="70"/>
      <c r="I75" s="70"/>
      <c r="J75" s="70"/>
      <c r="K75" s="70"/>
      <c r="L75" s="70"/>
      <c r="M75" s="70" t="s">
        <v>1724</v>
      </c>
      <c r="N75" s="70"/>
      <c r="O75" s="70" t="s">
        <v>1725</v>
      </c>
      <c r="P75" s="70" t="s">
        <v>1604</v>
      </c>
      <c r="Q75" s="70"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76" customFormat="false" ht="15" hidden="false" customHeight="false" outlineLevel="0" collapsed="false">
      <c r="A76" s="71" t="n">
        <v>46420</v>
      </c>
      <c r="B76" s="70"/>
      <c r="C76" s="70"/>
      <c r="D76" s="70"/>
      <c r="E76" s="70"/>
      <c r="F76" s="70"/>
      <c r="G76" s="70"/>
      <c r="H76" s="70"/>
      <c r="I76" s="70"/>
      <c r="J76" s="70"/>
      <c r="K76" s="70"/>
      <c r="L76" s="70"/>
      <c r="M76" s="70" t="s">
        <v>1726</v>
      </c>
      <c r="N76" s="70"/>
      <c r="O76" s="70" t="s">
        <v>1727</v>
      </c>
      <c r="P76" s="70" t="s">
        <v>1604</v>
      </c>
      <c r="Q76" s="70"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77" customFormat="false" ht="15" hidden="false" customHeight="false" outlineLevel="0" collapsed="false">
      <c r="A77" s="71" t="n">
        <v>46421</v>
      </c>
      <c r="B77" s="70"/>
      <c r="C77" s="70"/>
      <c r="D77" s="70"/>
      <c r="E77" s="70"/>
      <c r="F77" s="70"/>
      <c r="G77" s="70"/>
      <c r="H77" s="70"/>
      <c r="I77" s="70"/>
      <c r="J77" s="70"/>
      <c r="K77" s="70"/>
      <c r="L77" s="70"/>
      <c r="M77" s="70" t="s">
        <v>1728</v>
      </c>
      <c r="N77" s="70"/>
      <c r="O77" s="70" t="s">
        <v>1729</v>
      </c>
      <c r="P77" s="70" t="s">
        <v>1604</v>
      </c>
      <c r="Q77" s="70"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78" customFormat="false" ht="15" hidden="false" customHeight="false" outlineLevel="0" collapsed="false">
      <c r="A78" s="71" t="n">
        <v>46422</v>
      </c>
      <c r="B78" s="70"/>
      <c r="C78" s="70"/>
      <c r="D78" s="70"/>
      <c r="E78" s="70"/>
      <c r="F78" s="70"/>
      <c r="G78" s="70"/>
      <c r="H78" s="70"/>
      <c r="I78" s="70"/>
      <c r="J78" s="70"/>
      <c r="K78" s="70"/>
      <c r="L78" s="70"/>
      <c r="M78" s="70"/>
      <c r="N78" s="70"/>
      <c r="O78" s="70" t="s">
        <v>1730</v>
      </c>
      <c r="P78" s="70" t="s">
        <v>1604</v>
      </c>
      <c r="Q78" s="70"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79" customFormat="false" ht="15" hidden="false" customHeight="false" outlineLevel="0" collapsed="false">
      <c r="A79" s="71" t="n">
        <v>46423</v>
      </c>
      <c r="B79" s="70"/>
      <c r="C79" s="70"/>
      <c r="D79" s="70"/>
      <c r="E79" s="70"/>
      <c r="F79" s="70"/>
      <c r="G79" s="70"/>
      <c r="H79" s="70"/>
      <c r="I79" s="70"/>
      <c r="J79" s="70"/>
      <c r="K79" s="70"/>
      <c r="L79" s="70"/>
      <c r="M79" s="70"/>
      <c r="N79" s="70"/>
      <c r="O79" s="70" t="s">
        <v>1731</v>
      </c>
      <c r="P79" s="70" t="s">
        <v>1604</v>
      </c>
      <c r="Q79" s="70"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80" customFormat="false" ht="15" hidden="false" customHeight="false" outlineLevel="0" collapsed="false">
      <c r="A80" s="71" t="n">
        <v>46426</v>
      </c>
      <c r="B80" s="70"/>
      <c r="C80" s="70"/>
      <c r="D80" s="70"/>
      <c r="E80" s="70"/>
      <c r="F80" s="70"/>
      <c r="G80" s="70"/>
      <c r="H80" s="70"/>
      <c r="I80" s="70"/>
      <c r="J80" s="70"/>
      <c r="K80" s="70"/>
      <c r="L80" s="70"/>
      <c r="M80" s="70" t="s">
        <v>1732</v>
      </c>
      <c r="N80" s="70"/>
      <c r="O80" s="70" t="s">
        <v>1733</v>
      </c>
      <c r="P80" s="70" t="s">
        <v>1604</v>
      </c>
      <c r="Q80" s="70"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81" customFormat="false" ht="15" hidden="false" customHeight="false" outlineLevel="0" collapsed="false">
      <c r="A81" s="71" t="n">
        <v>46427</v>
      </c>
      <c r="B81" s="70"/>
      <c r="C81" s="70"/>
      <c r="D81" s="70"/>
      <c r="E81" s="70"/>
      <c r="F81" s="70"/>
      <c r="G81" s="70"/>
      <c r="H81" s="70"/>
      <c r="I81" s="70"/>
      <c r="J81" s="70"/>
      <c r="K81" s="70"/>
      <c r="L81" s="70"/>
      <c r="M81" s="70" t="s">
        <v>1734</v>
      </c>
      <c r="N81" s="70"/>
      <c r="O81" s="70" t="s">
        <v>1735</v>
      </c>
      <c r="P81" s="70" t="s">
        <v>1604</v>
      </c>
      <c r="Q81" s="70"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82" customFormat="false" ht="15" hidden="false" customHeight="false" outlineLevel="0" collapsed="false">
      <c r="A82" s="71" t="n">
        <v>46428</v>
      </c>
      <c r="B82" s="70"/>
      <c r="C82" s="70"/>
      <c r="D82" s="70"/>
      <c r="E82" s="70"/>
      <c r="F82" s="70"/>
      <c r="G82" s="70"/>
      <c r="H82" s="70"/>
      <c r="I82" s="70"/>
      <c r="J82" s="70"/>
      <c r="K82" s="70"/>
      <c r="L82" s="70"/>
      <c r="M82" s="70" t="s">
        <v>1736</v>
      </c>
      <c r="N82" s="70"/>
      <c r="O82" s="70" t="s">
        <v>1737</v>
      </c>
      <c r="P82" s="70" t="s">
        <v>1604</v>
      </c>
      <c r="Q82" s="70"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83" customFormat="false" ht="15" hidden="false" customHeight="false" outlineLevel="0" collapsed="false">
      <c r="A83" s="71" t="n">
        <v>46429</v>
      </c>
      <c r="B83" s="70"/>
      <c r="C83" s="70"/>
      <c r="D83" s="70"/>
      <c r="E83" s="70"/>
      <c r="F83" s="70"/>
      <c r="G83" s="70"/>
      <c r="H83" s="70"/>
      <c r="I83" s="70"/>
      <c r="J83" s="70"/>
      <c r="K83" s="70"/>
      <c r="L83" s="70"/>
      <c r="M83" s="70" t="s">
        <v>1738</v>
      </c>
      <c r="N83" s="70"/>
      <c r="O83" s="70" t="s">
        <v>1739</v>
      </c>
      <c r="P83" s="70" t="s">
        <v>1604</v>
      </c>
      <c r="Q83" s="70"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84" customFormat="false" ht="15" hidden="false" customHeight="false" outlineLevel="0" collapsed="false">
      <c r="A84" s="71" t="n">
        <v>46430</v>
      </c>
      <c r="B84" s="70"/>
      <c r="C84" s="70"/>
      <c r="D84" s="70"/>
      <c r="E84" s="70"/>
      <c r="F84" s="70"/>
      <c r="G84" s="70"/>
      <c r="H84" s="70"/>
      <c r="I84" s="70"/>
      <c r="J84" s="70"/>
      <c r="K84" s="70"/>
      <c r="L84" s="70"/>
      <c r="M84" s="70" t="s">
        <v>1740</v>
      </c>
      <c r="N84" s="70"/>
      <c r="O84" s="70" t="s">
        <v>1741</v>
      </c>
      <c r="P84" s="70" t="s">
        <v>1604</v>
      </c>
      <c r="Q84" s="70"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85" customFormat="false" ht="15" hidden="false" customHeight="false" outlineLevel="0" collapsed="false">
      <c r="A85" s="71" t="n">
        <v>46434</v>
      </c>
      <c r="B85" s="70"/>
      <c r="C85" s="70"/>
      <c r="D85" s="70"/>
      <c r="E85" s="70"/>
      <c r="F85" s="70"/>
      <c r="G85" s="70"/>
      <c r="H85" s="70"/>
      <c r="I85" s="70"/>
      <c r="J85" s="70"/>
      <c r="K85" s="70"/>
      <c r="L85" s="70"/>
      <c r="M85" s="70" t="s">
        <v>1742</v>
      </c>
      <c r="N85" s="70"/>
      <c r="O85" s="70" t="s">
        <v>1743</v>
      </c>
      <c r="P85" s="70" t="s">
        <v>1604</v>
      </c>
      <c r="Q85" s="70"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86" customFormat="false" ht="15" hidden="false" customHeight="false" outlineLevel="0" collapsed="false">
      <c r="A86" s="71" t="n">
        <v>46435</v>
      </c>
      <c r="B86" s="70"/>
      <c r="C86" s="70"/>
      <c r="D86" s="70"/>
      <c r="E86" s="70"/>
      <c r="F86" s="70"/>
      <c r="G86" s="70"/>
      <c r="H86" s="70"/>
      <c r="I86" s="70"/>
      <c r="J86" s="70"/>
      <c r="K86" s="70"/>
      <c r="L86" s="70"/>
      <c r="M86" s="70" t="s">
        <v>1744</v>
      </c>
      <c r="N86" s="70"/>
      <c r="O86" s="70" t="s">
        <v>1745</v>
      </c>
      <c r="P86" s="70" t="s">
        <v>1604</v>
      </c>
      <c r="Q86" s="70"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87" customFormat="false" ht="15" hidden="false" customHeight="false" outlineLevel="0" collapsed="false">
      <c r="A87" s="71" t="n">
        <v>46436</v>
      </c>
      <c r="B87" s="70"/>
      <c r="C87" s="70"/>
      <c r="D87" s="70"/>
      <c r="E87" s="70"/>
      <c r="F87" s="70"/>
      <c r="G87" s="70"/>
      <c r="H87" s="70"/>
      <c r="I87" s="70"/>
      <c r="J87" s="70"/>
      <c r="K87" s="70"/>
      <c r="L87" s="70"/>
      <c r="M87" s="70"/>
      <c r="N87" s="70"/>
      <c r="O87" s="70" t="s">
        <v>1746</v>
      </c>
      <c r="P87" s="70" t="s">
        <v>1604</v>
      </c>
      <c r="Q87" s="70"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88" customFormat="false" ht="15" hidden="false" customHeight="false" outlineLevel="0" collapsed="false">
      <c r="A88" s="71" t="n">
        <v>46437</v>
      </c>
      <c r="B88" s="70"/>
      <c r="C88" s="70"/>
      <c r="D88" s="70"/>
      <c r="E88" s="70"/>
      <c r="F88" s="70"/>
      <c r="G88" s="70"/>
      <c r="H88" s="70"/>
      <c r="I88" s="70"/>
      <c r="J88" s="70"/>
      <c r="K88" s="70"/>
      <c r="L88" s="70"/>
      <c r="M88" s="70"/>
      <c r="N88" s="70"/>
      <c r="O88" s="70" t="s">
        <v>1747</v>
      </c>
      <c r="P88" s="70" t="s">
        <v>1604</v>
      </c>
      <c r="Q88" s="70"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89" customFormat="false" ht="15" hidden="false" customHeight="false" outlineLevel="0" collapsed="false">
      <c r="A89" s="71" t="n">
        <v>46440</v>
      </c>
      <c r="B89" s="70"/>
      <c r="C89" s="70"/>
      <c r="D89" s="70"/>
      <c r="E89" s="70"/>
      <c r="F89" s="70"/>
      <c r="G89" s="70"/>
      <c r="H89" s="70"/>
      <c r="I89" s="70"/>
      <c r="J89" s="70"/>
      <c r="K89" s="70"/>
      <c r="L89" s="70"/>
      <c r="M89" s="70"/>
      <c r="N89" s="70"/>
      <c r="O89" s="70" t="s">
        <v>1748</v>
      </c>
      <c r="P89" s="70" t="s">
        <v>1604</v>
      </c>
      <c r="Q89" s="70"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90" customFormat="false" ht="15" hidden="false" customHeight="false" outlineLevel="0" collapsed="false">
      <c r="A90" s="71" t="n">
        <v>46441</v>
      </c>
      <c r="B90" s="70"/>
      <c r="C90" s="70"/>
      <c r="D90" s="70"/>
      <c r="E90" s="70"/>
      <c r="F90" s="70"/>
      <c r="G90" s="70"/>
      <c r="H90" s="70"/>
      <c r="I90" s="70"/>
      <c r="J90" s="70"/>
      <c r="K90" s="70"/>
      <c r="L90" s="70"/>
      <c r="M90" s="70" t="s">
        <v>1749</v>
      </c>
      <c r="N90" s="70"/>
      <c r="O90" s="70" t="s">
        <v>1750</v>
      </c>
      <c r="P90" s="70" t="s">
        <v>1604</v>
      </c>
      <c r="Q90" s="70"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91" customFormat="false" ht="15" hidden="false" customHeight="false" outlineLevel="0" collapsed="false">
      <c r="A91" s="71" t="n">
        <v>46442</v>
      </c>
      <c r="B91" s="70"/>
      <c r="C91" s="70"/>
      <c r="D91" s="70"/>
      <c r="E91" s="70"/>
      <c r="F91" s="70"/>
      <c r="G91" s="70"/>
      <c r="H91" s="70"/>
      <c r="I91" s="70"/>
      <c r="J91" s="70"/>
      <c r="K91" s="70"/>
      <c r="L91" s="70"/>
      <c r="M91" s="70" t="s">
        <v>1751</v>
      </c>
      <c r="N91" s="70"/>
      <c r="O91" s="70" t="s">
        <v>1752</v>
      </c>
      <c r="P91" s="70" t="s">
        <v>1604</v>
      </c>
      <c r="Q91" s="70"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92" customFormat="false" ht="15" hidden="false" customHeight="false" outlineLevel="0" collapsed="false">
      <c r="A92" s="71" t="n">
        <v>46443</v>
      </c>
      <c r="B92" s="70"/>
      <c r="C92" s="70"/>
      <c r="D92" s="70"/>
      <c r="E92" s="70"/>
      <c r="F92" s="70"/>
      <c r="G92" s="70"/>
      <c r="H92" s="70"/>
      <c r="I92" s="70"/>
      <c r="J92" s="70"/>
      <c r="K92" s="70"/>
      <c r="L92" s="70"/>
      <c r="M92" s="70" t="s">
        <v>1753</v>
      </c>
      <c r="N92" s="70"/>
      <c r="O92" s="70" t="s">
        <v>1754</v>
      </c>
      <c r="P92" s="70" t="s">
        <v>1604</v>
      </c>
      <c r="Q92" s="70"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93" customFormat="false" ht="15" hidden="false" customHeight="false" outlineLevel="0" collapsed="false">
      <c r="A93" s="71" t="n">
        <v>46444</v>
      </c>
      <c r="B93" s="70"/>
      <c r="C93" s="70"/>
      <c r="D93" s="70"/>
      <c r="E93" s="70"/>
      <c r="F93" s="70"/>
      <c r="G93" s="70"/>
      <c r="H93" s="70"/>
      <c r="I93" s="70"/>
      <c r="J93" s="70"/>
      <c r="K93" s="70"/>
      <c r="L93" s="70"/>
      <c r="M93" s="70" t="s">
        <v>1755</v>
      </c>
      <c r="N93" s="70"/>
      <c r="O93" s="70" t="s">
        <v>1756</v>
      </c>
      <c r="P93" s="70" t="s">
        <v>1604</v>
      </c>
      <c r="Q93" s="70"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94" customFormat="false" ht="15" hidden="false" customHeight="false" outlineLevel="0" collapsed="false">
      <c r="A94" s="71" t="n">
        <v>46447</v>
      </c>
      <c r="B94" s="70"/>
      <c r="C94" s="70"/>
      <c r="D94" s="70"/>
      <c r="E94" s="70"/>
      <c r="F94" s="70"/>
      <c r="G94" s="70"/>
      <c r="H94" s="70"/>
      <c r="I94" s="70"/>
      <c r="J94" s="70"/>
      <c r="K94" s="70"/>
      <c r="L94" s="70"/>
      <c r="M94" s="70"/>
      <c r="N94" s="70"/>
      <c r="O94" s="70" t="s">
        <v>1757</v>
      </c>
      <c r="P94" s="70" t="s">
        <v>1604</v>
      </c>
      <c r="Q94" s="70"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95" customFormat="false" ht="15" hidden="false" customHeight="false" outlineLevel="0" collapsed="false">
      <c r="A95" s="71" t="n">
        <v>46448</v>
      </c>
      <c r="B95" s="70"/>
      <c r="C95" s="70"/>
      <c r="D95" s="70"/>
      <c r="E95" s="70"/>
      <c r="F95" s="70"/>
      <c r="G95" s="70"/>
      <c r="H95" s="70"/>
      <c r="I95" s="70"/>
      <c r="J95" s="70"/>
      <c r="K95" s="70"/>
      <c r="L95" s="70"/>
      <c r="M95" s="70" t="s">
        <v>1758</v>
      </c>
      <c r="N95" s="70"/>
      <c r="O95" s="70" t="s">
        <v>1759</v>
      </c>
      <c r="P95" s="70" t="s">
        <v>1604</v>
      </c>
      <c r="Q95" s="70"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96" customFormat="false" ht="15" hidden="false" customHeight="false" outlineLevel="0" collapsed="false">
      <c r="A96" s="71" t="n">
        <v>46449</v>
      </c>
      <c r="B96" s="70"/>
      <c r="C96" s="70"/>
      <c r="D96" s="70"/>
      <c r="E96" s="70"/>
      <c r="F96" s="70"/>
      <c r="G96" s="70"/>
      <c r="H96" s="70"/>
      <c r="I96" s="70"/>
      <c r="J96" s="70"/>
      <c r="K96" s="70"/>
      <c r="L96" s="70"/>
      <c r="M96" s="70" t="s">
        <v>1760</v>
      </c>
      <c r="N96" s="70"/>
      <c r="O96" s="70" t="s">
        <v>1761</v>
      </c>
      <c r="P96" s="70" t="s">
        <v>1604</v>
      </c>
      <c r="Q96" s="70"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97" customFormat="false" ht="15" hidden="false" customHeight="false" outlineLevel="0" collapsed="false">
      <c r="A97" s="71" t="n">
        <v>46450</v>
      </c>
      <c r="B97" s="70"/>
      <c r="C97" s="70"/>
      <c r="D97" s="70"/>
      <c r="E97" s="70"/>
      <c r="F97" s="70"/>
      <c r="G97" s="70"/>
      <c r="H97" s="70"/>
      <c r="I97" s="70"/>
      <c r="J97" s="70"/>
      <c r="K97" s="70"/>
      <c r="L97" s="70"/>
      <c r="M97" s="70"/>
      <c r="N97" s="70"/>
      <c r="O97" s="70" t="s">
        <v>1762</v>
      </c>
      <c r="P97" s="70" t="s">
        <v>1604</v>
      </c>
      <c r="Q97" s="70"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98" customFormat="false" ht="15" hidden="false" customHeight="false" outlineLevel="0" collapsed="false">
      <c r="A98" s="71" t="n">
        <v>46454</v>
      </c>
      <c r="B98" s="70"/>
      <c r="C98" s="70"/>
      <c r="D98" s="70"/>
      <c r="E98" s="70"/>
      <c r="F98" s="70"/>
      <c r="G98" s="70"/>
      <c r="H98" s="70"/>
      <c r="I98" s="70"/>
      <c r="J98" s="70"/>
      <c r="K98" s="70"/>
      <c r="L98" s="70"/>
      <c r="M98" s="70"/>
      <c r="N98" s="70"/>
      <c r="O98" s="70" t="s">
        <v>1763</v>
      </c>
      <c r="P98" s="70" t="s">
        <v>1604</v>
      </c>
      <c r="Q98" s="70"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99" customFormat="false" ht="15" hidden="false" customHeight="false" outlineLevel="0" collapsed="false">
      <c r="A99" s="71" t="n">
        <v>46455</v>
      </c>
      <c r="B99" s="70"/>
      <c r="C99" s="70"/>
      <c r="D99" s="70"/>
      <c r="E99" s="70"/>
      <c r="F99" s="70"/>
      <c r="G99" s="70"/>
      <c r="H99" s="70"/>
      <c r="I99" s="70"/>
      <c r="J99" s="70"/>
      <c r="K99" s="70"/>
      <c r="L99" s="70"/>
      <c r="M99" s="70"/>
      <c r="N99" s="70"/>
      <c r="O99" s="70" t="s">
        <v>1764</v>
      </c>
      <c r="P99" s="70" t="s">
        <v>1604</v>
      </c>
      <c r="Q99" s="70"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00" customFormat="false" ht="15" hidden="false" customHeight="false" outlineLevel="0" collapsed="false">
      <c r="A100" s="71" t="n">
        <v>46456</v>
      </c>
      <c r="B100" s="70"/>
      <c r="C100" s="70"/>
      <c r="D100" s="70"/>
      <c r="E100" s="70"/>
      <c r="F100" s="70"/>
      <c r="G100" s="70"/>
      <c r="H100" s="70"/>
      <c r="I100" s="70"/>
      <c r="J100" s="70"/>
      <c r="K100" s="70"/>
      <c r="L100" s="70"/>
      <c r="M100" s="70"/>
      <c r="N100" s="70"/>
      <c r="O100" s="70" t="s">
        <v>1765</v>
      </c>
      <c r="P100" s="70" t="s">
        <v>1604</v>
      </c>
      <c r="Q100" s="70"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01" customFormat="false" ht="15" hidden="false" customHeight="false" outlineLevel="0" collapsed="false">
      <c r="A101" s="71" t="n">
        <v>46457</v>
      </c>
      <c r="B101" s="70"/>
      <c r="C101" s="70"/>
      <c r="D101" s="70"/>
      <c r="E101" s="70"/>
      <c r="F101" s="70"/>
      <c r="G101" s="70"/>
      <c r="H101" s="70"/>
      <c r="I101" s="70"/>
      <c r="J101" s="70"/>
      <c r="K101" s="70"/>
      <c r="L101" s="70"/>
      <c r="M101" s="70" t="s">
        <v>1766</v>
      </c>
      <c r="N101" s="70"/>
      <c r="O101" s="70" t="s">
        <v>1767</v>
      </c>
      <c r="P101" s="70" t="s">
        <v>1604</v>
      </c>
      <c r="Q101" s="70"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02" customFormat="false" ht="15" hidden="false" customHeight="false" outlineLevel="0" collapsed="false">
      <c r="A102" s="71" t="n">
        <v>46458</v>
      </c>
      <c r="B102" s="70"/>
      <c r="C102" s="70"/>
      <c r="D102" s="70"/>
      <c r="E102" s="70"/>
      <c r="F102" s="70"/>
      <c r="G102" s="70"/>
      <c r="H102" s="70"/>
      <c r="I102" s="70"/>
      <c r="J102" s="70"/>
      <c r="K102" s="70"/>
      <c r="L102" s="70"/>
      <c r="M102" s="70" t="s">
        <v>1768</v>
      </c>
      <c r="N102" s="70"/>
      <c r="O102" s="70" t="s">
        <v>1769</v>
      </c>
      <c r="P102" s="70" t="s">
        <v>1604</v>
      </c>
      <c r="Q102" s="70"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03" customFormat="false" ht="15" hidden="false" customHeight="false" outlineLevel="0" collapsed="false">
      <c r="A103" s="71" t="n">
        <v>46461</v>
      </c>
      <c r="B103" s="70"/>
      <c r="C103" s="70"/>
      <c r="D103" s="70"/>
      <c r="E103" s="70"/>
      <c r="F103" s="70"/>
      <c r="G103" s="70"/>
      <c r="H103" s="70"/>
      <c r="I103" s="70"/>
      <c r="J103" s="70"/>
      <c r="K103" s="70"/>
      <c r="L103" s="70"/>
      <c r="M103" s="70" t="s">
        <v>1770</v>
      </c>
      <c r="N103" s="70"/>
      <c r="O103" s="70" t="s">
        <v>1771</v>
      </c>
      <c r="P103" s="70" t="s">
        <v>1604</v>
      </c>
      <c r="Q103" s="70"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04" customFormat="false" ht="15" hidden="false" customHeight="false" outlineLevel="0" collapsed="false">
      <c r="A104" s="71" t="n">
        <v>46462</v>
      </c>
      <c r="B104" s="70"/>
      <c r="C104" s="70"/>
      <c r="D104" s="70"/>
      <c r="E104" s="70"/>
      <c r="F104" s="70"/>
      <c r="G104" s="70"/>
      <c r="H104" s="70"/>
      <c r="I104" s="70"/>
      <c r="J104" s="70"/>
      <c r="K104" s="70"/>
      <c r="L104" s="70"/>
      <c r="M104" s="70" t="s">
        <v>1772</v>
      </c>
      <c r="N104" s="70"/>
      <c r="O104" s="70" t="s">
        <v>1773</v>
      </c>
      <c r="P104" s="70" t="s">
        <v>1604</v>
      </c>
      <c r="Q104" s="70"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05" customFormat="false" ht="15" hidden="false" customHeight="false" outlineLevel="0" collapsed="false">
      <c r="A105" s="71" t="n">
        <v>46463</v>
      </c>
      <c r="B105" s="70"/>
      <c r="C105" s="70"/>
      <c r="D105" s="70"/>
      <c r="E105" s="70"/>
      <c r="F105" s="70"/>
      <c r="G105" s="70"/>
      <c r="H105" s="70"/>
      <c r="I105" s="70"/>
      <c r="J105" s="70"/>
      <c r="K105" s="70"/>
      <c r="L105" s="70"/>
      <c r="M105" s="70" t="s">
        <v>1774</v>
      </c>
      <c r="N105" s="70"/>
      <c r="O105" s="70" t="s">
        <v>1775</v>
      </c>
      <c r="P105" s="70" t="s">
        <v>1604</v>
      </c>
      <c r="Q105" s="70"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06" customFormat="false" ht="15" hidden="false" customHeight="false" outlineLevel="0" collapsed="false">
      <c r="A106" s="71" t="n">
        <v>46464</v>
      </c>
      <c r="B106" s="70"/>
      <c r="C106" s="70"/>
      <c r="D106" s="70"/>
      <c r="E106" s="70"/>
      <c r="F106" s="70"/>
      <c r="G106" s="70"/>
      <c r="H106" s="70"/>
      <c r="I106" s="70"/>
      <c r="J106" s="70"/>
      <c r="K106" s="70"/>
      <c r="L106" s="70"/>
      <c r="M106" s="70" t="s">
        <v>1776</v>
      </c>
      <c r="N106" s="70"/>
      <c r="O106" s="70" t="s">
        <v>1777</v>
      </c>
      <c r="P106" s="70" t="s">
        <v>1604</v>
      </c>
      <c r="Q106" s="70"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07" customFormat="false" ht="15" hidden="false" customHeight="false" outlineLevel="0" collapsed="false">
      <c r="A107" s="71" t="n">
        <v>46465</v>
      </c>
      <c r="B107" s="70"/>
      <c r="C107" s="70"/>
      <c r="D107" s="70"/>
      <c r="E107" s="70"/>
      <c r="F107" s="70"/>
      <c r="G107" s="70"/>
      <c r="H107" s="70"/>
      <c r="I107" s="70"/>
      <c r="J107" s="70"/>
      <c r="K107" s="70"/>
      <c r="L107" s="70"/>
      <c r="M107" s="70" t="s">
        <v>1778</v>
      </c>
      <c r="N107" s="70"/>
      <c r="O107" s="70" t="s">
        <v>1779</v>
      </c>
      <c r="P107" s="70" t="s">
        <v>1604</v>
      </c>
      <c r="Q107" s="70"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08" customFormat="false" ht="15" hidden="false" customHeight="false" outlineLevel="0" collapsed="false">
      <c r="A108" s="71" t="n">
        <v>46475</v>
      </c>
      <c r="B108" s="70"/>
      <c r="C108" s="70"/>
      <c r="D108" s="70"/>
      <c r="E108" s="70"/>
      <c r="F108" s="70"/>
      <c r="G108" s="70"/>
      <c r="H108" s="70"/>
      <c r="I108" s="70"/>
      <c r="J108" s="70"/>
      <c r="K108" s="70"/>
      <c r="L108" s="70"/>
      <c r="M108" s="70"/>
      <c r="N108" s="70"/>
      <c r="O108" s="70" t="s">
        <v>1780</v>
      </c>
      <c r="P108" s="70" t="s">
        <v>1604</v>
      </c>
      <c r="Q108" s="70"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09" customFormat="false" ht="15" hidden="false" customHeight="false" outlineLevel="0" collapsed="false">
      <c r="A109" s="71" t="n">
        <v>46476</v>
      </c>
      <c r="B109" s="70"/>
      <c r="C109" s="70"/>
      <c r="D109" s="70"/>
      <c r="E109" s="70"/>
      <c r="F109" s="70"/>
      <c r="G109" s="70"/>
      <c r="H109" s="70"/>
      <c r="I109" s="70"/>
      <c r="J109" s="70"/>
      <c r="K109" s="70"/>
      <c r="L109" s="70"/>
      <c r="M109" s="70"/>
      <c r="N109" s="70"/>
      <c r="O109" s="70" t="s">
        <v>1781</v>
      </c>
      <c r="P109" s="70" t="s">
        <v>1604</v>
      </c>
      <c r="Q109" s="70"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10" customFormat="false" ht="15" hidden="false" customHeight="false" outlineLevel="0" collapsed="false">
      <c r="A110" s="71" t="n">
        <v>46477</v>
      </c>
      <c r="B110" s="70"/>
      <c r="C110" s="70"/>
      <c r="D110" s="70"/>
      <c r="E110" s="70"/>
      <c r="F110" s="70"/>
      <c r="G110" s="70"/>
      <c r="H110" s="70"/>
      <c r="I110" s="70"/>
      <c r="J110" s="70"/>
      <c r="K110" s="70"/>
      <c r="L110" s="70"/>
      <c r="M110" s="70" t="s">
        <v>1782</v>
      </c>
      <c r="N110" s="70"/>
      <c r="O110" s="70" t="s">
        <v>1783</v>
      </c>
      <c r="P110" s="70" t="s">
        <v>1604</v>
      </c>
      <c r="Q110" s="70"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11" customFormat="false" ht="15" hidden="false" customHeight="false" outlineLevel="0" collapsed="false">
      <c r="A111" s="71" t="n">
        <v>46478</v>
      </c>
      <c r="B111" s="70"/>
      <c r="C111" s="70"/>
      <c r="D111" s="70"/>
      <c r="E111" s="70"/>
      <c r="F111" s="70"/>
      <c r="G111" s="70"/>
      <c r="H111" s="70"/>
      <c r="I111" s="70"/>
      <c r="J111" s="70"/>
      <c r="K111" s="70"/>
      <c r="L111" s="70"/>
      <c r="M111" s="70" t="s">
        <v>1784</v>
      </c>
      <c r="N111" s="70"/>
      <c r="O111" s="70" t="s">
        <v>1785</v>
      </c>
      <c r="P111" s="70" t="s">
        <v>1604</v>
      </c>
      <c r="Q111" s="70"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12" customFormat="false" ht="15" hidden="false" customHeight="false" outlineLevel="0" collapsed="false">
      <c r="A112" s="71" t="n">
        <v>46479</v>
      </c>
      <c r="B112" s="70"/>
      <c r="C112" s="70"/>
      <c r="D112" s="70"/>
      <c r="E112" s="70"/>
      <c r="F112" s="70"/>
      <c r="G112" s="70"/>
      <c r="H112" s="70"/>
      <c r="I112" s="70"/>
      <c r="J112" s="70"/>
      <c r="K112" s="70"/>
      <c r="L112" s="70"/>
      <c r="M112" s="70" t="s">
        <v>1786</v>
      </c>
      <c r="N112" s="70"/>
      <c r="O112" s="70" t="s">
        <v>1787</v>
      </c>
      <c r="P112" s="70" t="s">
        <v>1604</v>
      </c>
      <c r="Q112" s="70"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13" customFormat="false" ht="15" hidden="false" customHeight="false" outlineLevel="0" collapsed="false">
      <c r="A113" s="71" t="n">
        <v>46482</v>
      </c>
      <c r="B113" s="70"/>
      <c r="C113" s="70"/>
      <c r="D113" s="70"/>
      <c r="E113" s="70"/>
      <c r="F113" s="70"/>
      <c r="G113" s="70"/>
      <c r="H113" s="70"/>
      <c r="I113" s="70"/>
      <c r="J113" s="70"/>
      <c r="K113" s="70"/>
      <c r="L113" s="70"/>
      <c r="M113" s="70"/>
      <c r="N113" s="70"/>
      <c r="O113" s="70" t="s">
        <v>1788</v>
      </c>
      <c r="P113" s="70" t="s">
        <v>1604</v>
      </c>
      <c r="Q113" s="70"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14" customFormat="false" ht="15" hidden="false" customHeight="false" outlineLevel="0" collapsed="false">
      <c r="A114" s="71" t="n">
        <v>46483</v>
      </c>
      <c r="B114" s="70"/>
      <c r="C114" s="70"/>
      <c r="D114" s="70"/>
      <c r="E114" s="70"/>
      <c r="F114" s="70"/>
      <c r="G114" s="70"/>
      <c r="H114" s="70"/>
      <c r="I114" s="70"/>
      <c r="J114" s="70"/>
      <c r="K114" s="70"/>
      <c r="L114" s="70"/>
      <c r="M114" s="70"/>
      <c r="N114" s="70"/>
      <c r="O114" s="70" t="s">
        <v>1789</v>
      </c>
      <c r="P114" s="70" t="s">
        <v>1604</v>
      </c>
      <c r="Q114" s="70" t="str">
        <f aca="false">IFERROR("https://drive.google.com/file/d/"&amp;VLOOKUP("k3eb4a6e4e0a9",Drive!$A:$B,2,0)&amp;"/view","https://drive.google.com/drive/search?q=title:%22A7%202.01%20Square%20Values%20-%20Slides.pdf%22")</f>
        <v>https://drive.google.com/drive/search?q=title:%22A7%202.01%20Square%20Values%20-%20Slides.pdf%22</v>
      </c>
    </row>
    <row r="115" customFormat="false" ht="15" hidden="false" customHeight="false" outlineLevel="0" collapsed="false">
      <c r="A115" s="71" t="n">
        <v>46484</v>
      </c>
      <c r="B115" s="70"/>
      <c r="C115" s="70"/>
      <c r="D115" s="70"/>
      <c r="E115" s="70"/>
      <c r="F115" s="70"/>
      <c r="G115" s="70"/>
      <c r="H115" s="70"/>
      <c r="I115" s="70"/>
      <c r="J115" s="70"/>
      <c r="K115" s="70"/>
      <c r="L115" s="70"/>
      <c r="M115" s="70" t="s">
        <v>1790</v>
      </c>
      <c r="N115" s="70"/>
      <c r="O115" s="70" t="s">
        <v>1791</v>
      </c>
      <c r="P115" s="70" t="s">
        <v>1604</v>
      </c>
      <c r="Q115" s="70" t="str">
        <f aca="false">IFERROR("https://drive.google.com/file/d/"&amp;VLOOKUP("k3786dea98f2a",Drive!$A:$B,2,0)&amp;"/view","https://drive.google.com/drive/search?q=title:%22A7%202.01%20Square%20Values%20-%20Teacher%20Edition.pdf%22")</f>
        <v>https://drive.google.com/drive/search?q=title:%22A7%202.01%20Square%20Values%20-%20Teacher%20Edition.pdf%22</v>
      </c>
    </row>
    <row r="116" customFormat="false" ht="15" hidden="false" customHeight="false" outlineLevel="0" collapsed="false">
      <c r="A116" s="71" t="n">
        <v>46485</v>
      </c>
      <c r="B116" s="70"/>
      <c r="C116" s="70"/>
      <c r="D116" s="70"/>
      <c r="E116" s="70"/>
      <c r="F116" s="70"/>
      <c r="G116" s="70"/>
      <c r="H116" s="70"/>
      <c r="I116" s="70"/>
      <c r="J116" s="70"/>
      <c r="K116" s="70"/>
      <c r="L116" s="70"/>
      <c r="M116" s="70" t="s">
        <v>1792</v>
      </c>
      <c r="N116" s="70"/>
      <c r="O116" s="70" t="s">
        <v>1793</v>
      </c>
      <c r="P116" s="70" t="s">
        <v>1604</v>
      </c>
      <c r="Q116" s="70" t="str">
        <f aca="false">IFERROR("https://drive.google.com/file/d/"&amp;VLOOKUP("k8424cc4e78b1",Drive!$A:$B,2,0)&amp;"/view","https://drive.google.com/drive/search?q=title:%22A7%202.01%20Square%20Values%20-%20Question%20Bank.pdf%22")</f>
        <v>https://drive.google.com/drive/search?q=title:%22A7%202.01%20Square%20Values%20-%20Question%20Bank.pdf%22</v>
      </c>
    </row>
    <row r="117" customFormat="false" ht="15" hidden="false" customHeight="false" outlineLevel="0" collapsed="false">
      <c r="A117" s="71" t="n">
        <v>46486</v>
      </c>
      <c r="B117" s="70"/>
      <c r="C117" s="70"/>
      <c r="D117" s="70"/>
      <c r="E117" s="70"/>
      <c r="F117" s="70"/>
      <c r="G117" s="70"/>
      <c r="H117" s="70"/>
      <c r="I117" s="70"/>
      <c r="J117" s="70"/>
      <c r="K117" s="70"/>
      <c r="L117" s="70"/>
      <c r="M117" s="70" t="s">
        <v>1794</v>
      </c>
      <c r="N117" s="70"/>
      <c r="O117" s="70" t="s">
        <v>1795</v>
      </c>
      <c r="P117" s="70" t="s">
        <v>1604</v>
      </c>
      <c r="Q117" s="70"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18" customFormat="false" ht="15" hidden="false" customHeight="false" outlineLevel="0" collapsed="false">
      <c r="A118" s="71" t="n">
        <v>46489</v>
      </c>
      <c r="B118" s="70"/>
      <c r="C118" s="70"/>
      <c r="D118" s="70"/>
      <c r="E118" s="70"/>
      <c r="F118" s="70"/>
      <c r="G118" s="70"/>
      <c r="H118" s="70"/>
      <c r="I118" s="70"/>
      <c r="J118" s="70"/>
      <c r="K118" s="70"/>
      <c r="L118" s="70"/>
      <c r="M118" s="70" t="s">
        <v>1796</v>
      </c>
      <c r="N118" s="70"/>
      <c r="O118" s="70" t="s">
        <v>1797</v>
      </c>
      <c r="P118" s="70" t="s">
        <v>1604</v>
      </c>
      <c r="Q118" s="70"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19" customFormat="false" ht="15" hidden="false" customHeight="false" outlineLevel="0" collapsed="false">
      <c r="A119" s="71" t="n">
        <v>46490</v>
      </c>
      <c r="B119" s="70"/>
      <c r="C119" s="70"/>
      <c r="D119" s="70"/>
      <c r="E119" s="70"/>
      <c r="F119" s="70"/>
      <c r="G119" s="70"/>
      <c r="H119" s="70"/>
      <c r="I119" s="70"/>
      <c r="J119" s="70"/>
      <c r="K119" s="70"/>
      <c r="L119" s="70"/>
      <c r="M119" s="70" t="s">
        <v>1798</v>
      </c>
      <c r="N119" s="70"/>
      <c r="O119" s="70" t="s">
        <v>1799</v>
      </c>
      <c r="P119" s="70" t="s">
        <v>1604</v>
      </c>
      <c r="Q119" s="70"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20" customFormat="false" ht="15" hidden="false" customHeight="false" outlineLevel="0" collapsed="false">
      <c r="A120" s="71" t="n">
        <v>46491</v>
      </c>
      <c r="B120" s="70"/>
      <c r="C120" s="70"/>
      <c r="D120" s="70"/>
      <c r="E120" s="70"/>
      <c r="F120" s="70"/>
      <c r="G120" s="70"/>
      <c r="H120" s="70"/>
      <c r="I120" s="70"/>
      <c r="J120" s="70"/>
      <c r="K120" s="70"/>
      <c r="L120" s="70"/>
      <c r="M120" s="70" t="s">
        <v>1800</v>
      </c>
      <c r="N120" s="70"/>
      <c r="O120" s="70" t="s">
        <v>1801</v>
      </c>
      <c r="P120" s="70" t="s">
        <v>1604</v>
      </c>
      <c r="Q120" s="70"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21" customFormat="false" ht="15" hidden="false" customHeight="false" outlineLevel="0" collapsed="false">
      <c r="A121" s="71" t="n">
        <v>46492</v>
      </c>
      <c r="B121" s="70"/>
      <c r="C121" s="70"/>
      <c r="D121" s="70"/>
      <c r="E121" s="70"/>
      <c r="F121" s="70"/>
      <c r="G121" s="70"/>
      <c r="H121" s="70"/>
      <c r="I121" s="70"/>
      <c r="J121" s="70"/>
      <c r="K121" s="70"/>
      <c r="L121" s="70"/>
      <c r="M121" s="70" t="s">
        <v>1802</v>
      </c>
      <c r="N121" s="70"/>
      <c r="O121" s="70" t="s">
        <v>1803</v>
      </c>
      <c r="P121" s="70" t="s">
        <v>1604</v>
      </c>
      <c r="Q121" s="70"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22" customFormat="false" ht="15" hidden="false" customHeight="false" outlineLevel="0" collapsed="false">
      <c r="A122" s="71" t="n">
        <v>46496</v>
      </c>
      <c r="B122" s="70"/>
      <c r="C122" s="70"/>
      <c r="D122" s="70"/>
      <c r="E122" s="70"/>
      <c r="F122" s="70"/>
      <c r="G122" s="70"/>
      <c r="H122" s="70"/>
      <c r="I122" s="70"/>
      <c r="J122" s="70"/>
      <c r="K122" s="70"/>
      <c r="L122" s="70"/>
      <c r="M122" s="70" t="s">
        <v>1804</v>
      </c>
      <c r="N122" s="70"/>
      <c r="O122" s="70" t="s">
        <v>1805</v>
      </c>
      <c r="P122" s="70" t="s">
        <v>1604</v>
      </c>
      <c r="Q122" s="70"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23" customFormat="false" ht="15" hidden="false" customHeight="false" outlineLevel="0" collapsed="false">
      <c r="A123" s="71" t="n">
        <v>46497</v>
      </c>
      <c r="B123" s="70"/>
      <c r="C123" s="70"/>
      <c r="D123" s="70"/>
      <c r="E123" s="70"/>
      <c r="F123" s="70"/>
      <c r="G123" s="70"/>
      <c r="H123" s="70"/>
      <c r="I123" s="70"/>
      <c r="J123" s="70"/>
      <c r="K123" s="70"/>
      <c r="L123" s="70"/>
      <c r="M123" s="70" t="s">
        <v>1806</v>
      </c>
      <c r="N123" s="70"/>
      <c r="O123" s="70" t="s">
        <v>1807</v>
      </c>
      <c r="P123" s="70" t="s">
        <v>1604</v>
      </c>
      <c r="Q123" s="70"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24" customFormat="false" ht="15" hidden="false" customHeight="false" outlineLevel="0" collapsed="false">
      <c r="A124" s="71" t="n">
        <v>46498</v>
      </c>
      <c r="B124" s="70"/>
      <c r="C124" s="70"/>
      <c r="D124" s="70"/>
      <c r="E124" s="70"/>
      <c r="F124" s="70"/>
      <c r="G124" s="70"/>
      <c r="H124" s="70"/>
      <c r="I124" s="70"/>
      <c r="J124" s="70"/>
      <c r="K124" s="70"/>
      <c r="L124" s="70"/>
      <c r="M124" s="70" t="s">
        <v>1808</v>
      </c>
      <c r="N124" s="70"/>
      <c r="O124" s="70" t="s">
        <v>1809</v>
      </c>
      <c r="P124" s="70" t="s">
        <v>1604</v>
      </c>
      <c r="Q124" s="70"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25" customFormat="false" ht="15" hidden="false" customHeight="false" outlineLevel="0" collapsed="false">
      <c r="A125" s="71" t="n">
        <v>46499</v>
      </c>
      <c r="B125" s="70"/>
      <c r="C125" s="70"/>
      <c r="D125" s="70"/>
      <c r="E125" s="70"/>
      <c r="F125" s="70"/>
      <c r="G125" s="70"/>
      <c r="H125" s="70"/>
      <c r="I125" s="70"/>
      <c r="J125" s="70"/>
      <c r="K125" s="70"/>
      <c r="L125" s="70"/>
      <c r="M125" s="70"/>
      <c r="N125" s="70"/>
      <c r="O125" s="70" t="s">
        <v>1810</v>
      </c>
      <c r="P125" s="70" t="s">
        <v>1604</v>
      </c>
      <c r="Q125" s="70"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26" customFormat="false" ht="15" hidden="false" customHeight="false" outlineLevel="0" collapsed="false">
      <c r="A126" s="71" t="n">
        <v>46500</v>
      </c>
      <c r="B126" s="70"/>
      <c r="C126" s="70"/>
      <c r="D126" s="70"/>
      <c r="E126" s="70"/>
      <c r="F126" s="70"/>
      <c r="G126" s="70"/>
      <c r="H126" s="70"/>
      <c r="I126" s="70"/>
      <c r="J126" s="70"/>
      <c r="K126" s="70"/>
      <c r="L126" s="70"/>
      <c r="M126" s="70"/>
      <c r="N126" s="70"/>
      <c r="O126" s="70" t="s">
        <v>1811</v>
      </c>
      <c r="P126" s="70" t="s">
        <v>1604</v>
      </c>
      <c r="Q126" s="70" t="str">
        <f aca="false">IFERROR("https://drive.google.com/file/d/"&amp;VLOOKUP("kda9320d99fb4",Drive!$A:$B,2,0)&amp;"/view","https://drive.google.com/drive/search?q=title:%22A7%202.03%20Cube%20Values%20-%20Slides.pdf%22")</f>
        <v>https://drive.google.com/drive/search?q=title:%22A7%202.03%20Cube%20Values%20-%20Slides.pdf%22</v>
      </c>
    </row>
    <row r="127" customFormat="false" ht="15" hidden="false" customHeight="false" outlineLevel="0" collapsed="false">
      <c r="A127" s="71" t="n">
        <v>46503</v>
      </c>
      <c r="B127" s="70"/>
      <c r="C127" s="70"/>
      <c r="D127" s="70"/>
      <c r="E127" s="70"/>
      <c r="F127" s="70"/>
      <c r="G127" s="70"/>
      <c r="H127" s="70"/>
      <c r="I127" s="70"/>
      <c r="J127" s="70"/>
      <c r="K127" s="70"/>
      <c r="L127" s="70"/>
      <c r="M127" s="70" t="s">
        <v>1812</v>
      </c>
      <c r="N127" s="70"/>
      <c r="O127" s="70" t="s">
        <v>1813</v>
      </c>
      <c r="P127" s="70" t="s">
        <v>1604</v>
      </c>
      <c r="Q127" s="70" t="str">
        <f aca="false">IFERROR("https://drive.google.com/file/d/"&amp;VLOOKUP("k577a4eca3248",Drive!$A:$B,2,0)&amp;"/view","https://drive.google.com/drive/search?q=title:%22A7%202.03%20Cube%20Values%20-%20Teacher%20Edition.pdf%22")</f>
        <v>https://drive.google.com/drive/search?q=title:%22A7%202.03%20Cube%20Values%20-%20Teacher%20Edition.pdf%22</v>
      </c>
    </row>
    <row r="128" customFormat="false" ht="15" hidden="false" customHeight="false" outlineLevel="0" collapsed="false">
      <c r="A128" s="71" t="n">
        <v>46504</v>
      </c>
      <c r="B128" s="70"/>
      <c r="C128" s="70"/>
      <c r="D128" s="70"/>
      <c r="E128" s="70"/>
      <c r="F128" s="70"/>
      <c r="G128" s="70"/>
      <c r="H128" s="70"/>
      <c r="I128" s="70"/>
      <c r="J128" s="70"/>
      <c r="K128" s="70"/>
      <c r="L128" s="70"/>
      <c r="M128" s="70" t="s">
        <v>1814</v>
      </c>
      <c r="N128" s="70"/>
      <c r="O128" s="70" t="s">
        <v>1815</v>
      </c>
      <c r="P128" s="70" t="s">
        <v>1604</v>
      </c>
      <c r="Q128" s="70" t="str">
        <f aca="false">IFERROR("https://drive.google.com/file/d/"&amp;VLOOKUP("k0dbd9d8294a0",Drive!$A:$B,2,0)&amp;"/view","https://drive.google.com/drive/search?q=title:%22A7%202.03%20Cube%20Values%20-%20Question%20Bank.pdf%22")</f>
        <v>https://drive.google.com/drive/search?q=title:%22A7%202.03%20Cube%20Values%20-%20Question%20Bank.pdf%22</v>
      </c>
    </row>
    <row r="129" customFormat="false" ht="15" hidden="false" customHeight="false" outlineLevel="0" collapsed="false">
      <c r="A129" s="71" t="n">
        <v>46505</v>
      </c>
      <c r="B129" s="70"/>
      <c r="C129" s="70"/>
      <c r="D129" s="70"/>
      <c r="E129" s="70"/>
      <c r="F129" s="70"/>
      <c r="G129" s="70"/>
      <c r="H129" s="70"/>
      <c r="I129" s="70"/>
      <c r="J129" s="70"/>
      <c r="K129" s="70"/>
      <c r="L129" s="70"/>
      <c r="M129" s="70"/>
      <c r="N129" s="70"/>
      <c r="O129" s="70" t="s">
        <v>1816</v>
      </c>
      <c r="P129" s="70" t="s">
        <v>1604</v>
      </c>
      <c r="Q129" s="70"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30" customFormat="false" ht="15" hidden="false" customHeight="false" outlineLevel="0" collapsed="false">
      <c r="A130" s="71" t="n">
        <v>46506</v>
      </c>
      <c r="B130" s="70"/>
      <c r="C130" s="70"/>
      <c r="D130" s="70"/>
      <c r="E130" s="70"/>
      <c r="F130" s="70"/>
      <c r="G130" s="70"/>
      <c r="H130" s="70"/>
      <c r="I130" s="70"/>
      <c r="J130" s="70"/>
      <c r="K130" s="70"/>
      <c r="L130" s="70"/>
      <c r="M130" s="70"/>
      <c r="N130" s="70"/>
      <c r="O130" s="70" t="s">
        <v>1817</v>
      </c>
      <c r="P130" s="70" t="s">
        <v>1604</v>
      </c>
      <c r="Q130" s="70"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31" customFormat="false" ht="15" hidden="false" customHeight="false" outlineLevel="0" collapsed="false">
      <c r="A131" s="71" t="n">
        <v>46507</v>
      </c>
      <c r="B131" s="70"/>
      <c r="C131" s="70"/>
      <c r="D131" s="70"/>
      <c r="E131" s="70"/>
      <c r="F131" s="70"/>
      <c r="G131" s="70"/>
      <c r="H131" s="70"/>
      <c r="I131" s="70"/>
      <c r="J131" s="70"/>
      <c r="K131" s="70"/>
      <c r="L131" s="70"/>
      <c r="M131" s="70"/>
      <c r="N131" s="70"/>
      <c r="O131" s="70" t="s">
        <v>1818</v>
      </c>
      <c r="P131" s="70" t="s">
        <v>1604</v>
      </c>
      <c r="Q131" s="70"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32" customFormat="false" ht="15" hidden="false" customHeight="false" outlineLevel="0" collapsed="false">
      <c r="A132" s="71" t="n">
        <v>46510</v>
      </c>
      <c r="B132" s="70"/>
      <c r="C132" s="70"/>
      <c r="D132" s="70"/>
      <c r="E132" s="70"/>
      <c r="F132" s="70"/>
      <c r="G132" s="70"/>
      <c r="H132" s="70"/>
      <c r="I132" s="70"/>
      <c r="J132" s="70"/>
      <c r="K132" s="70"/>
      <c r="L132" s="70"/>
      <c r="M132" s="70"/>
      <c r="N132" s="70"/>
      <c r="O132" s="70" t="s">
        <v>1819</v>
      </c>
      <c r="P132" s="70" t="s">
        <v>1604</v>
      </c>
      <c r="Q132" s="70"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33" customFormat="false" ht="15" hidden="false" customHeight="false" outlineLevel="0" collapsed="false">
      <c r="A133" s="70"/>
      <c r="B133" s="70"/>
      <c r="C133" s="70"/>
      <c r="D133" s="70"/>
      <c r="E133" s="70"/>
      <c r="F133" s="70"/>
      <c r="G133" s="70"/>
      <c r="H133" s="70"/>
      <c r="I133" s="70"/>
      <c r="J133" s="70"/>
      <c r="K133" s="70"/>
      <c r="L133" s="70"/>
      <c r="M133" s="70"/>
      <c r="N133" s="70"/>
      <c r="O133" s="70" t="s">
        <v>1820</v>
      </c>
      <c r="P133" s="70" t="s">
        <v>1604</v>
      </c>
      <c r="Q133" s="70"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34" customFormat="false" ht="15" hidden="false" customHeight="false" outlineLevel="0" collapsed="false">
      <c r="A134" s="70"/>
      <c r="B134" s="70"/>
      <c r="C134" s="70"/>
      <c r="D134" s="70"/>
      <c r="E134" s="70"/>
      <c r="F134" s="70"/>
      <c r="G134" s="70"/>
      <c r="H134" s="70"/>
      <c r="I134" s="70"/>
      <c r="J134" s="70"/>
      <c r="K134" s="70"/>
      <c r="L134" s="70"/>
      <c r="M134" s="70"/>
      <c r="N134" s="70"/>
      <c r="O134" s="70" t="s">
        <v>1821</v>
      </c>
      <c r="P134" s="70" t="s">
        <v>1604</v>
      </c>
      <c r="Q134" s="70"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35" customFormat="false" ht="15" hidden="false" customHeight="false" outlineLevel="0" collapsed="false">
      <c r="A135" s="70"/>
      <c r="B135" s="70"/>
      <c r="C135" s="70"/>
      <c r="D135" s="70"/>
      <c r="E135" s="70"/>
      <c r="F135" s="70"/>
      <c r="G135" s="70"/>
      <c r="H135" s="70"/>
      <c r="I135" s="70"/>
      <c r="J135" s="70"/>
      <c r="K135" s="70"/>
      <c r="L135" s="70"/>
      <c r="M135" s="70"/>
      <c r="N135" s="70"/>
      <c r="O135" s="70" t="s">
        <v>1822</v>
      </c>
      <c r="P135" s="70" t="s">
        <v>1604</v>
      </c>
      <c r="Q135" s="70"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36" customFormat="false" ht="15" hidden="false" customHeight="false" outlineLevel="0" collapsed="false">
      <c r="A136" s="70"/>
      <c r="B136" s="70"/>
      <c r="C136" s="70"/>
      <c r="D136" s="70"/>
      <c r="E136" s="70"/>
      <c r="F136" s="70"/>
      <c r="G136" s="70"/>
      <c r="H136" s="70"/>
      <c r="I136" s="70"/>
      <c r="J136" s="70"/>
      <c r="K136" s="70"/>
      <c r="L136" s="70"/>
      <c r="M136" s="70"/>
      <c r="N136" s="70"/>
      <c r="O136" s="70" t="s">
        <v>1823</v>
      </c>
      <c r="P136" s="70" t="s">
        <v>1604</v>
      </c>
      <c r="Q136" s="70"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37" customFormat="false" ht="15" hidden="false" customHeight="false" outlineLevel="0" collapsed="false">
      <c r="A137" s="70"/>
      <c r="B137" s="70"/>
      <c r="C137" s="70"/>
      <c r="D137" s="70"/>
      <c r="E137" s="70"/>
      <c r="F137" s="70"/>
      <c r="G137" s="70"/>
      <c r="H137" s="70"/>
      <c r="I137" s="70"/>
      <c r="J137" s="70"/>
      <c r="K137" s="70"/>
      <c r="L137" s="70"/>
      <c r="M137" s="70"/>
      <c r="N137" s="70"/>
      <c r="O137" s="70" t="s">
        <v>1824</v>
      </c>
      <c r="P137" s="70" t="s">
        <v>1604</v>
      </c>
      <c r="Q137" s="70"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38" customFormat="false" ht="15" hidden="false" customHeight="false" outlineLevel="0" collapsed="false">
      <c r="A138" s="70"/>
      <c r="B138" s="70"/>
      <c r="C138" s="70"/>
      <c r="D138" s="70"/>
      <c r="E138" s="70"/>
      <c r="F138" s="70"/>
      <c r="G138" s="70"/>
      <c r="H138" s="70"/>
      <c r="I138" s="70"/>
      <c r="J138" s="70"/>
      <c r="K138" s="70"/>
      <c r="L138" s="70"/>
      <c r="M138" s="70"/>
      <c r="N138" s="70"/>
      <c r="O138" s="70" t="s">
        <v>1825</v>
      </c>
      <c r="P138" s="70" t="s">
        <v>1604</v>
      </c>
      <c r="Q138" s="70"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39" customFormat="false" ht="15" hidden="false" customHeight="false" outlineLevel="0" collapsed="false">
      <c r="A139" s="70"/>
      <c r="B139" s="70"/>
      <c r="C139" s="70"/>
      <c r="D139" s="70"/>
      <c r="E139" s="70"/>
      <c r="F139" s="70"/>
      <c r="G139" s="70"/>
      <c r="H139" s="70"/>
      <c r="I139" s="70"/>
      <c r="J139" s="70"/>
      <c r="K139" s="70"/>
      <c r="L139" s="70"/>
      <c r="M139" s="70"/>
      <c r="N139" s="70"/>
      <c r="O139" s="70" t="s">
        <v>1826</v>
      </c>
      <c r="P139" s="70" t="s">
        <v>1604</v>
      </c>
      <c r="Q139" s="70"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40" customFormat="false" ht="15" hidden="false" customHeight="false" outlineLevel="0" collapsed="false">
      <c r="A140" s="70"/>
      <c r="B140" s="70"/>
      <c r="C140" s="70"/>
      <c r="D140" s="70"/>
      <c r="E140" s="70"/>
      <c r="F140" s="70"/>
      <c r="G140" s="70"/>
      <c r="H140" s="70"/>
      <c r="I140" s="70"/>
      <c r="J140" s="70"/>
      <c r="K140" s="70"/>
      <c r="L140" s="70"/>
      <c r="M140" s="70"/>
      <c r="N140" s="70"/>
      <c r="O140" s="70" t="s">
        <v>1827</v>
      </c>
      <c r="P140" s="70" t="s">
        <v>1604</v>
      </c>
      <c r="Q140" s="70"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41" customFormat="false" ht="15" hidden="false" customHeight="false" outlineLevel="0" collapsed="false">
      <c r="A141" s="70"/>
      <c r="B141" s="70"/>
      <c r="C141" s="70"/>
      <c r="D141" s="70"/>
      <c r="E141" s="70"/>
      <c r="F141" s="70"/>
      <c r="G141" s="70"/>
      <c r="H141" s="70"/>
      <c r="I141" s="70"/>
      <c r="J141" s="70"/>
      <c r="K141" s="70"/>
      <c r="L141" s="70"/>
      <c r="M141" s="70"/>
      <c r="N141" s="70"/>
      <c r="O141" s="70" t="s">
        <v>1828</v>
      </c>
      <c r="P141" s="70" t="s">
        <v>1604</v>
      </c>
      <c r="Q141" s="70"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42" customFormat="false" ht="15" hidden="false" customHeight="false" outlineLevel="0" collapsed="false">
      <c r="A142" s="70"/>
      <c r="B142" s="70"/>
      <c r="C142" s="70"/>
      <c r="D142" s="70"/>
      <c r="E142" s="70"/>
      <c r="F142" s="70"/>
      <c r="G142" s="70"/>
      <c r="H142" s="70"/>
      <c r="I142" s="70"/>
      <c r="J142" s="70"/>
      <c r="K142" s="70"/>
      <c r="L142" s="70"/>
      <c r="M142" s="70"/>
      <c r="N142" s="70"/>
      <c r="O142" s="70" t="s">
        <v>1829</v>
      </c>
      <c r="P142" s="70" t="s">
        <v>1604</v>
      </c>
      <c r="Q142" s="70"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43" customFormat="false" ht="15" hidden="false" customHeight="false" outlineLevel="0" collapsed="false">
      <c r="A143" s="70"/>
      <c r="B143" s="70"/>
      <c r="C143" s="70"/>
      <c r="D143" s="70"/>
      <c r="E143" s="70"/>
      <c r="F143" s="70"/>
      <c r="G143" s="70"/>
      <c r="H143" s="70"/>
      <c r="I143" s="70"/>
      <c r="J143" s="70"/>
      <c r="K143" s="70"/>
      <c r="L143" s="70"/>
      <c r="M143" s="70"/>
      <c r="N143" s="70"/>
      <c r="O143" s="70" t="s">
        <v>1830</v>
      </c>
      <c r="P143" s="70" t="s">
        <v>1604</v>
      </c>
      <c r="Q143" s="70"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44" customFormat="false" ht="15" hidden="false" customHeight="false" outlineLevel="0" collapsed="false">
      <c r="A144" s="70"/>
      <c r="B144" s="70"/>
      <c r="C144" s="70"/>
      <c r="D144" s="70"/>
      <c r="E144" s="70"/>
      <c r="F144" s="70"/>
      <c r="G144" s="70"/>
      <c r="H144" s="70"/>
      <c r="I144" s="70"/>
      <c r="J144" s="70"/>
      <c r="K144" s="70"/>
      <c r="L144" s="70"/>
      <c r="M144" s="70"/>
      <c r="N144" s="70"/>
      <c r="O144" s="70" t="s">
        <v>1831</v>
      </c>
      <c r="P144" s="70" t="s">
        <v>1604</v>
      </c>
      <c r="Q144" s="70"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45" customFormat="false" ht="15" hidden="false" customHeight="false" outlineLevel="0" collapsed="false">
      <c r="A145" s="70"/>
      <c r="B145" s="70"/>
      <c r="C145" s="70"/>
      <c r="D145" s="70"/>
      <c r="E145" s="70"/>
      <c r="F145" s="70"/>
      <c r="G145" s="70"/>
      <c r="H145" s="70"/>
      <c r="I145" s="70"/>
      <c r="J145" s="70"/>
      <c r="K145" s="70"/>
      <c r="L145" s="70"/>
      <c r="M145" s="70"/>
      <c r="N145" s="70"/>
      <c r="O145" s="70" t="s">
        <v>1832</v>
      </c>
      <c r="P145" s="70" t="s">
        <v>1604</v>
      </c>
      <c r="Q145" s="70"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46" customFormat="false" ht="15" hidden="false" customHeight="false" outlineLevel="0" collapsed="false">
      <c r="A146" s="70"/>
      <c r="B146" s="70"/>
      <c r="C146" s="70"/>
      <c r="D146" s="70"/>
      <c r="E146" s="70"/>
      <c r="F146" s="70"/>
      <c r="G146" s="70"/>
      <c r="H146" s="70"/>
      <c r="I146" s="70"/>
      <c r="J146" s="70"/>
      <c r="K146" s="70"/>
      <c r="L146" s="70"/>
      <c r="M146" s="70"/>
      <c r="N146" s="70"/>
      <c r="O146" s="70" t="s">
        <v>1833</v>
      </c>
      <c r="P146" s="70" t="s">
        <v>1604</v>
      </c>
      <c r="Q146" s="70"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47" customFormat="false" ht="15" hidden="false" customHeight="false" outlineLevel="0" collapsed="false">
      <c r="A147" s="70"/>
      <c r="B147" s="70"/>
      <c r="C147" s="70"/>
      <c r="D147" s="70"/>
      <c r="E147" s="70"/>
      <c r="F147" s="70"/>
      <c r="G147" s="70"/>
      <c r="H147" s="70"/>
      <c r="I147" s="70"/>
      <c r="J147" s="70"/>
      <c r="K147" s="70"/>
      <c r="L147" s="70"/>
      <c r="M147" s="70"/>
      <c r="N147" s="70"/>
      <c r="O147" s="70" t="s">
        <v>1834</v>
      </c>
      <c r="P147" s="70" t="s">
        <v>1604</v>
      </c>
      <c r="Q147" s="70"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2" t="s">
        <v>1835</v>
      </c>
      <c r="B1" s="72" t="s">
        <v>1836</v>
      </c>
      <c r="C1" s="72" t="s">
        <v>1837</v>
      </c>
      <c r="D1" s="72" t="s">
        <v>1838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2026-10-07T01:40:08Z</dcterms:created>
  <dc:creator>openpyxl</dc:creator>
  <dc:description/>
  <dc:language>en-US</dc:language>
  <cp:lastModifiedBy/>
  <dcterms:modified xsi:type="dcterms:W3CDTF">2026-10-07T01:40:09Z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