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<sst xmlns="http://schemas.openxmlformats.org/spreadsheetml/2006/main" count="2886" uniqueCount="1934">
  <si>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</si>
  <si>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</si>
  <si>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</si>
  <si>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</si>
  <si>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</si>
  <si>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</si>
  <si>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</si>
  <si>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</si>
  <si>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</si>
  <si>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</si>
  <si>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</si>
  <si>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</si>
  <si>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</si>
  <si>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</si>
  <si>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</si>
  <si>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</si>
  <si>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</si>
  <si>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</si>
  <si>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</si>
  <si>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</si>
  <si>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</si>
  <si>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</si>
  <si>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</si>
  <si>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</si>
  <si>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</si>
  <si>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</si>
  <si>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</si>
  <si>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</si>
  <si>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</si>
  <si>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</si>
  <si>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</si>
  <si>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</si>
  <si>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</si>
  <si>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</si>
  <si>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</si>
  <si>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</si>
  <si>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</si>
  <si>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</si>
  <si>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</si>
  <si>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</si>
  <si>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</si>
  <si>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</si>
  <si>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</si>
  <si>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</si>
  <si>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</si>
  <si>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</si>
  <si>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</si>
  <si>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</si>
  <si>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</si>
  <si>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</si>
  <si>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</si>
  <si>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</si>
  <si>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</si>
  <si>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</si>
  <si>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</si>
  <si>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</si>
  <si>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</si>
  <si>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</si>
  <si>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</si>
  <si>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</si>
  <si>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</si>
  <si>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</si>
  <si>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</si>
  <si>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</si>
  <si>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</si>
  <si>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</si>
  <si>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</si>
  <si>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</si>
  <si>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</si>
  <si>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</si>
  <si>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</si>
  <si>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</si>
  <si>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</si>
  <si>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</si>
  <si>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</si>
  <si>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</si>
  <si>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</si>
  <si>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</si>
  <si>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</si>
  <si>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</si>
  <si>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</si>
  <si>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</si>
  <si>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</si>
  <si>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</si>
  <si>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</si>
  <si>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</si>
  <si>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</si>
  <si>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</si>
  <si>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</si>
  <si>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</si>
  <si>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</si>
  <si>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</si>
  <si>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</si>
  <si>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</si>
  <si>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</si>
  <si>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</si>
  <si>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</si>
  <si>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</si>
  <si>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</si>
  <si>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</si>
  <si>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</si>
  <si>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</si>
  <si>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</si>
  <si>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</si>
  <si>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</si>
  <si>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</si>
  <si>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</si>
  <si>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</si>
  <si>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</si>
  <si>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</si>
  <si>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</si>
  <si>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</si>
  <si>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</si>
  <si>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</si>
  <si>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</si>
  <si>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</si>
  <si>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</si>
  <si>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</si>
  <si>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</si>
  <si>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</si>
  <si>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</si>
  <si>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</si>
  <si>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</si>
  <si>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</si>
  <si>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</si>
  <si>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</si>
  <si>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</si>
  <si>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</si>
  <si>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</si>
  <si>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</si>
  <si>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</si>
  <si>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</si>
  <si>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</si>
  <si>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</si>
  <si>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</si>
  <si>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</si>
  <si>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</si>
  <si>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</si>
  <si>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</si>
  <si>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</si>
  <si>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</si>
  <si>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</si>
  <si>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</si>
  <si>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</si>
  <si>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</si>
  <si>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</si>
  <si>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</si>
  <si>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</si>
  <si>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</si>
  <si>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</si>
  <si>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</si>
  <si>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</si>
  <si>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</si>
  <si>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</si>
  <si>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</si>
  <si>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</si>
  <si>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</si>
  <si>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</si>
  <si>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</si>
  <si>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</si>
  <si>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</si>
  <si>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</si>
  <si>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</si>
  <si>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</si>
  <si>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</si>
  <si>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</si>
  <si>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</si>
  <si>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</si>
  <si>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</si>
  <si>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</si>
  <si>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</si>
  <si>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</si>
  <si>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</si>
  <si>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</si>
  <si>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</si>
  <si>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</si>
  <si>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</si>
  <si>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</si>
  <si>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</si>
  <si>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</si>
  <si>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</si>
  <si>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</si>
  <si>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</si>
  <si>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</si>
  <si>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</si>
  <si>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</si>
  <si>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</si>
  <si>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</si>
  <si>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</si>
  <si>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</si>
  <si>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</si>
  <si>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</si>
  <si>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</si>
  <si>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</si>
  <si>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</si>
  <si>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</si>
  <si>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</si>
  <si>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</si>
  <si>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</si>
  <si>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</si>
  <si>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</si>
  <si>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</si>
  <si>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</si>
  <si>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</si>
  <si>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</si>
  <si>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</si>
  <si>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</si>
  <si>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</si>
  <si>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</si>
  <si>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</si>
  <si>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</si>
  <si>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</si>
  <si>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</si>
  <si>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</si>
  <si>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</si>
  <si>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</si>
  <si>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</si>
  <si>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</si>
  <si>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</si>
  <si>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</si>
  <si>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</si>
  <si>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</si>
  <si>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</si>
  <si>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</si>
  <si>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</si>
  <si>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</si>
  <si>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</si>
  <si>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</si>
  <si>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</si>
  <si>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</si>
  <si>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</si>
  <si>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</si>
  <si>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</si>
  <si>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</si>
  <si>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</si>
  <si>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</si>
  <si>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</si>
  <si>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</si>
  <si>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</si>
  <si>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</si>
  <si>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</si>
  <si>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</si>
  <si>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</si>
  <si>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</si>
  <si>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</si>
  <si>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</si>
  <si>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</si>
  <si>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</si>
  <si>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</si>
  <si>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</si>
  <si>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</si>
  <si>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</si>
  <si>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</si>
  <si>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</si>
  <si>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</si>
  <si>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</si>
  <si>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</si>
  <si>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</si>
  <si>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</si>
  <si>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</si>
  <si>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</si>
  <si>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</si>
  <si>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</si>
  <si>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</si>
  <si>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</si>
  <si>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</si>
  <si>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</si>
  <si>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</si>
  <si>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</si>
  <si>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</si>
  <si>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</si>
  <si>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</si>
  <si>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</si>
  <si>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</si>
  <si>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</si>
  <si>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</si>
  <si>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</si>
  <si>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</si>
  <si>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</si>
  <si>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</si>
  <si>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</si>
  <si>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</si>
  <si>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</si>
  <si>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</si>
  <si>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</si>
  <si>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</si>
  <si>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</si>
  <si>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</si>
  <si>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</si>
  <si>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</si>
  <si>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</si>
  <si>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</si>
  <si>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</si>
  <si>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</si>
  <si>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</si>
  <si>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</si>
  <si>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</si>
  <si>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</si>
  <si>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</si>
  <si>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</si>
  <si>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</si>
  <si>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</si>
  <si>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</si>
  <si>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</si>
  <si>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</si>
  <si>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</si>
  <si>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</si>
  <si>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</si>
  <si>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</si>
  <si>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</si>
  <si>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</si>
  <si>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</si>
  <si>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</si>
  <si>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</si>
  <si>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</si>
  <si>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</si>
  <si>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</si>
  <si>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</si>
  <si>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</si>
  <si>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</si>
  <si>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</si>
  <si>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</si>
  <si>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</si>
  <si>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</si>
  <si>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</si>
  <si>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</si>
  <si>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</si>
  <si>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</si>
  <si>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</si>
  <si>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</si>
  <si>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</si>
  <si>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</si>
  <si>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</si>
  <si>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</si>
  <si>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</si>
  <si>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</si>
  <si>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</si>
  <si>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</si>
  <si>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</si>
  <si>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</si>
  <si>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</si>
  <si>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</si>
  <si>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</si>
  <si>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</si>
  <si>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</si>
  <si>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</si>
  <si>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</si>
  <si>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</si>
  <si>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</si>
  <si>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</si>
  <si>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</si>
  <si>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</si>
  <si>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</si>
  <si>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</si>
  <si>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</si>
  <si>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</si>
  <si>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</si>
  <si>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</si>
  <si>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</si>
  <si>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</si>
  <si>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</si>
  <si>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</si>
  <si>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</si>
  <si>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</si>
  <si>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</si>
  <si>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</si>
  <si>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</si>
  <si>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</si>
  <si>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</si>
  <si>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</si>
  <si>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</si>
  <si>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</si>
  <si>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</si>
  <si>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</si>
  <si>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</si>
  <si>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</si>
  <si>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</si>
  <si>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</si>
  <si>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</si>
  <si>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</si>
  <si>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</si>
  <si>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</si>
  <si>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</si>
  <si>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</si>
  <si>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</si>
  <si>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</si>
  <si>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</si>
  <si>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</si>
  <si>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</si>
  <si>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</si>
  <si>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</si>
  <si>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</si>
  <si>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</si>
  <si>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</si>
  <si>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</si>
  <si>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</si>
  <si>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</si>
  <si>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</si>
  <si>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</si>
  <si>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</si>
  <si>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</si>
  <si>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</si>
  <si>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</si>
  <si>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</si>
  <si>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</si>
  <si>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</si>
  <si>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</si>
  <si>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</si>
  <si>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</si>
  <si>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</si>
  <si>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</si>
  <si>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</si>
  <si>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</si>
  <si>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</si>
  <si>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</si>
  <si>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</si>
  <si>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</si>
  <si>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</si>
  <si>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</si>
  <si>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</si>
  <si>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</si>
  <si>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</si>
  <si>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</si>
  <si>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</si>
  <si>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</si>
  <si>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</si>
  <si>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</si>
  <si>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</si>
  <si>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</si>
  <si>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</si>
  <si>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</si>
  <si>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</si>
  <si>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</si>
  <si>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</si>
  <si>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</si>
  <si>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</si>
  <si>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</si>
  <si>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</si>
  <si>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</si>
  <si>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</si>
  <si>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</si>
  <si>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</si>
  <si>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</si>
  <si>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</si>
  <si>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</si>
  <si>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</si>
  <si>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</si>
  <si>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</si>
  <si>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</si>
  <si>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</si>
  <si>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</si>
  <si>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</si>
  <si>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</si>
  <si>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</si>
  <si>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</si>
  <si>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</si>
  <si>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</si>
  <si>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</si>
  <si>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</si>
  <si>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</si>
  <si>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</si>
  <si>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</si>
  <si>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</si>
  <si>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</si>
  <si>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</si>
  <si>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</si>
  <si>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</si>
  <si>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</si>
  <si>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</si>
  <si>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</si>
  <si>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</si>
  <si>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</si>
  <si>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</si>
  <si>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</si>
  <si>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</si>
  <si>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</si>
  <si>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</si>
  <si>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</si>
  <si>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</si>
  <si>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</si>
  <si>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</si>
  <si>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</si>
  <si>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</si>
  <si>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</si>
  <si>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</si>
  <si>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</si>
  <si>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</si>
  <si>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</si>
  <si>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</si>
  <si>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</si>
  <si>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</si>
  <si>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</si>
  <si>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</si>
  <si>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</si>
  <si>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</si>
  <si>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</si>
  <si>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</si>
  <si>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</si>
  <si>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</si>
  <si>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</si>
  <si>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</si>
  <si>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</si>
  <si>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</si>
  <si>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</si>
  <si>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</si>
  <si>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</si>
  <si>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</si>
  <si>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</si>
  <si>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</si>
  <si>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</si>
  <si>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</si>
  <si>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</si>
  <si>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</si>
  <si>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</si>
  <si>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</si>
  <si>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</si>
  <si>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</si>
  <si>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</si>
  <si>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</si>
  <si>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</si>
  <si>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</si>
  <si>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</si>
  <si>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</si>
  <si>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</si>
  <si>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</si>
  <si>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</si>
  <si>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</si>
  <si>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</si>
  <si>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</si>
  <si>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</si>
  <si>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</si>
  <si>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</si>
  <si>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</si>
  <si>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</si>
  <si>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</si>
  <si>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</si>
  <si>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</si>
  <si>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</si>
  <si>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</si>
  <si>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</si>
  <si>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</si>
  <si>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</si>
  <si>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</si>
  <si>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</si>
  <si>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</si>
  <si>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</si>
  <si>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</si>
  <si>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</si>
  <si>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</si>
  <si>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</si>
  <si>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</si>
  <si>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</si>
  <si>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</si>
  <si>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</si>
  <si>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</si>
  <si>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</si>
  <si>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</si>
  <si>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</si>
  <si>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</si>
  <si>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</si>
  <si>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</si>
  <si>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</si>
  <si>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</si>
  <si>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</si>
  <si>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</si>
  <si>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</si>
  <si>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</si>
  <si>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</si>
  <si>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</si>
  <si>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</si>
  <si>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</si>
  <si>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</si>
  <si>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</si>
  <si>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</si>
  <si>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</si>
  <si>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</si>
  <si>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</si>
  <si>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</si>
  <si>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</si>
  <si>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</si>
  <si>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</si>
  <si>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</si>
  <si>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</si>
  <si>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</si>
  <si>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</si>
  <si>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</si>
  <si>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</si>
  <si>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</si>
  <si>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</si>
  <si>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</si>
  <si>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</si>
  <si>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</si>
  <si>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</si>
  <si>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</si>
  <si>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</si>
  <si>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</si>
  <si>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</si>
  <si>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</si>
  <si>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</si>
  <si>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</si>
  <si>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</si>
  <si>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</si>
  <si>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</si>
  <si>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</si>
  <si>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</si>
  <si>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</si>
  <si>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</si>
  <si>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</si>
  <si>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</si>
  <si>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</si>
  <si>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</si>
  <si>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</si>
  <si>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</si>
  <si>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</si>
  <si>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</si>
  <si>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</si>
  <si>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</si>
  <si>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</si>
  <si>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</si>
  <si>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</si>
  <si>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</si>
  <si>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</si>
  <si>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</si>
  <si>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</si>
  <si>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</si>
  <si>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</si>
  <si>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</si>
  <si>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</si>
  <si>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</si>
  <si>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</si>
  <si>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</si>
  <si>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</si>
  <si>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</si>
  <si>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</si>
  <si>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</si>
  <si>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</si>
  <si>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</si>
  <si>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</si>
  <si>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</si>
  <si>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</si>
  <si>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</si>
  <si>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</si>
  <si>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</si>
  <si>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</si>
  <si>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</si>
  <si>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</si>
  <si>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</si>
  <si>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</si>
  <si>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</si>
  <si>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</si>
  <si>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</si>
  <si>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</si>
  <si>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</si>
  <si>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</si>
  <si>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</si>
  <si>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</si>
  <si>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</si>
  <si>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</si>
  <si>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</si>
  <si>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</si>
  <si>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</si>
  <si>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</si>
  <si>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</si>
  <si>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</si>
  <si>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</si>
  <si>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</si>
  <si>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</si>
  <si>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</si>
  <si>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</si>
  <si>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</si>
  <si>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</si>
  <si>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</si>
  <si>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</si>
  <si>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</si>
  <si>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</si>
  <si>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</si>
  <si>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</si>
  <si>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</si>
  <si>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</si>
  <si>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</si>
  <si>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</si>
  <si>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</si>
  <si>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</si>
  <si>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</si>
  <si>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</si>
  <si>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</si>
  <si>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</si>
  <si>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</si>
  <si>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</si>
  <si>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</si>
  <si>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</si>
  <si>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</si>
  <si>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</si>
  <si>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</si>
  <si>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</si>
  <si>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</si>
  <si>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</si>
  <si>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</si>
  <si>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</si>
  <si>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</si>
  <si>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</si>
  <si>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</si>
  <si>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</si>
  <si>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</si>
  <si>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</si>
  <si>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</si>
  <si>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</si>
  <si>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</si>
  <si>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</si>
  <si>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</si>
  <si>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</si>
  <si>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</si>
  <si>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</si>
  <si>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</si>
  <si>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</si>
  <si>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</si>
  <si>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</si>
  <si>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</si>
  <si>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</si>
  <si>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</si>
  <si>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</si>
  <si>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</si>
  <si>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</si>
  <si>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</si>
  <si>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</si>
  <si>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</si>
  <si>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</si>
  <si>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</si>
  <si>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</si>
  <si>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</si>
  <si>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</si>
  <si>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</si>
  <si>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</si>
  <si>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</si>
  <si>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</si>
  <si>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</si>
  <si>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</si>
  <si>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</si>
  <si>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</si>
  <si>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</si>
  <si>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</si>
  <si>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</si>
  <si>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</si>
  <si>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</si>
  <si>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</si>
  <si>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</si>
  <si>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</si>
  <si>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</si>
  <si>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</si>
  <si>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</si>
  <si>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</si>
  <si>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</si>
  <si>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</si>
  <si>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</si>
  <si>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</si>
  <si>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</si>
  <si>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</si>
  <si>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</si>
  <si>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</si>
  <si>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</si>
  <si>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</si>
  <si>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</si>
  <si>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</si>
  <si>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</si>
  <si>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</si>
  <si>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</si>
  <si>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</si>
  <si>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</si>
  <si>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</si>
  <si>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</si>
  <si>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</si>
  <si>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</si>
  <si>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</si>
  <si>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</si>
  <si>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</si>
  <si>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</si>
  <si>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</si>
  <si>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</si>
  <si>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</si>
  <si>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</si>
  <si>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</si>
  <si>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</si>
  <si>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</si>
  <si>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</si>
  <si>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</si>
  <si>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</si>
  <si>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</si>
  <si>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</si>
  <si>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</si>
  <si>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</si>
  <si>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</si>
  <si>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</si>
  <si>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</si>
  <si>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</si>
  <si>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</si>
  <si>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</si>
  <si>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</si>
  <si>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</si>
  <si>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</si>
  <si>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</si>
  <si>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</si>
  <si>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</si>
  <si>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</si>
  <si>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</si>
  <si>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</si>
  <si>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</si>
  <si>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</si>
  <si>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</si>
  <si>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</si>
  <si>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</si>
  <si>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</si>
  <si>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</si>
  <si>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</si>
  <si>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</si>
  <si>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</si>
  <si>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</si>
  <si>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</si>
  <si>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</si>
  <si>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</si>
  <si>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</si>
  <si>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</si>
  <si>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</si>
  <si>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</si>
  <si>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</si>
  <si>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</si>
  <si>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</si>
  <si>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</si>
  <si>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</si>
  <si>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</si>
  <si>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</si>
  <si>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</si>
  <si>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</si>
  <si>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</si>
  <si>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</si>
  <si>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</si>
  <si>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</si>
  <si>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</si>
  <si>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</si>
  <si>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</si>
  <si>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</si>
  <si>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</si>
  <si>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</si>
  <si>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</si>
  <si>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</si>
  <si>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</si>
  <si>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</si>
  <si>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</si>
  <si>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</si>
  <si>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</si>
  <si>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</si>
  <si>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</si>
  <si>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</si>
  <si>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</si>
  <si>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</si>
  <si>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</si>
  <si>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</si>
  <si>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</si>
  <si>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</si>
  <si>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</si>
  <si>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</si>
  <si>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</si>
  <si>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</si>
  <si>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</si>
  <si>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</si>
  <si>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</si>
  <si>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</si>
  <si>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</si>
  <si>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</si>
  <si>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</si>
  <si>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</si>
  <si>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</si>
  <si>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</si>
  <si>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</si>
  <si>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</si>
  <si>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</si>
  <si>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</si>
  <si>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</si>
  <si>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</si>
  <si>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</si>
  <si>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</si>
  <si>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</si>
  <si>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</si>
  <si>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</si>
  <si>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</si>
  <si>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</si>
  <si>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</si>
  <si>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</si>
  <si>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</si>
  <si>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</si>
  <si>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</si>
  <si>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</si>
  <si>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</si>
  <si>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</si>
  <si>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</si>
  <si>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</si>
  <si>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</si>
  <si>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</si>
  <si>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</si>
  <si>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</si>
  <si>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</si>
  <si>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</si>
  <si>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</si>
  <si>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</si>
  <si>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</si>
  <si>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</si>
  <si>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</si>
  <si>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</si>
  <si>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</si>
  <si>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</si>
  <si>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</si>
  <si>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</si>
  <si>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</si>
  <si>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</si>
  <si>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</si>
  <si>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</si>
  <si>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</si>
  <si>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</si>
  <si>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</si>
  <si>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</si>
  <si>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</si>
  <si>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</si>
  <si>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</si>
  <si>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</si>
  <si>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</si>
  <si>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</si>
  <si>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</si>
  <si>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</si>
  <si>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</si>
  <si>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</si>
  <si>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</si>
  <si>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</si>
  <si>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</si>
  <si>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</si>
  <si>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</si>
  <si>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</si>
  <si>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</si>
  <si>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</si>
  <si>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</si>
  <si>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</si>
  <si>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</si>
  <si>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</si>
  <si>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</si>
  <si>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</si>
  <si>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</si>
  <si>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</si>
  <si>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</si>
  <si>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</si>
  <si>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</si>
  <si>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</si>
  <si>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</si>
  <si>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</si>
  <si>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</si>
  <si>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</si>
  <si>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</si>
  <si>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</si>
  <si>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</si>
  <si>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</si>
  <si>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</si>
  <si>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</si>
  <si>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</si>
  <si>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</si>
  <si>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</si>
  <si>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</si>
  <si>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</si>
  <si>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</si>
  <si>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</si>
  <si>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</si>
  <si>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</si>
  <si>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</si>
  <si>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</si>
  <si>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</si>
  <si>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</si>
  <si>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</si>
  <si>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</si>
  <si>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</si>
  <si>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</si>
  <si>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</si>
  <si>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</si>
  <si>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</si>
  <si>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</si>
  <si>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</si>
  <si>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</si>
  <si>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</si>
  <si>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</si>
  <si>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</si>
  <si>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</si>
  <si>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</si>
  <si>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</si>
  <si>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</si>
  <si>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</si>
  <si>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</si>
  <si>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</si>
  <si>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</si>
  <si>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</si>
  <si>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</si>
  <si>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</si>
  <si>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</si>
  <si>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</si>
  <si>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</si>
  <si>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</si>
  <si>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</si>
  <si>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</si>
  <si>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</si>
  <si>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</si>
  <si>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</si>
  <si>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</si>
  <si>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</si>
  <si>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</si>
  <si>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</si>
  <si>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</si>
  <si>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</si>
  <si>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</si>
  <si>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</si>
  <si>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</si>
  <si>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</si>
  <si>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</si>
  <si>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</si>
  <si>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</si>
  <si>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</si>
  <si>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</si>
  <si>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</si>
  <si>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</si>
  <si>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</si>
  <si>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</si>
  <si>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</si>
  <si>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</si>
  <si>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</si>
  <si>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</si>
  <si>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</si>
  <si>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</si>
  <si>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</si>
  <si>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</si>
  <si>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</si>
  <si>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</si>
  <si>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</si>
  <si>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</si>
  <si>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</si>
  <si>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</si>
  <si>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</si>
  <si>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</si>
  <si>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</si>
  <si>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</si>
  <si>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</si>
  <si>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</si>
  <si>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</si>
  <si>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</si>
  <si>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</si>
  <si>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</si>
  <si>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</si>
  <si>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</si>
  <si>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</si>
  <si>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</si>
  <si>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</si>
  <si>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</si>
  <si>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</si>
  <si>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</si>
  <si>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</si>
  <si>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</si>
  <si>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</si>
  <si>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</si>
  <si>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</si>
  <si>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</si>
  <si>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</si>
  <si>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</si>
  <si>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</si>
  <si>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</si>
  <si>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</si>
  <si>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</si>
  <si>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</si>
  <si>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</si>
  <si>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</si>
  <si>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</si>
  <si>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</si>
  <si>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</si>
  <si>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</si>
  <si>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</si>
  <si>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</si>
  <si>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</si>
  <si>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</si>
  <si>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</si>
  <si>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</si>
  <si>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</si>
  <si>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</si>
  <si>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</si>
  <si>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</si>
  <si>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</si>
  <si>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</si>
  <si>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</si>
  <si>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</si>
  <si>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</si>
  <si>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</si>
  <si>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</si>
  <si>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</si>
  <si>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</si>
  <si>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</si>
  <si>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</si>
  <si>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</si>
  <si>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</si>
  <si>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</si>
  <si>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</si>
  <si>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</si>
  <si>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</si>
  <si>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</si>
  <si>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</si>
  <si>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</si>
  <si>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</si>
  <si>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</si>
  <si>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</si>
  <si>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</si>
  <si>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</si>
  <si>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</si>
  <si>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</si>
  <si>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</si>
  <si>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</si>
  <si>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</si>
  <si>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</si>
  <si>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</si>
  <si>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</si>
  <si>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</si>
  <si>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</si>
  <si>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</si>
  <si>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</si>
  <si>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</si>
  <si>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</si>
  <si>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</si>
  <si>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</si>
  <si>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</si>
  <si>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</si>
  <si>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</si>
  <si>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</si>
  <si>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</si>
  <si>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</si>
  <si>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</si>
  <si>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</si>
  <si>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</si>
  <si>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</si>
  <si>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</si>
  <si>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</si>
  <si>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</si>
  <si>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</si>
  <si>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</si>
  <si>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</si>
  <si>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</si>
  <si>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</si>
  <si>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</si>
  <si>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</si>
  <si>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</si>
  <si>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</si>
  <si>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</si>
  <si>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</si>
  <si>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</si>
  <si>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</si>
  <si>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</si>
  <si>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</si>
  <si>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</si>
  <si>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</si>
  <si>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</si>
  <si>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</si>
  <si>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</si>
  <si>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</si>
  <si>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</si>
  <si>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</si>
  <si>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</si>
  <si>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</si>
  <si>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</si>
  <si>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</si>
  <si>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</si>
  <si>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</si>
  <si>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</si>
  <si>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</si>
  <si>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</si>
  <si>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</si>
  <si>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</si>
  <si>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</si>
  <si>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</si>
  <si>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</si>
  <si>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</si>
  <si>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</si>
  <si>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</si>
  <si>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</si>
  <si>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</si>
  <si>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</si>
  <si>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</si>
  <si>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</si>
  <si>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</si>
  <si>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</si>
  <si>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</si>
  <si>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</si>
  <si>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</si>
  <si>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</si>
  <si>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</si>
  <si>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</si>
  <si>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</si>
  <si>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</si>
  <si>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</si>
  <si>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</si>
  <si>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</si>
  <si>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</si>
  <si>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</si>
  <si>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</si>
  <si>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</si>
  <si>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</si>
  <si>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</si>
  <si>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</si>
  <si>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</si>
  <si>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</si>
  <si>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</si>
  <si>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</si>
  <si>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</si>
  <si>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</si>
  <si>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</si>
  <si>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</si>
  <si>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</si>
  <si>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</si>
  <si>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</si>
  <si>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</si>
  <si>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</si>
  <si>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</si>
  <si>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</si>
  <si>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</si>
  <si>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</si>
  <si>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</si>
  <si>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</si>
  <si>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</si>
  <si>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</si>
  <si>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</si>
  <si>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</si>
  <si>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</si>
  <si>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</si>
  <si>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</si>
  <si>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</si>
  <si>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</si>
  <si>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</si>
  <si>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</si>
  <si>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</si>
  <si>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</si>
  <si>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</si>
  <si>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</si>
  <si>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</si>
  <si>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</si>
  <si>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</si>
  <si>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</si>
  <si>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</si>
  <si>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</si>
  <si>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</si>
  <si>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</si>
  <si>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</si>
  <si>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</si>
  <si>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</si>
  <si>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</si>
  <si>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</si>
  <si>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</si>
  <si>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</si>
  <si>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</si>
  <si>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</si>
  <si>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</si>
  <si>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</si>
  <si>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</si>
  <si>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</si>
  <si>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</si>
  <si>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</si>
  <si>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</si>
  <si>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</si>
  <si>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</si>
  <si>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</si>
  <si>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</si>
  <si>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</si>
  <si>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</si>
  <si>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</si>
  <si>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</si>
  <si>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</si>
  <si>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</si>
  <si>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</si>
  <si>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</si>
  <si>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</si>
  <si>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</si>
  <si>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</si>
  <si>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</si>
  <si>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</si>
  <si>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</si>
  <si>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</si>
  <si>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</si>
  <si>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</si>
  <si>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</si>
  <si>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</si>
  <si>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</si>
  <si>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</si>
  <si>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</si>
  <si>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</si>
  <si>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</si>
  <si>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</si>
  <si>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</si>
  <si>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</si>
  <si>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</si>
  <si>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</si>
  <si>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</si>
  <si>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</si>
  <si>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</si>
  <si>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</si>
  <si>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</si>
  <si>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</si>
  <si>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</si>
  <si>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</si>
  <si>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</si>
  <si>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</si>
  <si>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</si>
  <si>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</si>
  <si>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</si>
  <si>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</si>
  <si>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</si>
  <si>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</si>
  <si>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</si>
  <si>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</si>
  <si>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</si>
  <si>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</si>
  <si>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</si>
  <si>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</si>
  <si>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</si>
  <si>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</si>
  <si>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</si>
  <si>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</si>
  <si>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</si>
  <si>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</si>
  <si>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</si>
  <si>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</si>
  <si>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</si>
  <si>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</si>
  <si>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</si>
  <si>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</si>
  <si>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</si>
  <si>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</si>
  <si>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</si>
  <si>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</si>
  <si>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</si>
  <si>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</si>
  <si>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</si>
  <si>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</si>
  <si>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</si>
  <si>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</si>
  <si>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</si>
  <si>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</si>
  <si>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</si>
  <si>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</si>
  <si>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</si>
  <si>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</si>
  <si>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</si>
  <si>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</si>
  <si>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</si>
  <si>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</si>
  <si>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</si>
  <si>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</si>
  <si>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</si>
  <si>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</si>
  <si>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</si>
  <si>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</si>
  <si>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</si>
  <si>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</si>
  <si>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</si>
  <si>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</si>
  <si>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</si>
  <si>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</si>
  <si>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</si>
  <si>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</si>
  <si>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</si>
  <si>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</si>
  <si>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</si>
  <si>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</si>
  <si>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</si>
  <si>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</si>
  <si>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</si>
  <si>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</si>
  <si>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</si>
  <si>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</si>
  <si>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</si>
  <si>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</si>
  <si>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</si>
  <si>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</si>
  <si>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</si>
  <si>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</si>
  <si>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</si>
  <si>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</si>
  <si>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</si>
  <si>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</si>
  <si>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</si>
  <si>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</si>
  <si>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</si>
  <si>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</si>
  <si>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</si>
  <si>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</si>
  <si>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</si>
  <si>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</si>
  <si>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</si>
  <si>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</si>
  <si>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</si>
  <si>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</si>
  <si>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</si>
  <si>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</si>
  <si>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</si>
  <si>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</si>
  <si>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</si>
  <si>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</si>
  <si>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</si>
  <si>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</si>
  <si>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</si>
  <si>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</si>
  <si>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</si>
  <si>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</si>
  <si>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</si>
  <si>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</si>
  <si>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</si>
  <si>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</si>
  <si>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</si>
  <si>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</si>
  <si>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</si>
  <si>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</si>
  <si>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</si>
  <si>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</si>
  <si>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</si>
  <si>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</si>
  <si>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</si>
  <si>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</si>
  <si>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</si>
  <si>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</si>
  <si>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</si>
  <si>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</si>
  <si>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</si>
  <si>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</si>
  <si>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</si>
  <si>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</si>
  <si>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</si>
  <si>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</si>
  <si>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</si>
  <si>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</si>
  <si>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</si>
  <si>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</si>
  <si>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</si>
  <si>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</si>
  <si>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</si>
  <si>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</si>
  <si>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</si>
  <si>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</si>
  <si>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</si>
  <si>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</si>
  <si>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</si>
  <si>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</si>
  <si>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</si>
  <si>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</si>
  <si>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</si>
  <si>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</si>
  <si>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</si>
  <si>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</si>
  <si>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</si>
  <si>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</si>
  <si>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</si>
  <si>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</si>
  <si>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</si>
  <si>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</si>
  <si>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</si>
  <si>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</si>
  <si>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</si>
  <si>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</si>
  <si>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</si>
  <si>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</si>
  <si>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</si>
  <si>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</si>
  <si>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</si>
  <si>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</si>
  <si>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</si>
  <si>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</si>
  <si>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</si>
  <si>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</si>
  <si>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</si>
  <si>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</si>
  <si>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</si>
  <si>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</si>
  <si>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</si>
  <si>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</si>
  <si>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</si>
  <si>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</si>
  <si>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</si>
  <si>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</si>
  <si>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</si>
  <si>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</si>
  <si>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</si>
  <si>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</si>
  <si>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</si>
  <si>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</si>
  <si>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</si>
  <si>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</si>
  <si>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</si>
  <si>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</si>
  <si>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</si>
  <si>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</si>
  <si>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</si>
  <si>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</si>
  <si>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</si>
  <si>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</si>
  <si>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</si>
  <si>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</si>
  <si>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</si>
  <si>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</si>
  <si>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</si>
  <si>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</si>
  <si>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</si>
  <si>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</si>
  <si>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</si>
  <si>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</si>
  <si>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</si>
  <si>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</si>
  <si>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</si>
  <si>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</si>
  <si>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</si>
  <si>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</si>
  <si>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</si>
  <si>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</si>
  <si>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</si>
  <si>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</si>
  <si>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</si>
  <si>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</si>
  <si>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</si>
  <si>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</si>
  <si>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</si>
  <si>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</si>
  <si>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</si>
  <si>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</si>
  <si>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</si>
  <si>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</si>
  <si>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</si>
  <si>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</si>
  <si>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</si>
  <si>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</si>
  <si>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</si>
  <si>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</si>
  <si>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</si>
  <si>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</si>
  <si>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</si>
  <si>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</si>
  <si>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</si>
  <si>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</si>
  <si>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</si>
  <si>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</si>
  <si>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</si>
  <si>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</si>
  <si>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</si>
  <si>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</si>
  <si>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</si>
  <si>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</si>
  <si>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</si>
  <si>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</si>
  <si>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</si>
  <si>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</si>
  <si>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</si>
  <si>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</si>
  <si>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</si>
  <si>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</si>
  <si>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</si>
  <si>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</si>
  <si>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</si>
  <si>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</si>
  <si>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</si>
  <si>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</si>
  <si>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</si>
  <si>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</si>
  <si>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</si>
  <si>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</si>
  <si>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</si>
  <si>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</si>
  <si>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</si>
  <si>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</si>
  <si>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</si>
  <si>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</si>
  <si>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</si>
  <si>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</si>
  <si>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</si>
  <si>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</si>
  <si>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</si>
  <si>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</si>
  <si>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</si>
  <si>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</si>
  <si>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</si>
  <si>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</si>
  <si>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</si>
  <si>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</si>
  <si>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</si>
  <si>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</si>
  <si>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</si>
  <si>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</si>
  <si>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</si>
  <si>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</si>
  <si>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</si>
  <si>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</si>
  <si>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</si>
  <si>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</si>
  <si>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</si>
  <si>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</si>
  <si>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</si>
  <si>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</si>
  <si>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</si>
  <si>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</si>
  <si>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</si>
  <si>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</si>
  <si>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</si>
  <si>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</si>
  <si>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</si>
  <si>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</si>
  <si>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</si>
  <si>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</si>
  <si>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</si>
  <si>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</si>
  <si>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</si>
  <si>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</si>
  <si>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</si>
  <si>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</si>
  <si>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</si>
  <si>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</si>
  <si>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</si>
  <si>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</si>
  <si>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</si>
  <si>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</si>
  <si>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</si>
  <si>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</si>
  <si>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</si>
  <si>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</si>
  <si>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</si>
  <si>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</si>
  <si>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</si>
  <si>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</si>
  <si>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</si>
  <si>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</si>
  <si>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</si>
  <si>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</si>
  <si>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</si>
  <si>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</si>
  <si>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</si>
  <si>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</si>
  <si>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</si>
  <si>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</si>
  <si>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</si>
  <si>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</si>
  <si>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</si>
  <si>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</si>
  <si>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</si>
  <si>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</si>
  <si>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</si>
  <si>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</si>
  <si>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</si>
  <si>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</si>
  <si>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</si>
  <si>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</si>
  <si>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</si>
  <si>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</si>
  <si>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</si>
  <si>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</si>
  <si>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</si>
  <si>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</si>
  <si>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</si>
  <si>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</si>
  <si>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</si>
  <si>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</si>
  <si>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</si>
  <si>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</si>
  <si>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</si>
  <si>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</si>
  <si>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</si>
  <si>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</si>
  <si>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</si>
  <si>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</si>
  <si>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</si>
  <si>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</si>
  <si>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</si>
  <si>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</si>
  <si>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</si>
  <si>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</si>
  <si>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</si>
  <si>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</si>
  <si>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</si>
  <si>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</si>
  <si>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</si>
  <si>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</si>
  <si>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</si>
  <si>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4f1dcb6e on 21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</si>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</sst>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46316</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4.05   Expressions with radicals (perfect squares to 225, cubes −125 to 125)</v>
      </c>
    </row>
    <row r="6" customFormat="false" ht="23.85" hidden="false" customHeight="false" outlineLevel="0" collapsed="false">
      <c r="A6" s="5" t="s">
        <v>3</v>
      </c>
      <c r="B6" s="6" t="str">
        <f aca="false">IF($B$44&gt;131,"",INDEX('Scope &amp; Sequence'!$T$2:$T$132,$B$44)&amp;"")</f>
        <v>I can evaluate an expression that contains square roots, cube roots and integer exponents.</v>
      </c>
    </row>
    <row r="7" customFormat="false" ht="15" hidden="false" customHeight="false" outlineLevel="0" collapsed="false">
      <c r="A7" s="5" t="s">
        <v>4</v>
      </c>
      <c r="B7" s="6" t="str">
        <f aca="false">IF($B$44&gt;131,"",INDEX('Scope &amp; Sequence'!$U$2:$U$132,$B$44)&amp;"")</f>
        <v>What does the radical bar do to the order in which an expression is evaluated?</v>
      </c>
    </row>
    <row r="8" customFormat="false" ht="15" hidden="false" customHeight="false" outlineLevel="0" collapsed="false">
      <c r="A8" s="5" t="s">
        <v>5</v>
      </c>
      <c r="B8" s="6" t="str">
        <f aca="false">IF($B$44&gt;131,"",INDEX('Scope &amp; Sequence'!$V$2:$V$132,$B$44)&amp;"")</f>
        <v>radical, radicand, principal square root</v>
      </c>
    </row>
    <row r="9" customFormat="false" ht="15" hidden="false" customHeight="false" outlineLevel="0" collapsed="false">
      <c r="A9" s="5" t="s">
        <v>6</v>
      </c>
      <c r="B9" s="6" t="str">
        <f aca="false">IF($B$44&gt;131,"",INDEX('Scope &amp; Sequence'!$W$2:$W$132,$B$44)&amp;"")</f>
        <v>8.NSO.1.7</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Evaluate radical expressions — D8J   — due Fri 23 Oct</v>
      </c>
    </row>
    <row r="11" customFormat="false" ht="23.85" hidden="false" customHeight="false" outlineLevel="0" collapsed="false">
      <c r="A11" s="5" t="s">
        <v>8</v>
      </c>
      <c r="B11" s="6" t="str">
        <f aca="false">IF($B$44&gt;131,"",IFERROR(INDEX('IXL tracker'!$D$5:$D$86,MATCH(INDEX('Scope &amp; Sequence'!$A$2:$A$132,$B$44),'IXL tracker'!$G$5:$G$86,0)),"nothing due"))</f>
        <v>Add, subtract, multiply, and divide numbers written in scientific notation: word problems (D5S)</v>
      </c>
    </row>
    <row r="12" customFormat="false" ht="23.85" hidden="false" customHeight="false" outlineLevel="0" collapsed="false">
      <c r="A12" s="5" t="s">
        <v>9</v>
      </c>
      <c r="B12" s="6" t="str">
        <f aca="false">IF($B$44&gt;131,"",INDEX('Scope &amp; Sequence'!$Z$2:$Z$132,$B$44)&amp;"")</f>
        <v>Simon says that the cube root of −27 is not a real number, because you cannot take the root of a negative. Explain why he is wrong, and give the value.</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46317</v>
      </c>
      <c r="B30" s="6" t="str">
        <f aca="false">IF(($B$44+1)&gt;131,"",INDEX('Scope &amp; Sequence'!$D$2:$D$132,($B$44+1))&amp;"   "&amp;INDEX('Scope &amp; Sequence'!$E$2:$E$132,($B$44+1)))</f>
        <v>4.06   Order of operations with exponents and radicals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46318</v>
      </c>
      <c r="B31" s="6" t="str">
        <f aca="false">IF(($B$44+2)&gt;131,"",INDEX('Scope &amp; Sequence'!$D$2:$D$132,($B$44+2))&amp;"   "&amp;INDEX('Scope &amp; Sequence'!$E$2:$E$132,($B$44+2)))</f>
        <v>4.07+08   Real-world order-of-operations problems</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46321</v>
      </c>
      <c r="B32" s="6" t="str">
        <f aca="false">IF(($B$44+3)&gt;131,"",INDEX('Scope &amp; Sequence'!$D$2:$D$132,($B$44+3))&amp;"   "&amp;INDEX('Scope &amp; Sequence'!$E$2:$E$132,($B$44+3)))</f>
        <v>4.X1   Unit 4 exam, day 1</v>
      </c>
      <c r="C32" s="8" t="str">
        <f aca="false">IF(($B$44+3)&gt;131,"",IF(INDEX(Links!$B$2:$B$132,($B$44+3))&amp;""="","—",HYPERLINK(INDEX(Links!$B$2:$B$132,($B$44+3)),INDEX('Scope &amp; Sequence'!$F$2:$F$132,($B$44+3))&amp;"")))</f>
        <v>Unit Assessment</v>
      </c>
    </row>
    <row r="33" customFormat="false" ht="15" hidden="false" customHeight="false" outlineLevel="0" collapsed="false">
      <c r="A33" s="10" t="n">
        <f aca="false">IF(($B$44+4)&gt;131,"",INDEX('Scope &amp; Sequence'!$A$2:$A$132,($B$44+4)))</f>
        <v>46322</v>
      </c>
      <c r="B33" s="6" t="str">
        <f aca="false">IF(($B$44+4)&gt;131,"",INDEX('Scope &amp; Sequence'!$D$2:$D$132,($B$44+4))&amp;"   "&amp;INDEX('Scope &amp; Sequence'!$E$2:$E$132,($B$44+4)))</f>
        <v>4.X2   Unit 4 exam, day 2</v>
      </c>
      <c r="C33" s="8" t="str">
        <f aca="false">IF(($B$44+4)&gt;131,"",IF(INDEX(Links!$B$2:$B$132,($B$44+4))&amp;""="","—",HYPERLINK(INDEX(Links!$B$2:$B$132,($B$44+4)),INDEX('Scope &amp; Sequence'!$F$2:$F$132,($B$44+4))&amp;"")))</f>
        <v>Unit Assessment</v>
      </c>
    </row>
    <row r="34" customFormat="false" ht="15" hidden="false" customHeight="false" outlineLevel="0" collapsed="false">
      <c r="A34" s="10" t="n">
        <f aca="false">IF(($B$44+5)&gt;131,"",INDEX('Scope &amp; Sequence'!$A$2:$A$132,($B$44+5)))</f>
        <v>46323</v>
      </c>
      <c r="B34" s="6" t="str">
        <f aca="false">IF(($B$44+5)&gt;131,"",INDEX('Scope &amp; Sequence'!$D$2:$D$132,($B$44+5))&amp;"   "&amp;INDEX('Scope &amp; Sequence'!$E$2:$E$132,($B$44+5)))</f>
        <v>5.01   Scale drawings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20</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open</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4</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1284</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1285</v>
      </c>
      <c r="E47" s="7" t="s">
        <v>1008</v>
      </c>
      <c r="F47" s="7" t="s">
        <v>1268</v>
      </c>
      <c r="G47" s="46"/>
      <c r="I47" s="7" t="s">
        <v>1008</v>
      </c>
      <c r="J47" s="46" t="n">
        <f aca="false">SUMIF($E$47:$E$61,I47,$C$47:$C$61)</f>
        <v>12</v>
      </c>
      <c r="K47" s="54" t="n">
        <f aca="false">J47/$C$62</f>
        <v>0.413793103448276</v>
      </c>
    </row>
    <row r="48" customFormat="false" ht="15" hidden="false" customHeight="false" outlineLevel="0" collapsed="false">
      <c r="A48" s="46" t="n">
        <v>2</v>
      </c>
      <c r="B48" s="46" t="s">
        <v>1273</v>
      </c>
      <c r="C48" s="46" t="n">
        <v>4</v>
      </c>
      <c r="D48" s="7" t="s">
        <v>1285</v>
      </c>
      <c r="E48" s="7" t="s">
        <v>1008</v>
      </c>
      <c r="F48" s="7" t="s">
        <v>1268</v>
      </c>
      <c r="G48" s="46"/>
      <c r="I48" s="7" t="s">
        <v>1014</v>
      </c>
      <c r="J48" s="46" t="n">
        <f aca="false">SUMIF($E$47:$E$61,I48,$C$47:$C$61)</f>
        <v>4</v>
      </c>
      <c r="K48" s="54" t="n">
        <f aca="false">J48/$C$62</f>
        <v>0.137931034482759</v>
      </c>
    </row>
    <row r="49" customFormat="false" ht="15" hidden="false" customHeight="false" outlineLevel="0" collapsed="false">
      <c r="A49" s="46" t="n">
        <v>3</v>
      </c>
      <c r="B49" s="46"/>
      <c r="C49" s="46" t="n">
        <v>1</v>
      </c>
      <c r="D49" s="7" t="s">
        <v>1285</v>
      </c>
      <c r="E49" s="7" t="s">
        <v>1008</v>
      </c>
      <c r="F49" s="7" t="s">
        <v>1276</v>
      </c>
      <c r="G49" s="46"/>
      <c r="I49" s="7" t="s">
        <v>1018</v>
      </c>
      <c r="J49" s="46" t="n">
        <f aca="false">SUMIF($E$47:$E$61,I49,$C$47:$C$61)</f>
        <v>13</v>
      </c>
      <c r="K49" s="54" t="n">
        <f aca="false">J49/$C$62</f>
        <v>0.448275862068966</v>
      </c>
    </row>
    <row r="50" customFormat="false" ht="15" hidden="false" customHeight="false" outlineLevel="0" collapsed="false">
      <c r="A50" s="46" t="n">
        <v>4</v>
      </c>
      <c r="B50" s="46"/>
      <c r="C50" s="46" t="n">
        <v>1</v>
      </c>
      <c r="D50" s="7" t="s">
        <v>1285</v>
      </c>
      <c r="E50" s="7" t="s">
        <v>1008</v>
      </c>
      <c r="F50" s="7" t="s">
        <v>1276</v>
      </c>
      <c r="G50" s="46"/>
    </row>
    <row r="51" customFormat="false" ht="15" hidden="false" customHeight="false" outlineLevel="0" collapsed="false">
      <c r="A51" s="46" t="n">
        <v>5</v>
      </c>
      <c r="B51" s="46"/>
      <c r="C51" s="46" t="n">
        <v>1</v>
      </c>
      <c r="D51" s="7" t="s">
        <v>1285</v>
      </c>
      <c r="E51" s="7" t="s">
        <v>1008</v>
      </c>
      <c r="F51" s="7" t="s">
        <v>1277</v>
      </c>
      <c r="G51" s="46"/>
    </row>
    <row r="52" customFormat="false" ht="15" hidden="false" customHeight="false" outlineLevel="0" collapsed="false">
      <c r="A52" s="46" t="n">
        <v>6</v>
      </c>
      <c r="B52" s="46"/>
      <c r="C52" s="46" t="n">
        <v>1</v>
      </c>
      <c r="D52" s="7" t="s">
        <v>1285</v>
      </c>
      <c r="E52" s="7" t="s">
        <v>1008</v>
      </c>
      <c r="F52" s="7" t="s">
        <v>1277</v>
      </c>
      <c r="G52" s="46" t="s">
        <v>1286</v>
      </c>
    </row>
    <row r="53" customFormat="false" ht="15" hidden="false" customHeight="false" outlineLevel="0" collapsed="false">
      <c r="A53" s="46" t="n">
        <v>7</v>
      </c>
      <c r="B53" s="46" t="s">
        <v>1281</v>
      </c>
      <c r="C53" s="46" t="n">
        <v>2</v>
      </c>
      <c r="D53" s="7" t="s">
        <v>1287</v>
      </c>
      <c r="E53" s="7" t="s">
        <v>1014</v>
      </c>
      <c r="F53" s="7" t="s">
        <v>1268</v>
      </c>
      <c r="G53" s="46"/>
    </row>
    <row r="54" customFormat="false" ht="15" hidden="false" customHeight="false" outlineLevel="0" collapsed="false">
      <c r="A54" s="46" t="n">
        <v>8</v>
      </c>
      <c r="B54" s="46" t="s">
        <v>1281</v>
      </c>
      <c r="C54" s="46" t="n">
        <v>2</v>
      </c>
      <c r="D54" s="7" t="s">
        <v>1287</v>
      </c>
      <c r="E54" s="7" t="s">
        <v>1014</v>
      </c>
      <c r="F54" s="7" t="s">
        <v>1268</v>
      </c>
      <c r="G54" s="46"/>
    </row>
    <row r="55" customFormat="false" ht="15" hidden="false" customHeight="false" outlineLevel="0" collapsed="false">
      <c r="A55" s="46" t="n">
        <v>9</v>
      </c>
      <c r="B55" s="46" t="s">
        <v>1273</v>
      </c>
      <c r="C55" s="46" t="n">
        <v>4</v>
      </c>
      <c r="D55" s="7" t="s">
        <v>1288</v>
      </c>
      <c r="E55" s="7" t="s">
        <v>1018</v>
      </c>
      <c r="F55" s="7" t="s">
        <v>1268</v>
      </c>
      <c r="G55" s="46"/>
    </row>
    <row r="56" customFormat="false" ht="15" hidden="false" customHeight="false" outlineLevel="0" collapsed="false">
      <c r="A56" s="46" t="n">
        <v>10</v>
      </c>
      <c r="B56" s="46" t="s">
        <v>1275</v>
      </c>
      <c r="C56" s="46" t="n">
        <v>3</v>
      </c>
      <c r="D56" s="7" t="s">
        <v>1288</v>
      </c>
      <c r="E56" s="7" t="s">
        <v>1018</v>
      </c>
      <c r="F56" s="7" t="s">
        <v>1268</v>
      </c>
      <c r="G56" s="46"/>
    </row>
    <row r="57" customFormat="false" ht="15" hidden="false" customHeight="false" outlineLevel="0" collapsed="false">
      <c r="A57" s="46" t="n">
        <v>11</v>
      </c>
      <c r="B57" s="46" t="s">
        <v>1281</v>
      </c>
      <c r="C57" s="46" t="n">
        <v>2</v>
      </c>
      <c r="D57" s="7" t="s">
        <v>1288</v>
      </c>
      <c r="E57" s="7" t="s">
        <v>1018</v>
      </c>
      <c r="F57" s="7" t="s">
        <v>1268</v>
      </c>
      <c r="G57" s="46"/>
    </row>
    <row r="58" customFormat="false" ht="15" hidden="false" customHeight="false" outlineLevel="0" collapsed="false">
      <c r="A58" s="46" t="n">
        <v>12</v>
      </c>
      <c r="B58" s="46"/>
      <c r="C58" s="46" t="n">
        <v>1</v>
      </c>
      <c r="D58" s="7" t="s">
        <v>1288</v>
      </c>
      <c r="E58" s="7" t="s">
        <v>1018</v>
      </c>
      <c r="F58" s="7" t="s">
        <v>1276</v>
      </c>
      <c r="G58" s="46"/>
    </row>
    <row r="59" customFormat="false" ht="15" hidden="false" customHeight="false" outlineLevel="0" collapsed="false">
      <c r="A59" s="46" t="n">
        <v>13</v>
      </c>
      <c r="B59" s="46"/>
      <c r="C59" s="46" t="n">
        <v>1</v>
      </c>
      <c r="D59" s="7" t="s">
        <v>1288</v>
      </c>
      <c r="E59" s="7" t="s">
        <v>1018</v>
      </c>
      <c r="F59" s="7" t="s">
        <v>1276</v>
      </c>
      <c r="G59" s="46"/>
    </row>
    <row r="60" customFormat="false" ht="15" hidden="false" customHeight="false" outlineLevel="0" collapsed="false">
      <c r="A60" s="46" t="n">
        <v>14</v>
      </c>
      <c r="B60" s="46"/>
      <c r="C60" s="46" t="n">
        <v>1</v>
      </c>
      <c r="D60" s="7" t="s">
        <v>1288</v>
      </c>
      <c r="E60" s="7" t="s">
        <v>1018</v>
      </c>
      <c r="F60" s="7" t="s">
        <v>1277</v>
      </c>
      <c r="G60" s="46"/>
    </row>
    <row r="61" customFormat="false" ht="15" hidden="false" customHeight="false" outlineLevel="0" collapsed="false">
      <c r="A61" s="46" t="n">
        <v>15</v>
      </c>
      <c r="B61" s="46"/>
      <c r="C61" s="46" t="n">
        <v>1</v>
      </c>
      <c r="D61" s="7" t="s">
        <v>1288</v>
      </c>
      <c r="E61" s="7" t="s">
        <v>1018</v>
      </c>
      <c r="F61" s="7" t="s">
        <v>1277</v>
      </c>
      <c r="G61" s="46" t="s">
        <v>1286</v>
      </c>
    </row>
    <row r="62" customFormat="false" ht="15" hidden="false" customHeight="false" outlineLevel="0" collapsed="false">
      <c r="B62" s="5" t="s">
        <v>1282</v>
      </c>
      <c r="C62" s="55" t="n">
        <f aca="false">SUM(C47:C61)</f>
        <v>29</v>
      </c>
    </row>
    <row r="65" customFormat="false" ht="15" hidden="false" customHeight="false" outlineLevel="0" collapsed="false">
      <c r="A65" s="4" t="s">
        <v>1289</v>
      </c>
    </row>
    <row r="66" customFormat="false" ht="15" hidden="false" customHeight="false" outlineLevel="0" collapsed="false">
      <c r="A66" s="12" t="s">
        <v>1284</v>
      </c>
    </row>
    <row r="67" customFormat="false" ht="18" hidden="false" customHeight="true" outlineLevel="0" collapsed="false">
      <c r="A67" s="9" t="s">
        <v>1267</v>
      </c>
      <c r="B67" s="9" t="s">
        <v>1268</v>
      </c>
      <c r="C67" s="9" t="s">
        <v>1240</v>
      </c>
      <c r="D67" s="9" t="s">
        <v>1269</v>
      </c>
      <c r="E67" s="9" t="s">
        <v>6</v>
      </c>
      <c r="F67" s="9" t="s">
        <v>1270</v>
      </c>
      <c r="G67" s="9" t="s">
        <v>1271</v>
      </c>
      <c r="I67" s="53" t="s">
        <v>6</v>
      </c>
      <c r="J67" s="53" t="s">
        <v>1240</v>
      </c>
      <c r="K67" s="53" t="s">
        <v>1272</v>
      </c>
    </row>
    <row r="68" customFormat="false" ht="15" hidden="false" customHeight="false" outlineLevel="0" collapsed="false">
      <c r="A68" s="46" t="n">
        <v>1</v>
      </c>
      <c r="B68" s="46"/>
      <c r="C68" s="46" t="n">
        <v>1</v>
      </c>
      <c r="D68" s="7" t="s">
        <v>1290</v>
      </c>
      <c r="E68" s="7" t="s">
        <v>1023</v>
      </c>
      <c r="F68" s="7" t="s">
        <v>1277</v>
      </c>
      <c r="G68" s="46"/>
      <c r="I68" s="7" t="s">
        <v>1023</v>
      </c>
      <c r="J68" s="46" t="n">
        <f aca="false">SUMIF($E$68:$E$86,I68,$C$68:$C$86)</f>
        <v>10</v>
      </c>
      <c r="K68" s="54" t="n">
        <f aca="false">J68/$C$87</f>
        <v>0.416666666666667</v>
      </c>
    </row>
    <row r="69" customFormat="false" ht="15" hidden="false" customHeight="false" outlineLevel="0" collapsed="false">
      <c r="A69" s="46" t="n">
        <v>2</v>
      </c>
      <c r="B69" s="46"/>
      <c r="C69" s="46" t="n">
        <v>1</v>
      </c>
      <c r="D69" s="7" t="s">
        <v>1290</v>
      </c>
      <c r="E69" s="7" t="s">
        <v>1023</v>
      </c>
      <c r="F69" s="7" t="s">
        <v>1277</v>
      </c>
      <c r="G69" s="46"/>
      <c r="I69" s="7" t="s">
        <v>1029</v>
      </c>
      <c r="J69" s="46" t="n">
        <f aca="false">SUMIF($E$68:$E$86,I69,$C$68:$C$86)</f>
        <v>8</v>
      </c>
      <c r="K69" s="54" t="n">
        <f aca="false">J69/$C$87</f>
        <v>0.333333333333333</v>
      </c>
    </row>
    <row r="70" customFormat="false" ht="15" hidden="false" customHeight="false" outlineLevel="0" collapsed="false">
      <c r="A70" s="46" t="n">
        <v>3</v>
      </c>
      <c r="B70" s="46"/>
      <c r="C70" s="46" t="n">
        <v>1</v>
      </c>
      <c r="D70" s="7" t="s">
        <v>1290</v>
      </c>
      <c r="E70" s="7" t="s">
        <v>1023</v>
      </c>
      <c r="F70" s="7" t="s">
        <v>1276</v>
      </c>
      <c r="G70" s="46"/>
      <c r="I70" s="7" t="s">
        <v>1034</v>
      </c>
      <c r="J70" s="46" t="n">
        <f aca="false">SUMIF($E$68:$E$86,I70,$C$68:$C$86)</f>
        <v>6</v>
      </c>
      <c r="K70" s="54" t="n">
        <f aca="false">J70/$C$87</f>
        <v>0.25</v>
      </c>
    </row>
    <row r="71" customFormat="false" ht="15" hidden="false" customHeight="false" outlineLevel="0" collapsed="false">
      <c r="A71" s="46" t="n">
        <v>4</v>
      </c>
      <c r="B71" s="46" t="s">
        <v>1281</v>
      </c>
      <c r="C71" s="46" t="n">
        <v>2</v>
      </c>
      <c r="D71" s="7" t="s">
        <v>1290</v>
      </c>
      <c r="E71" s="7" t="s">
        <v>1023</v>
      </c>
      <c r="F71" s="7" t="s">
        <v>1268</v>
      </c>
      <c r="G71" s="46"/>
    </row>
    <row r="72" customFormat="false" ht="15" hidden="false" customHeight="false" outlineLevel="0" collapsed="false">
      <c r="A72" s="46" t="n">
        <v>5</v>
      </c>
      <c r="B72" s="46"/>
      <c r="C72" s="46" t="n">
        <v>1</v>
      </c>
      <c r="D72" s="7" t="s">
        <v>1290</v>
      </c>
      <c r="E72" s="7" t="s">
        <v>1023</v>
      </c>
      <c r="F72" s="7" t="s">
        <v>1277</v>
      </c>
      <c r="G72" s="46"/>
    </row>
    <row r="73" customFormat="false" ht="15" hidden="false" customHeight="false" outlineLevel="0" collapsed="false">
      <c r="A73" s="46" t="n">
        <v>6</v>
      </c>
      <c r="B73" s="46" t="s">
        <v>1281</v>
      </c>
      <c r="C73" s="46" t="n">
        <v>2</v>
      </c>
      <c r="D73" s="7" t="s">
        <v>1290</v>
      </c>
      <c r="E73" s="7" t="s">
        <v>1023</v>
      </c>
      <c r="F73" s="7" t="s">
        <v>1268</v>
      </c>
      <c r="G73" s="46"/>
    </row>
    <row r="74" customFormat="false" ht="15" hidden="false" customHeight="false" outlineLevel="0" collapsed="false">
      <c r="A74" s="46" t="n">
        <v>7</v>
      </c>
      <c r="B74" s="46"/>
      <c r="C74" s="46" t="n">
        <v>1</v>
      </c>
      <c r="D74" s="7" t="s">
        <v>1290</v>
      </c>
      <c r="E74" s="7" t="s">
        <v>1023</v>
      </c>
      <c r="F74" s="7" t="s">
        <v>1277</v>
      </c>
      <c r="G74" s="46"/>
    </row>
    <row r="75" customFormat="false" ht="15" hidden="false" customHeight="false" outlineLevel="0" collapsed="false">
      <c r="A75" s="46" t="n">
        <v>8</v>
      </c>
      <c r="B75" s="46"/>
      <c r="C75" s="46" t="n">
        <v>1</v>
      </c>
      <c r="D75" s="7" t="s">
        <v>1290</v>
      </c>
      <c r="E75" s="7" t="s">
        <v>1023</v>
      </c>
      <c r="F75" s="7" t="s">
        <v>1277</v>
      </c>
      <c r="G75" s="46" t="s">
        <v>1286</v>
      </c>
    </row>
    <row r="76" customFormat="false" ht="15" hidden="false" customHeight="false" outlineLevel="0" collapsed="false">
      <c r="A76" s="46" t="n">
        <v>9</v>
      </c>
      <c r="B76" s="46"/>
      <c r="C76" s="46" t="n">
        <v>1</v>
      </c>
      <c r="D76" s="7" t="s">
        <v>1291</v>
      </c>
      <c r="E76" s="7" t="s">
        <v>1029</v>
      </c>
      <c r="F76" s="7" t="s">
        <v>1277</v>
      </c>
      <c r="G76" s="46"/>
    </row>
    <row r="77" customFormat="false" ht="15" hidden="false" customHeight="false" outlineLevel="0" collapsed="false">
      <c r="A77" s="46" t="n">
        <v>10</v>
      </c>
      <c r="B77" s="46"/>
      <c r="C77" s="46" t="n">
        <v>1</v>
      </c>
      <c r="D77" s="7" t="s">
        <v>1291</v>
      </c>
      <c r="E77" s="7" t="s">
        <v>1029</v>
      </c>
      <c r="F77" s="7" t="s">
        <v>1276</v>
      </c>
      <c r="G77" s="46"/>
    </row>
    <row r="78" customFormat="false" ht="15" hidden="false" customHeight="false" outlineLevel="0" collapsed="false">
      <c r="A78" s="46" t="n">
        <v>11</v>
      </c>
      <c r="B78" s="46"/>
      <c r="C78" s="46" t="n">
        <v>1</v>
      </c>
      <c r="D78" s="7" t="s">
        <v>1291</v>
      </c>
      <c r="E78" s="7" t="s">
        <v>1029</v>
      </c>
      <c r="F78" s="7" t="s">
        <v>1277</v>
      </c>
      <c r="G78" s="46"/>
    </row>
    <row r="79" customFormat="false" ht="15" hidden="false" customHeight="false" outlineLevel="0" collapsed="false">
      <c r="A79" s="46" t="n">
        <v>12</v>
      </c>
      <c r="B79" s="46"/>
      <c r="C79" s="46" t="n">
        <v>1</v>
      </c>
      <c r="D79" s="7" t="s">
        <v>1291</v>
      </c>
      <c r="E79" s="7" t="s">
        <v>1029</v>
      </c>
      <c r="F79" s="7" t="s">
        <v>1277</v>
      </c>
      <c r="G79" s="46"/>
    </row>
    <row r="80" customFormat="false" ht="15" hidden="false" customHeight="false" outlineLevel="0" collapsed="false">
      <c r="A80" s="46" t="n">
        <v>13</v>
      </c>
      <c r="B80" s="46"/>
      <c r="C80" s="46" t="n">
        <v>1</v>
      </c>
      <c r="D80" s="7" t="s">
        <v>1291</v>
      </c>
      <c r="E80" s="7" t="s">
        <v>1029</v>
      </c>
      <c r="F80" s="7" t="s">
        <v>1277</v>
      </c>
      <c r="G80" s="46"/>
    </row>
    <row r="81" customFormat="false" ht="15" hidden="false" customHeight="false" outlineLevel="0" collapsed="false">
      <c r="A81" s="46" t="n">
        <v>14</v>
      </c>
      <c r="B81" s="46"/>
      <c r="C81" s="46" t="n">
        <v>1</v>
      </c>
      <c r="D81" s="7" t="s">
        <v>1291</v>
      </c>
      <c r="E81" s="7" t="s">
        <v>1029</v>
      </c>
      <c r="F81" s="7" t="s">
        <v>1276</v>
      </c>
      <c r="G81" s="46"/>
    </row>
    <row r="82" customFormat="false" ht="15" hidden="false" customHeight="false" outlineLevel="0" collapsed="false">
      <c r="A82" s="46" t="n">
        <v>15</v>
      </c>
      <c r="B82" s="46" t="s">
        <v>1281</v>
      </c>
      <c r="C82" s="46" t="n">
        <v>2</v>
      </c>
      <c r="D82" s="7" t="s">
        <v>1291</v>
      </c>
      <c r="E82" s="7" t="s">
        <v>1029</v>
      </c>
      <c r="F82" s="7" t="s">
        <v>1268</v>
      </c>
      <c r="G82" s="46"/>
    </row>
    <row r="83" customFormat="false" ht="15" hidden="false" customHeight="false" outlineLevel="0" collapsed="false">
      <c r="A83" s="46" t="n">
        <v>16</v>
      </c>
      <c r="B83" s="46" t="s">
        <v>1281</v>
      </c>
      <c r="C83" s="46" t="n">
        <v>2</v>
      </c>
      <c r="D83" s="7" t="s">
        <v>1292</v>
      </c>
      <c r="E83" s="7" t="s">
        <v>1034</v>
      </c>
      <c r="F83" s="7" t="s">
        <v>1268</v>
      </c>
      <c r="G83" s="46"/>
    </row>
    <row r="84" customFormat="false" ht="15" hidden="false" customHeight="false" outlineLevel="0" collapsed="false">
      <c r="A84" s="46" t="n">
        <v>17</v>
      </c>
      <c r="B84" s="46" t="s">
        <v>1281</v>
      </c>
      <c r="C84" s="46" t="n">
        <v>2</v>
      </c>
      <c r="D84" s="7" t="s">
        <v>1292</v>
      </c>
      <c r="E84" s="7" t="s">
        <v>1034</v>
      </c>
      <c r="F84" s="7" t="s">
        <v>1268</v>
      </c>
      <c r="G84" s="46"/>
    </row>
    <row r="85" customFormat="false" ht="15" hidden="false" customHeight="false" outlineLevel="0" collapsed="false">
      <c r="A85" s="46" t="n">
        <v>18</v>
      </c>
      <c r="B85" s="46"/>
      <c r="C85" s="46" t="n">
        <v>1</v>
      </c>
      <c r="D85" s="7" t="s">
        <v>1292</v>
      </c>
      <c r="E85" s="7" t="s">
        <v>1034</v>
      </c>
      <c r="F85" s="7" t="s">
        <v>1277</v>
      </c>
      <c r="G85" s="46"/>
    </row>
    <row r="86" customFormat="false" ht="15" hidden="false" customHeight="false" outlineLevel="0" collapsed="false">
      <c r="A86" s="46" t="n">
        <v>19</v>
      </c>
      <c r="B86" s="46"/>
      <c r="C86" s="46" t="n">
        <v>1</v>
      </c>
      <c r="D86" s="7" t="s">
        <v>1292</v>
      </c>
      <c r="E86" s="7" t="s">
        <v>1034</v>
      </c>
      <c r="F86" s="7" t="s">
        <v>1277</v>
      </c>
      <c r="G86" s="46" t="s">
        <v>1286</v>
      </c>
    </row>
    <row r="87" customFormat="false" ht="15" hidden="false" customHeight="false" outlineLevel="0" collapsed="false">
      <c r="B87" s="5" t="s">
        <v>1282</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244</v>
      </c>
      <c r="C60" s="65" t="n">
        <v>46325</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266</v>
      </c>
      <c r="C69" s="65" t="n">
        <v>46329</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row r="72" customFormat="false" ht="15" hidden="false" customHeight="false" outlineLevel="0" collapsed="false">
      <c r="A72" s="46" t="n">
        <v>5</v>
      </c>
      <c r="B72" s="5" t="s">
        <v>274</v>
      </c>
      <c r="C72" s="65" t="n">
        <v>46330</v>
      </c>
      <c r="D72" s="66" t="s">
        <v>1611</v>
      </c>
      <c r="E72" s="6" t="s">
        <v>1612</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1613</v>
      </c>
      <c r="C1" s="9" t="s">
        <v>958</v>
      </c>
      <c r="D1" s="9" t="s">
        <v>959</v>
      </c>
      <c r="E1" s="9" t="s">
        <v>1614</v>
      </c>
      <c r="F1" s="9" t="s">
        <v>705</v>
      </c>
      <c r="G1" s="9" t="s">
        <v>1615</v>
      </c>
      <c r="H1" s="9" t="s">
        <v>1616</v>
      </c>
      <c r="I1" s="9" t="s">
        <v>1245</v>
      </c>
      <c r="J1" s="9" t="s">
        <v>1617</v>
      </c>
      <c r="K1" s="9" t="s">
        <v>1244</v>
      </c>
      <c r="L1" s="9" t="s">
        <v>1618</v>
      </c>
      <c r="M1" s="9" t="s">
        <v>1619</v>
      </c>
      <c r="N1" s="9" t="s">
        <v>1620</v>
      </c>
    </row>
    <row r="2" customFormat="false" ht="23.85" hidden="false" customHeight="false" outlineLevel="0" collapsed="false">
      <c r="A2" s="55" t="n">
        <v>1</v>
      </c>
      <c r="B2" s="6" t="s">
        <v>1621</v>
      </c>
      <c r="C2" s="52" t="s">
        <v>1247</v>
      </c>
      <c r="D2" s="7"/>
      <c r="E2" s="7"/>
      <c r="F2" s="6" t="s">
        <v>1622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1623</v>
      </c>
      <c r="C3" s="52" t="s">
        <v>1247</v>
      </c>
      <c r="D3" s="7"/>
      <c r="E3" s="7"/>
      <c r="F3" s="6" t="s">
        <v>1622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1624</v>
      </c>
      <c r="C4" s="51" t="n">
        <v>46288</v>
      </c>
      <c r="D4" s="51" t="n">
        <v>46310</v>
      </c>
      <c r="E4" s="46" t="n">
        <f aca="false">COUNTIF('Scope &amp; Sequence'!$C$2:$C$132,A4)</f>
        <v>16</v>
      </c>
      <c r="F4" s="6" t="s">
        <v>1625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1626</v>
      </c>
      <c r="C5" s="51" t="n">
        <v>46311</v>
      </c>
      <c r="D5" s="51" t="n">
        <v>46322</v>
      </c>
      <c r="E5" s="46" t="n">
        <f aca="false">COUNTIF('Scope &amp; Sequence'!$C$2:$C$132,A5)</f>
        <v>8</v>
      </c>
      <c r="F5" s="6" t="s">
        <v>1625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1627</v>
      </c>
      <c r="C6" s="51" t="n">
        <v>46323</v>
      </c>
      <c r="D6" s="51" t="n">
        <v>46332</v>
      </c>
      <c r="E6" s="46" t="n">
        <f aca="false">COUNTIF('Scope &amp; Sequence'!$C$2:$C$132,A6)</f>
        <v>8</v>
      </c>
      <c r="F6" s="6" t="s">
        <v>1622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1628</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1629</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1630</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1631</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1632</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1633</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1634</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1635</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1636</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1637</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1638</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1639</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1641</v>
      </c>
      <c r="G1" s="9" t="s">
        <v>16</v>
      </c>
      <c r="H1" s="9" t="s">
        <v>18</v>
      </c>
    </row>
    <row r="2" customFormat="false" ht="15" hidden="false" customHeight="false" outlineLevel="0" collapsed="false">
      <c r="A2" s="55" t="n">
        <v>1</v>
      </c>
      <c r="B2" s="5" t="s">
        <v>1642</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1643</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1644</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1645</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1646</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1647</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1648</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1649</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1650</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1651</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1652</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1653</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1654</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1655</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1656</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1657</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1658</v>
      </c>
    </row>
    <row r="2" customFormat="false" ht="23.85" hidden="false" customHeight="false" outlineLevel="0" collapsed="false">
      <c r="A2" s="68" t="s">
        <v>1659</v>
      </c>
    </row>
    <row r="3" customFormat="false" ht="15" hidden="false" customHeight="false" outlineLevel="0" collapsed="false">
      <c r="A3" s="68"/>
    </row>
    <row r="4" customFormat="false" ht="15" hidden="false" customHeight="false" outlineLevel="0" collapsed="false">
      <c r="A4" s="67" t="s">
        <v>1660</v>
      </c>
    </row>
    <row r="5" customFormat="false" ht="23.85" hidden="false" customHeight="false" outlineLevel="0" collapsed="false">
      <c r="A5" s="68" t="s">
        <v>1661</v>
      </c>
    </row>
    <row r="6" customFormat="false" ht="35.05" hidden="false" customHeight="false" outlineLevel="0" collapsed="false">
      <c r="A6" s="68" t="s">
        <v>1662</v>
      </c>
    </row>
    <row r="7" customFormat="false" ht="23.85" hidden="false" customHeight="false" outlineLevel="0" collapsed="false">
      <c r="A7" s="68" t="s">
        <v>1663</v>
      </c>
    </row>
    <row r="8" customFormat="false" ht="15" hidden="false" customHeight="false" outlineLevel="0" collapsed="false">
      <c r="A8" s="68" t="s">
        <v>1664</v>
      </c>
    </row>
    <row r="9" customFormat="false" ht="15" hidden="false" customHeight="false" outlineLevel="0" collapsed="false">
      <c r="A9" s="68" t="s">
        <v>1665</v>
      </c>
    </row>
    <row r="10" customFormat="false" ht="15" hidden="false" customHeight="false" outlineLevel="0" collapsed="false">
      <c r="A10" s="68" t="s">
        <v>1666</v>
      </c>
    </row>
    <row r="11" customFormat="false" ht="15" hidden="false" customHeight="false" outlineLevel="0" collapsed="false">
      <c r="A11" s="68" t="s">
        <v>1667</v>
      </c>
    </row>
    <row r="12" customFormat="false" ht="15" hidden="false" customHeight="false" outlineLevel="0" collapsed="false">
      <c r="A12" s="68" t="s">
        <v>1668</v>
      </c>
    </row>
    <row r="13" customFormat="false" ht="15" hidden="false" customHeight="false" outlineLevel="0" collapsed="false">
      <c r="A13" s="68" t="s">
        <v>1669</v>
      </c>
    </row>
    <row r="14" customFormat="false" ht="15" hidden="false" customHeight="false" outlineLevel="0" collapsed="false">
      <c r="A14" s="68"/>
    </row>
    <row r="15" customFormat="false" ht="15" hidden="false" customHeight="false" outlineLevel="0" collapsed="false">
      <c r="A15" s="67" t="s">
        <v>1670</v>
      </c>
    </row>
    <row r="16" customFormat="false" ht="57.45" hidden="false" customHeight="false" outlineLevel="0" collapsed="false">
      <c r="A16" s="68" t="s">
        <v>1671</v>
      </c>
    </row>
    <row r="17" customFormat="false" ht="23.85" hidden="false" customHeight="false" outlineLevel="0" collapsed="false">
      <c r="A17" s="68" t="s">
        <v>1672</v>
      </c>
    </row>
    <row r="18" customFormat="false" ht="23.85" hidden="false" customHeight="false" outlineLevel="0" collapsed="false">
      <c r="A18" s="68" t="s">
        <v>1673</v>
      </c>
    </row>
    <row r="19" customFormat="false" ht="23.85" hidden="false" customHeight="false" outlineLevel="0" collapsed="false">
      <c r="A19" s="68" t="s">
        <v>1674</v>
      </c>
    </row>
    <row r="20" customFormat="false" ht="15" hidden="false" customHeight="false" outlineLevel="0" collapsed="false">
      <c r="A20" s="68" t="s">
        <v>1675</v>
      </c>
    </row>
    <row r="21" customFormat="false" ht="46.25" hidden="false" customHeight="false" outlineLevel="0" collapsed="false">
      <c r="A21" s="68" t="s">
        <v>1676</v>
      </c>
    </row>
    <row r="22" customFormat="false" ht="23.85" hidden="false" customHeight="false" outlineLevel="0" collapsed="false">
      <c r="A22" s="68" t="s">
        <v>1677</v>
      </c>
    </row>
    <row r="23" customFormat="false" ht="23.85" hidden="false" customHeight="false" outlineLevel="0" collapsed="false">
      <c r="A23" s="68" t="s">
        <v>1678</v>
      </c>
    </row>
    <row r="24" customFormat="false" ht="15" hidden="false" customHeight="false" outlineLevel="0" collapsed="false">
      <c r="A24" s="68"/>
    </row>
    <row r="25" customFormat="false" ht="15" hidden="false" customHeight="false" outlineLevel="0" collapsed="false">
      <c r="A25" s="67" t="s">
        <v>1679</v>
      </c>
    </row>
    <row r="26" customFormat="false" ht="46.25" hidden="false" customHeight="false" outlineLevel="0" collapsed="false">
      <c r="A26" s="68"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1681</v>
      </c>
      <c r="P1" s="69" t="s">
        <v>1682</v>
      </c>
      <c r="Q1" s="69" t="s">
        <v>1683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1684</v>
      </c>
      <c r="N2" s="69"/>
      <c r="O2" s="69" t="s">
        <v>1685</v>
      </c>
      <c r="P2" s="69" t="s">
        <v>1686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1687</v>
      </c>
      <c r="N3" s="69"/>
      <c r="O3" s="69" t="s">
        <v>1688</v>
      </c>
      <c r="P3" s="69" t="s">
        <v>1686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1689</v>
      </c>
      <c r="N4" s="69"/>
      <c r="O4" s="69" t="s">
        <v>1690</v>
      </c>
      <c r="P4" s="69" t="s">
        <v>1686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1691</v>
      </c>
      <c r="N5" s="69"/>
      <c r="O5" s="69" t="s">
        <v>1692</v>
      </c>
      <c r="P5" s="69" t="s">
        <v>1686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1693</v>
      </c>
      <c r="N6" s="69"/>
      <c r="O6" s="69" t="s">
        <v>1694</v>
      </c>
      <c r="P6" s="69" t="s">
        <v>1686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1695</v>
      </c>
      <c r="N7" s="69"/>
      <c r="O7" s="69" t="s">
        <v>1696</v>
      </c>
      <c r="P7" s="69" t="s">
        <v>1686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1697</v>
      </c>
      <c r="P8" s="69" t="s">
        <v>1686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1698</v>
      </c>
      <c r="P9" s="69" t="s">
        <v>1686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1699</v>
      </c>
      <c r="N10" s="69"/>
      <c r="O10" s="69" t="s">
        <v>1700</v>
      </c>
      <c r="P10" s="69" t="s">
        <v>1686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1701</v>
      </c>
      <c r="N11" s="69"/>
      <c r="O11" s="69" t="s">
        <v>1702</v>
      </c>
      <c r="P11" s="69" t="s">
        <v>1686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1703</v>
      </c>
      <c r="N12" s="69"/>
      <c r="O12" s="69" t="s">
        <v>1704</v>
      </c>
      <c r="P12" s="69" t="s">
        <v>1686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1705</v>
      </c>
      <c r="P13" s="69" t="s">
        <v>1686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1706</v>
      </c>
      <c r="N14" s="69"/>
      <c r="O14" s="69" t="s">
        <v>1707</v>
      </c>
      <c r="P14" s="69" t="s">
        <v>1686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1708</v>
      </c>
      <c r="P15" s="69" t="s">
        <v>1686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1709</v>
      </c>
      <c r="P16" s="69" t="s">
        <v>1686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1710</v>
      </c>
      <c r="P17" s="69" t="s">
        <v>1686</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1711</v>
      </c>
      <c r="N18" s="69"/>
      <c r="O18" s="69" t="s">
        <v>1712</v>
      </c>
      <c r="P18" s="69" t="s">
        <v>1686</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1713</v>
      </c>
      <c r="N19" s="69"/>
      <c r="O19" s="69" t="s">
        <v>1714</v>
      </c>
      <c r="P19" s="69" t="s">
        <v>1686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1715</v>
      </c>
      <c r="N20" s="69"/>
      <c r="O20" s="69" t="s">
        <v>1716</v>
      </c>
      <c r="P20" s="69" t="s">
        <v>1686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1717</v>
      </c>
      <c r="N21" s="69"/>
      <c r="O21" s="69" t="s">
        <v>1718</v>
      </c>
      <c r="P21" s="69" t="s">
        <v>1686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1719</v>
      </c>
      <c r="N22" s="69"/>
      <c r="O22" s="69" t="s">
        <v>1720</v>
      </c>
      <c r="P22" s="69" t="s">
        <v>1686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1721</v>
      </c>
      <c r="N23" s="69"/>
      <c r="O23" s="69" t="s">
        <v>1722</v>
      </c>
      <c r="P23" s="69" t="s">
        <v>1686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1723</v>
      </c>
      <c r="P24" s="69" t="s">
        <v>1686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5" s="69"/>
      <c r="D25" s="69"/>
      <c r="E25" s="69"/>
      <c r="F25" s="69"/>
      <c r="G25"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1724</v>
      </c>
      <c r="P25" s="69" t="s">
        <v>1686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1725</v>
      </c>
      <c r="N26" s="69"/>
      <c r="O26" s="69" t="s">
        <v>1726</v>
      </c>
      <c r="P26" s="69" t="s">
        <v>1686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1727</v>
      </c>
      <c r="N27" s="69"/>
      <c r="O27" s="69" t="s">
        <v>1728</v>
      </c>
      <c r="P27" s="69" t="s">
        <v>1729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1730</v>
      </c>
      <c r="N28" s="69"/>
      <c r="O28" s="69" t="s">
        <v>1731</v>
      </c>
      <c r="P28" s="69" t="s">
        <v>1686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1732</v>
      </c>
      <c r="N29" s="69"/>
      <c r="O29" s="69" t="s">
        <v>1733</v>
      </c>
      <c r="P29" s="69" t="s">
        <v>1686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1734</v>
      </c>
      <c r="N30" s="69"/>
      <c r="O30" s="69" t="s">
        <v>1735</v>
      </c>
      <c r="P30" s="69" t="s">
        <v>1686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1736</v>
      </c>
      <c r="N31" s="69"/>
      <c r="O31" s="69" t="s">
        <v>1737</v>
      </c>
      <c r="P31" s="69" t="s">
        <v>1686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1738</v>
      </c>
      <c r="P32" s="69" t="s">
        <v>1686</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1739</v>
      </c>
      <c r="P33" s="69" t="s">
        <v>1686</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1740</v>
      </c>
      <c r="N34" s="69"/>
      <c r="O34" s="69" t="s">
        <v>1741</v>
      </c>
      <c r="P34" s="69" t="s">
        <v>1729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1742</v>
      </c>
      <c r="N35" s="69"/>
      <c r="O35" s="69" t="s">
        <v>1743</v>
      </c>
      <c r="P35" s="69" t="s">
        <v>1729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1744</v>
      </c>
      <c r="N36" s="69"/>
      <c r="O36" s="69" t="s">
        <v>1745</v>
      </c>
      <c r="P36" s="69" t="s">
        <v>1686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1746</v>
      </c>
      <c r="N37" s="69"/>
      <c r="O37" s="69" t="s">
        <v>1747</v>
      </c>
      <c r="P37" s="69" t="s">
        <v>1686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1748</v>
      </c>
      <c r="N38" s="69"/>
      <c r="O38" s="69" t="s">
        <v>1749</v>
      </c>
      <c r="P38" s="69" t="s">
        <v>1686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1750</v>
      </c>
      <c r="N39" s="69"/>
      <c r="O39" s="69" t="s">
        <v>1751</v>
      </c>
      <c r="P39" s="69" t="s">
        <v>1686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1752</v>
      </c>
      <c r="N40" s="69"/>
      <c r="O40" s="69" t="s">
        <v>1753</v>
      </c>
      <c r="P40" s="69" t="s">
        <v>1686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1754</v>
      </c>
      <c r="N41" s="69"/>
      <c r="O41" s="69" t="s">
        <v>1755</v>
      </c>
      <c r="P41" s="69" t="s">
        <v>1686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1756</v>
      </c>
      <c r="P42" s="69" t="s">
        <v>1729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1757</v>
      </c>
      <c r="P43" s="69" t="s">
        <v>1729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1758</v>
      </c>
      <c r="P44" s="69" t="s">
        <v>1686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1759</v>
      </c>
      <c r="P45" s="69" t="s">
        <v>1686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1760</v>
      </c>
      <c r="N46" s="69"/>
      <c r="O46" s="69" t="s">
        <v>1761</v>
      </c>
      <c r="P46" s="69" t="s">
        <v>1686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1762</v>
      </c>
      <c r="N47" s="69"/>
      <c r="O47" s="69" t="s">
        <v>1763</v>
      </c>
      <c r="P47" s="69" t="s">
        <v>1686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1764</v>
      </c>
      <c r="N48" s="69"/>
      <c r="O48" s="69" t="s">
        <v>1765</v>
      </c>
      <c r="P48" s="69" t="s">
        <v>1686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1766</v>
      </c>
      <c r="N49" s="69"/>
      <c r="O49" s="69" t="s">
        <v>1767</v>
      </c>
      <c r="P49" s="69" t="s">
        <v>1686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1768</v>
      </c>
      <c r="N50" s="69"/>
      <c r="O50" s="69" t="s">
        <v>1769</v>
      </c>
      <c r="P50" s="69" t="s">
        <v>1729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1770</v>
      </c>
      <c r="P51" s="69" t="s">
        <v>1729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1771</v>
      </c>
      <c r="P52" s="69" t="s">
        <v>1686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1772</v>
      </c>
      <c r="P53" s="69" t="s">
        <v>1686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1773</v>
      </c>
      <c r="P54" s="69" t="s">
        <v>1686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1774</v>
      </c>
      <c r="P55" s="69" t="s">
        <v>1686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1775</v>
      </c>
      <c r="N56" s="69"/>
      <c r="O56" s="69" t="s">
        <v>1776</v>
      </c>
      <c r="P56" s="69" t="s">
        <v>1686</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t="s">
        <v>1777</v>
      </c>
      <c r="N57" s="69"/>
      <c r="O57" s="69" t="s">
        <v>1778</v>
      </c>
      <c r="P57" s="69" t="s">
        <v>1686</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1779</v>
      </c>
      <c r="N58" s="69"/>
      <c r="O58" s="69" t="s">
        <v>1780</v>
      </c>
      <c r="P58" s="69" t="s">
        <v>1729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1781</v>
      </c>
      <c r="N59" s="69"/>
      <c r="O59" s="69" t="s">
        <v>1782</v>
      </c>
      <c r="P59" s="69" t="s">
        <v>1729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1783</v>
      </c>
      <c r="N60" s="69"/>
      <c r="O60" s="69" t="s">
        <v>1784</v>
      </c>
      <c r="P60" s="69" t="s">
        <v>1686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1785</v>
      </c>
      <c r="N61" s="69"/>
      <c r="O61" s="69" t="s">
        <v>1786</v>
      </c>
      <c r="P61" s="69" t="s">
        <v>1686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1787</v>
      </c>
      <c r="N62" s="69"/>
      <c r="O62" s="69" t="s">
        <v>1788</v>
      </c>
      <c r="P62" s="69" t="s">
        <v>1686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1789</v>
      </c>
      <c r="P63" s="69" t="s">
        <v>1686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1790</v>
      </c>
      <c r="P64" s="69" t="s">
        <v>1686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1791</v>
      </c>
      <c r="P65" s="69" t="s">
        <v>1686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1792</v>
      </c>
      <c r="P66" s="69" t="s">
        <v>1729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1793</v>
      </c>
      <c r="P67" s="69" t="s">
        <v>1686</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1794</v>
      </c>
      <c r="P68" s="69" t="s">
        <v>1686</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1795</v>
      </c>
      <c r="P69" s="69" t="s">
        <v>1686</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1796</v>
      </c>
      <c r="N70" s="69"/>
      <c r="O70" s="69" t="s">
        <v>1797</v>
      </c>
      <c r="P70" s="69" t="s">
        <v>1686</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1798</v>
      </c>
      <c r="N71" s="69"/>
      <c r="O71" s="69" t="s">
        <v>1799</v>
      </c>
      <c r="P71" s="69" t="s">
        <v>1686</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1800</v>
      </c>
      <c r="N72" s="69"/>
      <c r="O72" s="69" t="s">
        <v>1801</v>
      </c>
      <c r="P72" s="69" t="s">
        <v>1686</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1802</v>
      </c>
      <c r="N73" s="69"/>
      <c r="O73" s="69" t="s">
        <v>1803</v>
      </c>
      <c r="P73" s="69" t="s">
        <v>1686</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1804</v>
      </c>
      <c r="N74" s="69"/>
      <c r="O74" s="69" t="s">
        <v>1805</v>
      </c>
      <c r="P74" s="69" t="s">
        <v>1686</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1806</v>
      </c>
      <c r="N75" s="69"/>
      <c r="O75" s="69" t="s">
        <v>1807</v>
      </c>
      <c r="P75" s="69" t="s">
        <v>1686</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1808</v>
      </c>
      <c r="N76" s="69"/>
      <c r="O76" s="69" t="s">
        <v>1809</v>
      </c>
      <c r="P76" s="69" t="s">
        <v>1686</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1810</v>
      </c>
      <c r="N77" s="69"/>
      <c r="O77" s="69" t="s">
        <v>1811</v>
      </c>
      <c r="P77" s="69" t="s">
        <v>1686</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1812</v>
      </c>
      <c r="P78" s="69" t="s">
        <v>1686</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1813</v>
      </c>
      <c r="P79" s="69" t="s">
        <v>1686</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1814</v>
      </c>
      <c r="N80" s="69"/>
      <c r="O80" s="69" t="s">
        <v>1815</v>
      </c>
      <c r="P80" s="69" t="s">
        <v>1686</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1816</v>
      </c>
      <c r="N81" s="69"/>
      <c r="O81" s="69" t="s">
        <v>1817</v>
      </c>
      <c r="P81" s="69" t="s">
        <v>1686</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1818</v>
      </c>
      <c r="N82" s="69"/>
      <c r="O82" s="69" t="s">
        <v>1819</v>
      </c>
      <c r="P82" s="69" t="s">
        <v>1686</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1820</v>
      </c>
      <c r="N83" s="69"/>
      <c r="O83" s="69" t="s">
        <v>1821</v>
      </c>
      <c r="P83" s="69" t="s">
        <v>1686</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1822</v>
      </c>
      <c r="N84" s="69"/>
      <c r="O84" s="69" t="s">
        <v>1823</v>
      </c>
      <c r="P84" s="69" t="s">
        <v>1686</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1824</v>
      </c>
      <c r="N85" s="69"/>
      <c r="O85" s="69" t="s">
        <v>1825</v>
      </c>
      <c r="P85" s="69" t="s">
        <v>1686</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1826</v>
      </c>
      <c r="N86" s="69"/>
      <c r="O86" s="69" t="s">
        <v>1827</v>
      </c>
      <c r="P86" s="69" t="s">
        <v>1686</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1828</v>
      </c>
      <c r="P87" s="69" t="s">
        <v>1686</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1829</v>
      </c>
      <c r="P88" s="69" t="s">
        <v>1686</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1830</v>
      </c>
      <c r="P89" s="69" t="s">
        <v>1686</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1831</v>
      </c>
      <c r="N90" s="69"/>
      <c r="O90" s="69" t="s">
        <v>1832</v>
      </c>
      <c r="P90" s="69" t="s">
        <v>1686</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1833</v>
      </c>
      <c r="N91" s="69"/>
      <c r="O91" s="69" t="s">
        <v>1834</v>
      </c>
      <c r="P91" s="69" t="s">
        <v>1686</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1835</v>
      </c>
      <c r="N92" s="69"/>
      <c r="O92" s="69" t="s">
        <v>1836</v>
      </c>
      <c r="P92" s="69" t="s">
        <v>1686</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1837</v>
      </c>
      <c r="N93" s="69"/>
      <c r="O93" s="69" t="s">
        <v>1838</v>
      </c>
      <c r="P93" s="69" t="s">
        <v>1686</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1839</v>
      </c>
      <c r="P94" s="69" t="s">
        <v>1686</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1840</v>
      </c>
      <c r="N95" s="69"/>
      <c r="O95" s="69" t="s">
        <v>1841</v>
      </c>
      <c r="P95" s="69" t="s">
        <v>1686</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1842</v>
      </c>
      <c r="N96" s="69"/>
      <c r="O96" s="69" t="s">
        <v>1843</v>
      </c>
      <c r="P96" s="69" t="s">
        <v>1686</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1844</v>
      </c>
      <c r="P97" s="69" t="s">
        <v>1686</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1845</v>
      </c>
      <c r="P98" s="69" t="s">
        <v>1686</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1686</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1847</v>
      </c>
      <c r="P100" s="69" t="s">
        <v>1686</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1848</v>
      </c>
      <c r="N101" s="69"/>
      <c r="O101" s="69" t="s">
        <v>1849</v>
      </c>
      <c r="P101" s="69" t="s">
        <v>1686</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1850</v>
      </c>
      <c r="N102" s="69"/>
      <c r="O102" s="69" t="s">
        <v>1851</v>
      </c>
      <c r="P102" s="69" t="s">
        <v>1686</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1852</v>
      </c>
      <c r="N103" s="69"/>
      <c r="O103" s="69" t="s">
        <v>1853</v>
      </c>
      <c r="P103" s="69" t="s">
        <v>1686</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1854</v>
      </c>
      <c r="N104" s="69"/>
      <c r="O104" s="69" t="s">
        <v>1855</v>
      </c>
      <c r="P104" s="69" t="s">
        <v>1686</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1856</v>
      </c>
      <c r="N105" s="69"/>
      <c r="O105" s="69" t="s">
        <v>1857</v>
      </c>
      <c r="P105" s="69" t="s">
        <v>1686</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1858</v>
      </c>
      <c r="N106" s="69"/>
      <c r="O106" s="69" t="s">
        <v>1859</v>
      </c>
      <c r="P106" s="69" t="s">
        <v>1686</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1860</v>
      </c>
      <c r="N107" s="69"/>
      <c r="O107" s="69" t="s">
        <v>1861</v>
      </c>
      <c r="P107" s="69" t="s">
        <v>1686</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1862</v>
      </c>
      <c r="P108" s="69" t="s">
        <v>1686</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1863</v>
      </c>
      <c r="P109" s="69" t="s">
        <v>1686</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1686</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1686</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1686</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1870</v>
      </c>
      <c r="P113" s="69" t="s">
        <v>1686</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1871</v>
      </c>
      <c r="P114" s="69" t="s">
        <v>1686</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1872</v>
      </c>
      <c r="N115" s="69"/>
      <c r="O115" s="69" t="s">
        <v>1873</v>
      </c>
      <c r="P115" s="69" t="s">
        <v>1686</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1874</v>
      </c>
      <c r="N116" s="69"/>
      <c r="O116" s="69" t="s">
        <v>1875</v>
      </c>
      <c r="P116" s="69" t="s">
        <v>1686</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1876</v>
      </c>
      <c r="N117" s="69"/>
      <c r="O117" s="69" t="s">
        <v>1877</v>
      </c>
      <c r="P117" s="69" t="s">
        <v>1686</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1878</v>
      </c>
      <c r="N118" s="69"/>
      <c r="O118" s="69" t="s">
        <v>1879</v>
      </c>
      <c r="P118" s="69" t="s">
        <v>1686</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1880</v>
      </c>
      <c r="N119" s="69"/>
      <c r="O119" s="69" t="s">
        <v>1881</v>
      </c>
      <c r="P119" s="69" t="s">
        <v>1686</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1882</v>
      </c>
      <c r="N120" s="69"/>
      <c r="O120" s="69" t="s">
        <v>1883</v>
      </c>
      <c r="P120" s="69" t="s">
        <v>1686</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1884</v>
      </c>
      <c r="N121" s="69"/>
      <c r="O121" s="69" t="s">
        <v>1885</v>
      </c>
      <c r="P121" s="69" t="s">
        <v>1686</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1886</v>
      </c>
      <c r="N122" s="69"/>
      <c r="O122" s="69" t="s">
        <v>1887</v>
      </c>
      <c r="P122" s="69" t="s">
        <v>1686</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1888</v>
      </c>
      <c r="N123" s="69"/>
      <c r="O123" s="69" t="s">
        <v>1889</v>
      </c>
      <c r="P123" s="69" t="s">
        <v>1686</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1890</v>
      </c>
      <c r="N124" s="69"/>
      <c r="O124" s="69" t="s">
        <v>1891</v>
      </c>
      <c r="P124" s="69" t="s">
        <v>1686</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1892</v>
      </c>
      <c r="P125" s="69" t="s">
        <v>1686</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1893</v>
      </c>
      <c r="P126" s="69" t="s">
        <v>1686</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1894</v>
      </c>
      <c r="N127" s="69"/>
      <c r="O127" s="69" t="s">
        <v>1895</v>
      </c>
      <c r="P127" s="69" t="s">
        <v>1686</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1896</v>
      </c>
      <c r="N128" s="69"/>
      <c r="O128" s="69" t="s">
        <v>1897</v>
      </c>
      <c r="P128" s="69" t="s">
        <v>1686</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1898</v>
      </c>
      <c r="P129" s="69" t="s">
        <v>1686</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1899</v>
      </c>
      <c r="P130" s="69" t="s">
        <v>1686</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1900</v>
      </c>
      <c r="P131" s="69" t="s">
        <v>1686</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1901</v>
      </c>
      <c r="P132" s="69" t="s">
        <v>1686</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1902</v>
      </c>
      <c r="P133" s="69" t="s">
        <v>1686</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1903</v>
      </c>
      <c r="P134" s="69" t="s">
        <v>1686</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1904</v>
      </c>
      <c r="P135" s="69" t="s">
        <v>1686</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1905</v>
      </c>
      <c r="P136" s="69" t="s">
        <v>1686</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1906</v>
      </c>
      <c r="P137" s="69" t="s">
        <v>1686</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1907</v>
      </c>
      <c r="P138" s="69" t="s">
        <v>1686</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1908</v>
      </c>
      <c r="P139" s="69" t="s">
        <v>1686</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1909</v>
      </c>
      <c r="P140" s="69" t="s">
        <v>1686</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1910</v>
      </c>
      <c r="P141" s="69" t="s">
        <v>1686</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1911</v>
      </c>
      <c r="P142" s="69" t="s">
        <v>1686</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1912</v>
      </c>
      <c r="P143" s="69" t="s">
        <v>1686</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1913</v>
      </c>
      <c r="P144" s="69" t="s">
        <v>1686</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1914</v>
      </c>
      <c r="P145" s="69" t="s">
        <v>1686</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1915</v>
      </c>
      <c r="P146" s="69" t="s">
        <v>1686</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1916</v>
      </c>
      <c r="P147" s="69" t="s">
        <v>1686</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1917</v>
      </c>
      <c r="P148" s="69" t="s">
        <v>1686</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1918</v>
      </c>
      <c r="P149" s="69" t="s">
        <v>1686</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1919</v>
      </c>
      <c r="P150" s="69" t="s">
        <v>1686</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1920</v>
      </c>
      <c r="P151" s="69" t="s">
        <v>1686</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1921</v>
      </c>
      <c r="P152" s="69" t="s">
        <v>1686</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1922</v>
      </c>
      <c r="P153" s="69" t="s">
        <v>1686</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1923</v>
      </c>
      <c r="P154" s="69" t="s">
        <v>1686</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1924</v>
      </c>
      <c r="P155" s="69" t="s">
        <v>1686</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1925</v>
      </c>
      <c r="P156" s="69" t="s">
        <v>1686</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1926</v>
      </c>
      <c r="P157" s="69" t="s">
        <v>1686</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1927</v>
      </c>
      <c r="P158" s="69" t="s">
        <v>1686</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1928</v>
      </c>
      <c r="P159" s="69" t="s">
        <v>1686</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1929</v>
      </c>
      <c r="P160" s="69" t="s">
        <v>1686</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1930</v>
      </c>
      <c r="B1" s="71" t="s">
        <v>1931</v>
      </c>
      <c r="C1" s="71" t="s">
        <v>1932</v>
      </c>
      <c r="D1" s="71"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2026-10-21T14:27:18Z</dcterms:created>
  <dc:creator>openpyxl</dc:creator>
  <dc:description/>
  <dc:language>en-US</dc:language>
  <cp:lastModifiedBy/>
  <dcterms:modified xsi:type="dcterms:W3CDTF">2026-10-21T14:27:19Z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