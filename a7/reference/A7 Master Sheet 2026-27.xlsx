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day" sheetId="1" state="visible" r:id="rId3"/>
    <sheet name="Scope &amp; Sequence" sheetId="2" state="visible" r:id="rId4"/>
    <sheet name="IXL tracker" sheetId="3" state="visible" r:id="rId5"/>
    <sheet name="Standards" sheetId="4" state="visible" r:id="rId6"/>
    <sheet name="Unit tests" sheetId="5" state="visible" r:id="rId7"/>
    <sheet name="Month calendar" sheetId="6" state="visible" r:id="rId8"/>
    <sheet name="Vocabulary" sheetId="7" state="visible" r:id="rId9"/>
    <sheet name="Units" sheetId="8" state="visible" r:id="rId10"/>
    <sheet name="Units 1–2 decks" sheetId="9" state="visible" r:id="rId11"/>
    <sheet name="About" sheetId="10" state="visible" r:id="rId12"/>
    <sheet name="Links" sheetId="11" state="hidden" r:id="rId13"/>
    <sheet name="Drive" sheetId="12" state="hidden" r:id="rId14"/>
  </sheets>
  <definedNames>
    <definedName function="false" hidden="true" localSheetId="2" name="_xlnm._FilterDatabase" vbProcedure="false">'IXL tracker'!$A$4:$K$86</definedName>
    <definedName function="false" hidden="true" localSheetId="1" name="_xlnm._FilterDatabase" vbProcedure="false">'Scope &amp; Sequence'!$A$1:$AB$132</definedName>
    <definedName function="false" hidden="true" localSheetId="3" name="_xlnm._FilterDatabase" vbProcedure="false">Standards!$A$1:$K$61</definedName>
    <definedName function="false" hidden="true" localSheetId="6" name="_xlnm._FilterDatabase" vbProcedure="false">Vocabulary!$A$1:$E$49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Y2" authorId="0">
      <text>
        <r>
          <rPr>
            <sz val="10"/>
            <rFont val="Arial"/>
            <family val="2"/>
          </rPr>
          <t xml:space="preserve">MTR.5.1: Notes II — 3²·3³ is expanded into five factors of 3 before the rule is named, so the law is read off the structure rather than memorized.
MTR.3.1: Boards 1, 3, 4 and 7 — one law, one move, written and up on the cue; today is where the fluency for the rest of the unit is set.
MTR.4.1: Board 5 — when the room splits between 4⁵ and 16⁵, the sixty-second re-vote before the reveal.</t>
        </r>
      </text>
    </comment>
    <comment ref="Y3" authorId="0">
      <text>
        <r>
          <rPr>
            <sz val="10"/>
            <rFont val="Arial"/>
            <family val="2"/>
          </rPr>
          <t xml:space="preserve">MTR.5.1: Notes III — the class reaches 2⁰ two ways, by cancelling matching factors and by subtracting the exponents, and sees that the value 1 is forced by the law rather than declared.
MTR.6.1: Board 3 — (−6)⁶ over (−6)⁵ leaves one factor of −6; students say whether the answer is positive or negative before they write anything.
MTR.4.1: Board 5 — when the room splits between 1 and 0 on 9⁰, the sixty-second re-vote before the reveal.</t>
        </r>
      </text>
    </comment>
    <comment ref="Y4" authorId="0">
      <text>
        <r>
          <rPr>
            <sz val="10"/>
            <rFont val="Arial"/>
            <family val="2"/>
          </rPr>
          <t xml:space="preserve">MTR.2.1: Notes II and board 9 — one expression is carried to the end by two different plans, written side by side, and the two answers are compared.
MTR.3.1: Boards 1 through 4 — four multi-law expressions, one each, written without a reference sheet.
MTR.6.1: Board 5 — a sixth power over 2¹⁰ lands on 4; students say why an answer that small is reasonable before they trust it.</t>
        </r>
      </text>
    </comment>
    <comment ref="Y5" authorId="0">
      <text>
        <r>
          <rPr>
            <sz val="10"/>
            <rFont val="Arial"/>
            <family val="2"/>
          </rPr>
          <t xml:space="preserve">MTR.5.1: Notes I — the halving table; students fill 2⁻¹, 2⁻² and 2⁻³ from the pattern before the rule is named.
MTR.4.1: Board 5 — when the room splits between 1/49 and −49, the sixty-second re-vote before the reveal.
MTR.6.1: Board 1 — a reciprocal of 8³ is a small positive number, so −512 cannot be right; students say why.</t>
        </r>
      </text>
    </comment>
    <comment ref="Y6" authorId="0">
      <text>
        <r>
          <rPr>
            <sz val="10"/>
            <rFont val="Arial"/>
            <family val="2"/>
          </rPr>
          <t xml:space="preserve">MTR.5.1: Notes I — 3.04's halving table redone with a fraction base, so the flip appears as the next line of a pattern the class already owns rather than a second rule.
MTR.4.1: Board 5 — when the room splits between (−10/7)³ and (10/7)³, the sixty-second re-vote before the reveal: is the reciprocal of −7/10 positive or negative?
MTR.6.1: Board 3 — a base between −1 and 0 raised to a negative even power; students say which side of 1 the value lands on before computing it.</t>
        </r>
      </text>
    </comment>
    <comment ref="Y7" authorId="0">
      <text>
        <r>
          <rPr>
            <sz val="10"/>
            <rFont val="Arial"/>
            <family val="2"/>
          </rPr>
          <t xml:space="preserve">MTR.2.1: Notes I — two students' plans for one expression are written side by side and both are carried to the end, so the value is seen to be independent of the route.
MTR.5.1: Notes III and boards 4, 7 and 8 — 8, 4 and 16 are rewritten as powers of 2, which is the only way expressions with different bases can be compared at all.
MTR.6.1: Board 9 — Xavier's claim is tested rather than believed; the student converts the second expression and finds 3⁻⁸.</t>
        </r>
      </text>
    </comment>
    <comment ref="Y10" authorId="0">
      <text>
        <r>
          <rPr>
            <sz val="10"/>
            <rFont val="Arial"/>
            <family val="2"/>
          </rPr>
          <t xml:space="preserve">MTR.5.1: Notes I — x² · x³ is expanded into five letters before the rule is restated, so the law is recognized as the one from 3.01 rather than met as a new one.
MTR.3.1: Boards 1, 2 and 7 — one move each, written and up on the cue; the law has to be automatic before the negative exponents arrive tomorrow.
MTR.4.1: Board 5 — when the room splits over whether the 5 gets squared, the sixty-second re-vote before the reveal.</t>
        </r>
      </text>
    </comment>
    <comment ref="Y11" authorId="0">
      <text>
        <r>
          <rPr>
            <sz val="10"/>
            <rFont val="Arial"/>
            <family val="2"/>
          </rPr>
          <t xml:space="preserve">MTR.5.1: Notes I — 3.04's halving table rewritten with a letter, so x⁻¹ = 1/x is the next line of a pattern the class already owns.
MTR.6.1: Board 4 — two negative exponents on two different letters; students say how many factors end up under the bar before they write anything.
MTR.4.1: Board 6 — when the room splits over whether the 3 gets squared, the sixty-second re-vote before the reveal.</t>
        </r>
      </text>
    </comment>
    <comment ref="Y12" authorId="0">
      <text>
        <r>
          <rPr>
            <sz val="10"/>
            <rFont val="Arial"/>
            <family val="2"/>
          </rPr>
          <t xml:space="preserve">MTR.7.1: Example 1, both Your Turns, boards 3 and 8, and the bank — funding, prices, populations and counts from outside the classroom, written the way science writes them.
MTR.5.1: Notes I — the powers of ten are set against place value, so the exponent is read as a count of places rather than a count of zeros.
MTR.6.1: Board 4 — the comparison is settled by the exponent first; students say which number is larger before they look at the coefficients.</t>
        </r>
      </text>
    </comment>
    <comment ref="Y14" authorId="0">
      <text>
        <r>
          <rPr>
            <sz val="10"/>
            <rFont val="Arial"/>
            <family val="2"/>
          </rPr>
          <t xml:space="preserve">MTR.5.1: Notes I — negative powers of ten are set against the decimal places, so 10⁻³ is read as three places to the right of the point.
MTR.6.1: Board 7 — a comparison of two very small numbers; students say which exponent wins before they look at the coefficients.
MTR.7.1: Board 9 and the bank — thicknesses, tolerances and densities, which are the quantities this notation exists for.</t>
        </r>
      </text>
    </comment>
    <comment ref="Y18" authorId="0">
      <text>
        <r>
          <rPr>
            <sz val="10"/>
            <rFont val="Arial"/>
            <family val="2"/>
          </rPr>
          <t xml:space="preserve">MTR.5.1: Notes I — the powers of ten are set against the place-value names, so 'the powers must match' is read off the structure rather than announced as a rule.
MTR.6.1: Boards 3 and 4 — the coefficient is checked against 1 ≤ a &lt; 10 before the board goes up, in both directions.
MTR.4.1: Board 6 — when the room splits between 1.23 × 10⁷ and 12.3 × 10⁶, which have the same value, the sixty-second re-vote before the reveal.</t>
        </r>
      </text>
    </comment>
    <comment ref="Y19" authorId="0">
      <text>
        <r>
          <rPr>
            <sz val="10"/>
            <rFont val="Arial"/>
            <family val="2"/>
          </rPr>
          <t xml:space="preserve">MTR.5.1: Notes I — the product is regrouped before it is evaluated, so 'multiply the fronts, add the backs' is read off the structure rather than memorised as a rule.
MTR.3.1: Boards 1, 3 and 7 — one move each, written and up on the cue; dividing in scientific notation was the lowest single figure on the last state report.
MTR.4.1: Board 6 — when the room splits between 2 × 10¹⁰ and 20 × 10⁹, which are the same number, the sixty-second re-vote before the reveal.</t>
        </r>
      </text>
    </comment>
    <comment ref="Y20" authorId="0">
      <text>
        <r>
          <rPr>
            <sz val="10"/>
            <rFont val="Arial"/>
            <family val="2"/>
          </rPr>
          <t xml:space="preserve">MTR.6.1: Boards 2, 6 and 7 — the last move on every board is asking how much of the answer the measurements actually support, before the board goes up.
MTR.7.1: Every problem from Notes II on — each number is a measured quantity with a unit, because the rule has no meaning without one.
MTR.4.1: Board 6 — when the room splits between 2.6 × 10⁵ and 2.61 × 10⁵, the sixty-second re-vote before the reveal.</t>
        </r>
      </text>
    </comment>
    <comment ref="Y21" authorId="0">
      <text>
        <r>
          <rPr>
            <sz val="10"/>
            <rFont val="Arial"/>
            <family val="2"/>
          </rPr>
          <t xml:space="preserve">MTR.5.1: Notes I — the radical bar is recognised as a grouping symbol by comparing √(9 + 16) with √9 + √16, so the rule is derived from the difference rather than announced.
MTR.6.1: Boards 3 and 6 — students say whether a negative answer is possible at all before they evaluate, which is the whole square-root-versus-cube-root distinction.
MTR.4.1: Board 5 — when the room splits between 13 and 17 on √(25 + 144), the sixty-second re-vote before the reveal.</t>
        </r>
      </text>
    </comment>
    <comment ref="Y22" authorId="0">
      <text>
        <r>
          <rPr>
            <sz val="10"/>
            <rFont val="Arial"/>
            <family val="2"/>
          </rPr>
          <t xml:space="preserve">MTR.5.1: Notes I — the four levels are read off the expression's structure and the class is never given a mnemonic, because the guide asks us not to give one.
MTR.3.1: Boards 1, 3 and 7 — one structural decision each, written and up on the cue; these are the errors that cost marks everywhere else.
MTR.4.1: Board 5 — when the room splits between 50 and 80, the sixty-second re-vote before the reveal.</t>
        </r>
      </text>
    </comment>
    <comment ref="Y23" authorId="0">
      <text>
        <r>
          <rPr>
            <sz val="10"/>
            <rFont val="Arial"/>
            <family val="2"/>
          </rPr>
          <t xml:space="preserve">MTR.7.1: Notes I–III, both Examples and boards 2, 3, 4, 6, 7 and 9 — the expression arrives inside a situation, and the unit is part of the answer.
MTR.2.1: Notes II and board 9 — the same three numbers are written as two different expressions, so the structure is seen to come from the situation and not from the page.
MTR.4.1: Board 6 — when the room splits over whether the flat fee goes inside the parentheses, the sixty-second re-vote before the reveal.</t>
        </r>
      </text>
    </comment>
    <comment ref="Z2" authorId="0">
      <text>
        <r>
          <rPr>
            <sz val="10"/>
            <rFont val="Arial"/>
            <family val="2"/>
          </rPr>
          <t xml:space="preserve">What to look for: Board 9 is written work and it is the exit evidence: the student has to say that the power of a product law needs a product inside the parentheses, not a sum. Read the boards, not the papers.</t>
        </r>
      </text>
    </comment>
    <comment ref="Z3" authorId="0">
      <text>
        <r>
          <rPr>
            <sz val="10"/>
            <rFont val="Arial"/>
            <family val="2"/>
          </rPr>
          <t xml:space="preserve">What to look for: Board 9 is written work and it is the exit evidence: the student has to say that both students are right and that 6⁰ is 1. Read the boards, not the papers.</t>
        </r>
      </text>
    </comment>
    <comment ref="Z4" authorId="0">
      <text>
        <r>
          <rPr>
            <sz val="10"/>
            <rFont val="Arial"/>
            <family val="2"/>
          </rPr>
          <t xml:space="preserve">What to look for: Board 9 is written work and it is the exit evidence: the student has to carry both plans to the end and show they land on the same value. Read the boards, not the papers.</t>
        </r>
      </text>
    </comment>
    <comment ref="Z5" authorId="0">
      <text>
        <r>
          <rPr>
            <sz val="10"/>
            <rFont val="Arial"/>
            <family val="2"/>
          </rPr>
          <t xml:space="preserve">What to look for: Board 9 is written work and it is the exit evidence: the student has to use the word reciprocal. Read the boards, not the papers.</t>
        </r>
      </text>
    </comment>
    <comment ref="Z6" authorId="0">
      <text>
        <r>
          <rPr>
            <sz val="10"/>
            <rFont val="Arial"/>
            <family val="2"/>
          </rPr>
          <t xml:space="preserve">What to look for: Board 9 is written work and it is the exit evidence: the student has to say separately what the base's sign does and what the exponent's sign does. Read the boards, not the papers.</t>
        </r>
      </text>
    </comment>
    <comment ref="Z7" authorId="0">
      <text>
        <r>
          <rPr>
            <sz val="10"/>
            <rFont val="Arial"/>
            <family val="2"/>
          </rPr>
          <t xml:space="preserve">What to look for: Board 9 is written work and it is the exit evidence: the student has to convert the second expression and name the exponent it really has. Read the boards, not the papers.</t>
        </r>
      </text>
    </comment>
    <comment ref="Z10" authorId="0">
      <text>
        <r>
          <rPr>
            <sz val="10"/>
            <rFont val="Arial"/>
            <family val="2"/>
          </rPr>
          <t xml:space="preserve">What to look for: Board 9 is written work and it is the exit evidence: the student has to say that both forms are the same expression and show that 14³ is 2,744. Read the boards, not the papers.</t>
        </r>
      </text>
    </comment>
    <comment ref="Z11" authorId="0">
      <text>
        <r>
          <rPr>
            <sz val="10"/>
            <rFont val="Arial"/>
            <family val="2"/>
          </rPr>
          <t xml:space="preserve">What to look for: Board 9 is written work and it is the exit evidence: the student has to name x⁻⁵ as the reciprocal of x⁵ and give both values at x = 2. Read the boards, not the papers.</t>
        </r>
      </text>
    </comment>
    <comment ref="Z12" authorId="0">
      <text>
        <r>
          <rPr>
            <sz val="10"/>
            <rFont val="Arial"/>
            <family val="2"/>
          </rPr>
          <t xml:space="preserve">What to look for: Board 9 is written work and it is the exit evidence: the student has to say both things — equal in value, and not in scientific notation — and give 7 × 10⁷. Read the boards, not the papers.</t>
        </r>
      </text>
    </comment>
    <comment ref="Z14" authorId="0">
      <text>
        <r>
          <rPr>
            <sz val="10"/>
            <rFont val="Arial"/>
            <family val="2"/>
          </rPr>
          <t xml:space="preserve">What to look for: Board 9 is written work and it is the exit evidence: the student has to name B as the thicker line, give the factor 3, and write a thickness that falls between the two. Read the boards, not the papers.</t>
        </r>
      </text>
    </comment>
    <comment ref="Z18" authorId="0">
      <text>
        <r>
          <rPr>
            <sz val="10"/>
            <rFont val="Arial"/>
            <family val="2"/>
          </rPr>
          <t xml:space="preserve">What to look for: Board 9 is written work and it is the exit evidence: the student has to name both of Devon's mistakes separately and give 6.619 × 10⁴. Read the boards, not the papers.</t>
        </r>
      </text>
    </comment>
    <comment ref="Z19" authorId="0">
      <text>
        <r>
          <rPr>
            <sz val="10"/>
            <rFont val="Arial"/>
            <family val="2"/>
          </rPr>
          <t xml:space="preserve">What to look for: Board 9 is written work and it is the exit evidence: the student has to name Marcus's error and Sara's error separately and give 3 × 10⁸. Read the boards, not the papers.</t>
        </r>
      </text>
    </comment>
    <comment ref="Z20" authorId="0">
      <text>
        <r>
          <rPr>
            <sz val="10"/>
            <rFont val="Arial"/>
            <family val="2"/>
          </rPr>
          <t xml:space="preserve">What to look for: Board 9 is written work and it is the exit evidence: the student has to say what the rule for a sum actually is, not only that Ellis used the wrong one, and give 9.150 × 10³. Read the boards, not the papers.</t>
        </r>
      </text>
    </comment>
    <comment ref="Z21" authorId="0">
      <text>
        <r>
          <rPr>
            <sz val="10"/>
            <rFont val="Arial"/>
            <family val="2"/>
          </rPr>
          <t xml:space="preserve">What to look for: Board 9 is written work and it is the exit evidence: the student has to say which root Simon's rule belongs to, not only that he is wrong, and give −3. Read the boards, not the papers.</t>
        </r>
      </text>
    </comment>
    <comment ref="Z22" authorId="0">
      <text>
        <r>
          <rPr>
            <sz val="10"/>
            <rFont val="Arial"/>
            <family val="2"/>
          </rPr>
          <t xml:space="preserve">What to look for: Board 9 is written work and it is the exit evidence: the student has to give a value of n that settles Roscoe's claim and say what is wrong with the sentence, not only that it is wrong. Read the boards, not the papers.</t>
        </r>
      </text>
    </comment>
    <comment ref="Z23" authorId="0">
      <text>
        <r>
          <rPr>
            <sz val="10"/>
            <rFont val="Arial"/>
            <family val="2"/>
          </rPr>
          <t xml:space="preserve">What to look for: Board 9 is written work and it is the exit evidence: the student has to give both totals and say what decides the operation, since the words and the numbers are identical in the two problems. Read the boards, not the papers.</t>
        </r>
      </text>
    </comment>
  </commentList>
</comments>
</file>

<file path=xl/sharedStrings.xml><?xml version="1.0" encoding="utf-8"?>
<sst xmlns="http://schemas.openxmlformats.org/spreadsheetml/2006/main" count="2706" uniqueCount="1836">
  <si>
    <t xml:space="preserve">A7 — today</t>
  </si>
  <si>
    <t xml:space="preserve">Showing</t>
  </si>
  <si>
    <t xml:space="preserve">Lesson</t>
  </si>
  <si>
    <t xml:space="preserve">Learning target</t>
  </si>
  <si>
    <t xml:space="preserve">Essential question</t>
  </si>
  <si>
    <t xml:space="preserve">Vocabulary</t>
  </si>
  <si>
    <t xml:space="preserve">Benchmark</t>
  </si>
  <si>
    <t xml:space="preserve">IXL assigned</t>
  </si>
  <si>
    <t xml:space="preserve">IXL due at the start of class</t>
  </si>
  <si>
    <t xml:space="preserve">Closure question</t>
  </si>
  <si>
    <t xml:space="preserve">Open</t>
  </si>
  <si>
    <t xml:space="preserve">Slides (PDF)</t>
  </si>
  <si>
    <t xml:space="preserve">Slides (PowerPoint)</t>
  </si>
  <si>
    <t xml:space="preserve">Teacher Edition</t>
  </si>
  <si>
    <t xml:space="preserve">Lesson Plan</t>
  </si>
  <si>
    <t xml:space="preserve">Question Bank</t>
  </si>
  <si>
    <t xml:space="preserve">Bank key</t>
  </si>
  <si>
    <t xml:space="preserve">Bank – Additional</t>
  </si>
  <si>
    <t xml:space="preserve">Additional key</t>
  </si>
  <si>
    <t xml:space="preserve">Independent Set</t>
  </si>
  <si>
    <t xml:space="preserve">Independent key</t>
  </si>
  <si>
    <t xml:space="preserve">Unit folder</t>
  </si>
  <si>
    <t xml:space="preserve">Everything for this lesson</t>
  </si>
  <si>
    <t xml:space="preserve">Coming up</t>
  </si>
  <si>
    <t xml:space="preserve">Date</t>
  </si>
  <si>
    <t xml:space="preserve">Slides</t>
  </si>
  <si>
    <t xml:space="preserve">This tab follows today's date: on a class day it shows that day; on a weekend or holiday, the next class day. A link opens the document in Google Drive — your own edited copy if you have made one. Where your Drive does not have the file yet, it opens Drive showing the one file with that name.</t>
  </si>
  <si>
    <t xml:space="preserve">Plan row shown</t>
  </si>
  <si>
    <t xml:space="preserve">Last day of school</t>
  </si>
  <si>
    <t xml:space="preserve">Day</t>
  </si>
  <si>
    <t xml:space="preserve">Unit</t>
  </si>
  <si>
    <t xml:space="preserve">What is taught</t>
  </si>
  <si>
    <t xml:space="preserve">IXL skills — all required, code</t>
  </si>
  <si>
    <t xml:space="preserve">IXL due</t>
  </si>
  <si>
    <t xml:space="preserve">Benchmark wording</t>
  </si>
  <si>
    <t xml:space="preserve">MTRs (tap for where they show up)</t>
  </si>
  <si>
    <t xml:space="preserve">Closure question (board 9)</t>
  </si>
  <si>
    <t xml:space="preserve">Closure answer</t>
  </si>
  <si>
    <t xml:space="preserve">Math Nation lesson(s)</t>
  </si>
  <si>
    <t xml:space="preserve">Wed (43 min)</t>
  </si>
  <si>
    <t xml:space="preserve">3.01</t>
  </si>
  <si>
    <t xml:space="preserve">Product laws of exponents</t>
  </si>
  <si>
    <t xml:space="preserve">Evaluate powers — SZQ; Multiplication with exponents — 5SK; Power rule — 8DA; Understanding exponents — BFA</t>
  </si>
  <si>
    <t xml:space="preserve">I can use the product of powers, power of a product, power of a power and identity laws to rewrite and evaluate a numerical expression.</t>
  </si>
  <si>
    <t xml:space="preserve">How can the laws of exponents be used to write an equivalent expression?</t>
  </si>
  <si>
    <t xml:space="preserve">base, exponent, power, product of powers law, power of a product law, power of a power law, identity exponent law</t>
  </si>
  <si>
    <t xml:space="preserve">7.NSO.1.1 · 8.NSO.1.3</t>
  </si>
  <si>
    <t xml:space="preserve">MA.7.NSO.1.1 — Know and apply the Laws of Exponents to evaluate numerical expressions and generate equivalent numerical expressions, limited to whole-number exponents and rational number bases.
MA.8.NSO.1.3 — Extend previous understanding of the Laws of Exponents to include integer exponents. Apply the Laws of Exponents to evaluate numerical expressions and generate equivalent numerical expressions, limited to integer exponents and rational number bases, with procedural fluency.</t>
  </si>
  <si>
    <t xml:space="preserve">MA.K12.MTR.5.1 Use patterns and structure to help understand and connect mathematical concepts.
MA.K12.MTR.3.1 Complete tasks with mathematical fluency.
MA.K12.MTR.4.1 Engage in discussions that reflect on the mathematical thinking of self and others.</t>
  </si>
  <si>
    <t xml:space="preserve">Aiyanna says she can use the power of a product law to evaluate (9 + (−3))³. Is she right?</t>
  </si>
  <si>
    <t xml:space="preserve">No — (9 + (−3))³ = 6³ = 216</t>
  </si>
  <si>
    <t xml:space="preserve">3.1 Product Laws of Exponents</t>
  </si>
  <si>
    <t xml:space="preserve">Thu</t>
  </si>
  <si>
    <t xml:space="preserve">3.02</t>
  </si>
  <si>
    <t xml:space="preserve">Quotient laws of exponents</t>
  </si>
  <si>
    <t xml:space="preserve">Powers with negative bases — WFW; Division with exponents — XNC; Identify equivalent expressions involving whole-number exponents — KBE</t>
  </si>
  <si>
    <t xml:space="preserve">I can use the quotient of powers, power of a quotient and zero exponent laws to rewrite and evaluate a numerical expression.</t>
  </si>
  <si>
    <t xml:space="preserve">Why must the bases be the same to apply the quotient of powers law?</t>
  </si>
  <si>
    <t xml:space="preserve">quotient of powers law, power of a quotient law, zero exponent law</t>
  </si>
  <si>
    <t xml:space="preserve">MA.K12.MTR.5.1 Use patterns and structure to help understand and connect mathematical concepts.
MA.K12.MTR.6.1 Assess the reasonableness of solutions.
MA.K12.MTR.4.1 Engage in discussions that reflect on the mathematical thinking of self and others.</t>
  </si>
  <si>
    <t xml:space="preserve">Hannah cancels 6²/6² to 1. Sebastian subtracts to 6⁰. Who is right?</t>
  </si>
  <si>
    <t xml:space="preserve">Both — 6⁰ = 1</t>
  </si>
  <si>
    <t xml:space="preserve">3.2 Quotient Laws of Exponents</t>
  </si>
  <si>
    <t xml:space="preserve">Fri</t>
  </si>
  <si>
    <t xml:space="preserve">3.03</t>
  </si>
  <si>
    <t xml:space="preserve">Exponential expressions</t>
  </si>
  <si>
    <t xml:space="preserve">Evaluate expressions using properties of exponents — ZE9</t>
  </si>
  <si>
    <t xml:space="preserve">I can apply more than one law of exponents to evaluate an expression and to write an equivalent one.</t>
  </si>
  <si>
    <t xml:space="preserve">How can the laws of exponents be used to generate equivalent numeric expressions?</t>
  </si>
  <si>
    <t xml:space="preserve">equivalent expressions, evaluate, plan</t>
  </si>
  <si>
    <t xml:space="preserve">MA.K12.MTR.2.1 Demonstrate understanding by representing problems in multiple ways.
MA.K12.MTR.3.1 Complete tasks with mathematical fluency.
MA.K12.MTR.6.1 Assess the reasonableness of solutions.</t>
  </si>
  <si>
    <t xml:space="preserve">Winston writes (4⁷/4⁴)² = (4³)². Yvette writes (4⁷/4⁴)² = 4¹⁴/4⁸. Do they get the same value? Explain.</t>
  </si>
  <si>
    <t xml:space="preserve">Yes — both give 4⁶ = 4,096</t>
  </si>
  <si>
    <t xml:space="preserve">3.3 Exponential Expressions</t>
  </si>
  <si>
    <t xml:space="preserve">Mon</t>
  </si>
  <si>
    <t xml:space="preserve">3.04</t>
  </si>
  <si>
    <t xml:space="preserve">Negative exponent law</t>
  </si>
  <si>
    <t xml:space="preserve">Understanding negative exponents — YBB; Evaluate powers with negative exponents — WGS</t>
  </si>
  <si>
    <t xml:space="preserve">I can rewrite a power with a negative exponent using a positive exponent, and evaluate it.</t>
  </si>
  <si>
    <t xml:space="preserve">How do you evaluate a numerical expression that has a negative exponent?</t>
  </si>
  <si>
    <t xml:space="preserve">negative exponent law, reciprocal, opposite</t>
  </si>
  <si>
    <t xml:space="preserve">8.NSO.1.3</t>
  </si>
  <si>
    <t xml:space="preserve">MA.8.NSO.1.3 — Extend previous understanding of the Laws of Exponents to include integer exponents. Apply the Laws of Exponents to evaluate numerical expressions and generate equivalent numerical expressions, limited to integer exponents and rational number bases, with procedural fluency.</t>
  </si>
  <si>
    <t xml:space="preserve">MA.K12.MTR.5.1 Use patterns and structure to help understand and connect mathematical concepts.
MA.K12.MTR.4.1 Engage in discussions that reflect on the mathematical thinking of self and others.
MA.K12.MTR.6.1 Assess the reasonableness of solutions.</t>
  </si>
  <si>
    <t xml:space="preserve">Ellen says the value of 12⁻² is −144. Explain why she is wrong, and show the correct value.</t>
  </si>
  <si>
    <t xml:space="preserve">12⁻² = 1/12² = 1/144</t>
  </si>
  <si>
    <t xml:space="preserve">3.4 Negative Exponent Law</t>
  </si>
  <si>
    <t xml:space="preserve">Tue</t>
  </si>
  <si>
    <t xml:space="preserve">3.05</t>
  </si>
  <si>
    <t xml:space="preserve">Applying exponent laws</t>
  </si>
  <si>
    <t xml:space="preserve">Identify equivalent expressions involving exponents I — VLM</t>
  </si>
  <si>
    <t xml:space="preserve">I can rewrite a rational base with a negative exponent using a positive exponent, and apply several laws to generate an equivalent expression.</t>
  </si>
  <si>
    <t xml:space="preserve">How do you rewrite a rational base with a negative exponent as an equivalent expression with a positive exponent?</t>
  </si>
  <si>
    <t xml:space="preserve">reciprocal of a fraction, rational base with a negative exponent</t>
  </si>
  <si>
    <t xml:space="preserve">Marco says (−4/11)⁻⁷ can be rewritten as (4/11)⁷ because 'two negatives make a positive.' Is he right?</t>
  </si>
  <si>
    <t xml:space="preserve">No — (−4/11)⁻⁷ = (−11/4)⁷</t>
  </si>
  <si>
    <t xml:space="preserve">3.5 Applying Exponent Laws</t>
  </si>
  <si>
    <t xml:space="preserve">3.06+07</t>
  </si>
  <si>
    <t xml:space="preserve">Evaluating and equivalent expressions with integer exponents</t>
  </si>
  <si>
    <t xml:space="preserve">Evaluate expressions using properties of exponents — 6T7; Identify equivalent expressions involving exponents II — QDM</t>
  </si>
  <si>
    <t xml:space="preserve">I can evaluate an expression with integer exponents using the laws, and decide whether two expressions with different bases are equivalent.</t>
  </si>
  <si>
    <t xml:space="preserve">How do you determine whether two expressions are equivalent when they do not have the same base?</t>
  </si>
  <si>
    <t xml:space="preserve">common base, equivalent</t>
  </si>
  <si>
    <t xml:space="preserve">MA.K12.MTR.2.1 Demonstrate understanding by representing problems in multiple ways.
MA.K12.MTR.5.1 Use patterns and structure to help understand and connect mathematical concepts.
MA.K12.MTR.6.1 Assess the reasonableness of solutions.</t>
  </si>
  <si>
    <t xml:space="preserve">Xavier says (1/9)²·3⁻⁵ and (1/3)⁶·9⁻¹ are equivalent because both can be written as 3⁻⁹. Do you agree?</t>
  </si>
  <si>
    <t xml:space="preserve">No — the second is 3⁻⁸, not 3⁻⁹</t>
  </si>
  <si>
    <t xml:space="preserve">3.6 Evaluating Numerical Expressions with Integer Exponents
3.7 Equivalent Expressions</t>
  </si>
  <si>
    <t xml:space="preserve">extra</t>
  </si>
  <si>
    <t xml:space="preserve">A day off the plan (the log does not say which day, or why)</t>
  </si>
  <si>
    <t xml:space="preserve">Extra review day</t>
  </si>
  <si>
    <t xml:space="preserve">T-A1</t>
  </si>
  <si>
    <t xml:space="preserve">Thread A: the same laws with variable bases (14.1–14.2)</t>
  </si>
  <si>
    <t xml:space="preserve">Multiply powers: variable bases — TR9; Powers of a power: variable bases — 2CU; Divide monomials with positive exponents — C8L</t>
  </si>
  <si>
    <t xml:space="preserve">I can multiply and divide monomials, and raise a monomial to a power, by applying the laws of exponents to variable bases.</t>
  </si>
  <si>
    <t xml:space="preserve">Do the laws of exponents change when the base is a variable?</t>
  </si>
  <si>
    <t xml:space="preserve">monomial, coefficient, like bases</t>
  </si>
  <si>
    <t xml:space="preserve">8.AR.1.1</t>
  </si>
  <si>
    <t xml:space="preserve">MA.8.AR.1.1 — Apply the Laws of Exponents to generate equivalent algebraic expressions, limited to integer exponents and monomial bases.</t>
  </si>
  <si>
    <t xml:space="preserve">Rachel writes (14a³b)³ as 14 · 14 · 14 · a · a · a · a · a · a · a · a · a · b · b · b. Justina writes it as 2,744a⁹b³. Who is correct? Explain.</t>
  </si>
  <si>
    <t xml:space="preserve">Both are correct; 14³ = 2,744, nine a's make a⁹, and b · b · b = b³.</t>
  </si>
  <si>
    <t xml:space="preserve">14.1 Applying Exponent Laws to Algebraic Expressions – Part 1
14.2 … Part 2</t>
  </si>
  <si>
    <t xml:space="preserve">T-A2</t>
  </si>
  <si>
    <t xml:space="preserve">Thread A: negative exponents and multiple laws, variable bases (14.3–14.4)</t>
  </si>
  <si>
    <t xml:space="preserve">Variables with negative exponents — 2NL; Multiply and divide powers: variable bases — 85P</t>
  </si>
  <si>
    <t xml:space="preserve">I can rewrite an algebraic expression with negative exponents using only positive exponents, and apply several laws of exponents to a monomial expression.</t>
  </si>
  <si>
    <t xml:space="preserve">What does a negative exponent on a variable mean, and how do several laws combine in one expression?</t>
  </si>
  <si>
    <t xml:space="preserve">negative exponent law, simplified form</t>
  </si>
  <si>
    <t xml:space="preserve">How are x⁵ and x⁻⁵ related? Explain, and give the value of each when x = 2.</t>
  </si>
  <si>
    <t xml:space="preserve">x⁻⁵ is the reciprocal of x⁵. When x = 2: x⁵ = 32 and x⁻⁵ = 1/32.</t>
  </si>
  <si>
    <t xml:space="preserve">14.3 Algebraic Expressions with Negative Exponents
14.4 Applying Multiple Laws of Exponents</t>
  </si>
  <si>
    <t xml:space="preserve">3.08</t>
  </si>
  <si>
    <t xml:space="preserve">Large numbers in scientific notation</t>
  </si>
  <si>
    <t xml:space="preserve">Convert between standard and scientific notation: large numbers — 2AL; Compare large numbers — WEZ; Powers of ten — LJQ</t>
  </si>
  <si>
    <t xml:space="preserve">I can write a large number in scientific notation, read one back into standard form, and find how many times larger one number is than another.</t>
  </si>
  <si>
    <t xml:space="preserve">How does a power of 10 let us write a very large number briefly, and compare two of them?</t>
  </si>
  <si>
    <t xml:space="preserve">scientific notation, standard form, coefficient</t>
  </si>
  <si>
    <t xml:space="preserve">8.NSO.1.4</t>
  </si>
  <si>
    <t xml:space="preserve">MA.8.NSO.1.4 — Express numbers in scientific notation to represent and approximate very large or very small quantities. Determine how many times larger or smaller one number is compared to a second number.</t>
  </si>
  <si>
    <t xml:space="preserve">MA.K12.MTR.7.1 Apply mathematics to real-world contexts.
MA.K12.MTR.5.1 Use patterns and structure to help understand and connect mathematical concepts.
MA.K12.MTR.6.1 Assess the reasonableness of solutions.</t>
  </si>
  <si>
    <t xml:space="preserve">Marcus writes 70,000,000 as 70 × 10⁶. Is his expression equal to 70,000,000? Is it scientific notation? Explain.</t>
  </si>
  <si>
    <t xml:space="preserve">Equal, yes. Scientific notation, no: 70 is not less than 10. 7 × 10⁷.</t>
  </si>
  <si>
    <t xml:space="preserve">3.8 Writing Large Numbers in Scientific Notation</t>
  </si>
  <si>
    <t xml:space="preserve">off</t>
  </si>
  <si>
    <t xml:space="preserve">State test — no class</t>
  </si>
  <si>
    <t xml:space="preserve">3.09</t>
  </si>
  <si>
    <t xml:space="preserve">Small numbers in scientific notation; how many times larger</t>
  </si>
  <si>
    <t xml:space="preserve">Convert between standard and scientific notation: small numbers — 85M; Compare small numbers — KDR; Powers of ten with negative exponents — SKD</t>
  </si>
  <si>
    <t xml:space="preserve">I can write very small numbers in scientific notation, read them back, and find how many times larger or smaller one number is than another.</t>
  </si>
  <si>
    <t xml:space="preserve">How does a negative power of 10 let us write a very small number, and compare it to another?</t>
  </si>
  <si>
    <t xml:space="preserve">negative power of 10, scientific notation</t>
  </si>
  <si>
    <t xml:space="preserve">MA.K12.MTR.5.1 Use patterns and structure to help understand and connect mathematical concepts.
MA.K12.MTR.6.1 Assess the reasonableness of solutions.
MA.K12.MTR.7.1 Apply mathematics to real-world contexts.</t>
  </si>
  <si>
    <t xml:space="preserve">Fishing line A is 2 × 10⁻² inch thick. Fishing line B is 6 × 10⁻² inch thick. Which is thicker, and how many times thicker? Give a possible thickness between the two.</t>
  </si>
  <si>
    <t xml:space="preserve">B; 3 times; e.g. 4 × 10⁻² in.</t>
  </si>
  <si>
    <t xml:space="preserve">3.9 Writing Small Numbers in Scientific Notation</t>
  </si>
  <si>
    <t xml:space="preserve">spiral</t>
  </si>
  <si>
    <t xml:space="preserve">Spiral day — mixed retrieval from the unit just finished and the two before it</t>
  </si>
  <si>
    <t xml:space="preserve">3.X1</t>
  </si>
  <si>
    <t xml:space="preserve">Unit 3 exam, day 1</t>
  </si>
  <si>
    <t xml:space="preserve">4.01</t>
  </si>
  <si>
    <t xml:space="preserve">Add and subtract in scientific notation</t>
  </si>
  <si>
    <t xml:space="preserve">Add and subtract numbers written in scientific notation — HUR</t>
  </si>
  <si>
    <t xml:space="preserve">I can add and subtract two numbers written in scientific notation, and write the answer in scientific notation.</t>
  </si>
  <si>
    <t xml:space="preserve">Why must two numbers written in scientific notation carry the same power of ten before they can be added?</t>
  </si>
  <si>
    <t xml:space="preserve">scientific notation, coefficient, common power of ten</t>
  </si>
  <si>
    <t xml:space="preserve">8.NSO.1.5</t>
  </si>
  <si>
    <t xml:space="preserve">MA.8.NSO.1.5 — Add, subtract, multiply and divide numbers expressed in scientific notation with procedural fluency.</t>
  </si>
  <si>
    <t xml:space="preserve">Devon writes (1.9 × 10²) + (6.6 × 10⁴) = 8.5 × 10⁶. Name the two mistakes he made, and give the correct sum.</t>
  </si>
  <si>
    <t xml:space="preserve">6.619 × 10⁴</t>
  </si>
  <si>
    <t xml:space="preserve">4.1 Adding and Subtracting Numbers Expressed in Scientific Notation</t>
  </si>
  <si>
    <t xml:space="preserve">4.02+03</t>
  </si>
  <si>
    <t xml:space="preserve">Multiply and divide in scientific notation</t>
  </si>
  <si>
    <t xml:space="preserve">Multiply numbers written in scientific notation — YZU; Divide numbers written in scientific notation — SGT</t>
  </si>
  <si>
    <t xml:space="preserve">I can multiply and divide two numbers written in scientific notation, and write the answer in scientific notation.</t>
  </si>
  <si>
    <t xml:space="preserve">Why must the powers of ten match to add, but not to multiply?</t>
  </si>
  <si>
    <t xml:space="preserve">product of powers law, quotient of powers law, regrouping a product</t>
  </si>
  <si>
    <t xml:space="preserve">For (7.2 × 10¹¹) ÷ (2.4 × 10³), Marcus writes 4.8 × 10⁸ and Sara writes 3 × 10¹⁴. Name what each one did wrong, and give the correct quotient.</t>
  </si>
  <si>
    <t xml:space="preserve">3 × 10⁸</t>
  </si>
  <si>
    <t xml:space="preserve">4.2 Multiplying Numbers Expressed in Scientific Notation
4.3 Dividing Numbers Expressed in Scientific Notation</t>
  </si>
  <si>
    <t xml:space="preserve">4.04</t>
  </si>
  <si>
    <t xml:space="preserve">Real-world scientific notation; significant digits</t>
  </si>
  <si>
    <t xml:space="preserve">Add, subtract, multiply, and divide numbers written in scientific notation: word problems — D5S</t>
  </si>
  <si>
    <t xml:space="preserve">I can solve a real-world problem with numbers in scientific notation and report the answer with the right number of significant digits.</t>
  </si>
  <si>
    <t xml:space="preserve">How much of an answer is worth writing down, when the numbers that produced it were measured?</t>
  </si>
  <si>
    <t xml:space="preserve">significant digits, leading zero, measurement</t>
  </si>
  <si>
    <t xml:space="preserve">8.NSO.1.6</t>
  </si>
  <si>
    <t xml:space="preserve">MA.8.NSO.1.6 — Solve real-world problems involving operations with numbers expressed in scientific notation.</t>
  </si>
  <si>
    <t xml:space="preserve">MA.K12.MTR.6.1 Assess the reasonableness of solutions.
MA.K12.MTR.7.1 Apply mathematics to real-world contexts.
MA.K12.MTR.4.1 Engage in discussions that reflect on the mathematical thinking of self and others.</t>
  </si>
  <si>
    <t xml:space="preserve">Ellis says that because 9,145 has 4 significant digits and 4.8 has 2, the sum 9,145 + 4.8 must be written with 2 significant digits, as 9.1 × 10³. Explain why he is wrong, and give the correct sum.</t>
  </si>
  <si>
    <t xml:space="preserve">9,150 = 9.150 × 10³</t>
  </si>
  <si>
    <t xml:space="preserve">4.4 Solving Real-World Problems Involving Numbers Expressed in Scientific Notation</t>
  </si>
  <si>
    <t xml:space="preserve">4.05</t>
  </si>
  <si>
    <t xml:space="preserve">Expressions with radicals (perfect squares to 225, cubes −125 to 125)</t>
  </si>
  <si>
    <t xml:space="preserve">Evaluate radical expressions — D8J</t>
  </si>
  <si>
    <t xml:space="preserve">I can evaluate an expression that contains square roots, cube roots and integer exponents.</t>
  </si>
  <si>
    <t xml:space="preserve">What does the radical bar do to the order in which an expression is evaluated?</t>
  </si>
  <si>
    <t xml:space="preserve">radical, radicand, principal square root</t>
  </si>
  <si>
    <t xml:space="preserve">8.NSO.1.7</t>
  </si>
  <si>
    <t xml:space="preserve">MA.8.NSO.1.7 — Solve multi-step mathematical and real-world problems involving the order of operations with rational numbers including exponents and radicals.</t>
  </si>
  <si>
    <t xml:space="preserve">Simon says that the cube root of −27 is not a real number, because you cannot take the root of a negative. Explain why he is wrong, and give the value.</t>
  </si>
  <si>
    <t xml:space="preserve">−3</t>
  </si>
  <si>
    <t xml:space="preserve">4.5 Evaluating Expressions with Radicals</t>
  </si>
  <si>
    <t xml:space="preserve">4.06</t>
  </si>
  <si>
    <t xml:space="preserve">Order of operations with exponents and radicals</t>
  </si>
  <si>
    <t xml:space="preserve">I can evaluate a multi-step expression with rational numbers, exponents and radicals by reading its structure.</t>
  </si>
  <si>
    <t xml:space="preserve">What decides the order in which an expression is evaluated?</t>
  </si>
  <si>
    <t xml:space="preserve">grouping symbol, nested, multi-step expression</t>
  </si>
  <si>
    <t xml:space="preserve">Roscoe says that (√n − 11)² is always positive, because a square is always positive. Is he right? Give a value of n that settles it.</t>
  </si>
  <si>
    <t xml:space="preserve">No — at n = 121 the value is 0</t>
  </si>
  <si>
    <t xml:space="preserve">4.6 Evaluating Expressions Using the Order of Operations</t>
  </si>
  <si>
    <t xml:space="preserve">4.07+08</t>
  </si>
  <si>
    <t xml:space="preserve">Real-world order-of-operations problems</t>
  </si>
  <si>
    <t xml:space="preserve">Evaluate variable expressions: word problems — DPG</t>
  </si>
  <si>
    <t xml:space="preserve">I can substitute values into a formula and evaluate it, reading what the situation does rather than hunting for key words.</t>
  </si>
  <si>
    <t xml:space="preserve">If key words cannot tell you which operation a problem needs, what can?</t>
  </si>
  <si>
    <t xml:space="preserve">formula, substitute, unit</t>
  </si>
  <si>
    <t xml:space="preserve">MA.K12.MTR.7.1 Apply mathematics to real-world contexts.
MA.K12.MTR.2.1 Demonstrate understanding by representing problems in multiple ways.
MA.K12.MTR.4.1 Engage in discussions that reflect on the mathematical thinking of self and others.</t>
  </si>
  <si>
    <t xml:space="preserve">One pizza order costs 13 dollars plus 2 dollars for each of 5 toppings. Another costs 13 dollars for each of 2 pizzas, plus 5 dollars for delivery. Find both totals, and say why the key words could not have told you.</t>
  </si>
  <si>
    <t xml:space="preserve">23 dollars and 31 dollars</t>
  </si>
  <si>
    <t xml:space="preserve">4.7 / 4.8 Evaluating Real-World Problems Using the Order of Operations – Parts 1, 2</t>
  </si>
  <si>
    <t xml:space="preserve">4.X1</t>
  </si>
  <si>
    <t xml:space="preserve">Unit 4 exam, day 1</t>
  </si>
  <si>
    <t xml:space="preserve">4.X2</t>
  </si>
  <si>
    <t xml:space="preserve">Unit 4 exam, day 2</t>
  </si>
  <si>
    <t xml:space="preserve">5.01</t>
  </si>
  <si>
    <t xml:space="preserve">Scale drawings</t>
  </si>
  <si>
    <t xml:space="preserve">not built yet</t>
  </si>
  <si>
    <t xml:space="preserve">Scale drawings: find the scale factor, missing side, or missing angle — WEA</t>
  </si>
  <si>
    <t xml:space="preserve">7.GR.1.5</t>
  </si>
  <si>
    <t xml:space="preserve">MA.7.GR.1.5 — Solve mathematical and real-world problems involving dimensions and areas of geometric figures, including scale drawings and scale factors.</t>
  </si>
  <si>
    <t xml:space="preserve">5.1 Scale Drawings</t>
  </si>
  <si>
    <t xml:space="preserve">5.02+03</t>
  </si>
  <si>
    <t xml:space="preserve">Scale factor: perimeter and area (k and k²)</t>
  </si>
  <si>
    <t xml:space="preserve">Perimeter and area: changes in scale — ZC6; Scale drawings: find the scale factor or missing side — XHM</t>
  </si>
  <si>
    <t xml:space="preserve">5.2 Scale Factors – Perimeter &amp; Area
5.3 Solving Problems Involving Perimeter and Area of Geometric Figures</t>
  </si>
  <si>
    <t xml:space="preserve">5.04</t>
  </si>
  <si>
    <t xml:space="preserve">Real-world scale drawings</t>
  </si>
  <si>
    <t xml:space="preserve">Scale drawings: word problems — 84H; Scale drawings: scale factor word problems — KCM</t>
  </si>
  <si>
    <t xml:space="preserve">5.4 Solving Problems Involving Real-World Scale Drawings</t>
  </si>
  <si>
    <t xml:space="preserve">5.06+07</t>
  </si>
  <si>
    <t xml:space="preserve">Converting length across systems; currency</t>
  </si>
  <si>
    <t xml:space="preserve">Convert between customary and metric systems — E8Z; Compare and convert customary units — 4B8; Compare and convert metric units — HW2</t>
  </si>
  <si>
    <t xml:space="preserve">7.AR.3.3</t>
  </si>
  <si>
    <t xml:space="preserve">MA.7.AR.3.3 — Solve mathematical and real-world problems involving the conversion of units across different measurement systems.</t>
  </si>
  <si>
    <t xml:space="preserve">5.6 Currency Conversions
5.7 Converting Units of Length</t>
  </si>
  <si>
    <t xml:space="preserve">5.08+09</t>
  </si>
  <si>
    <t xml:space="preserve">Converting mass, area and volume across systems</t>
  </si>
  <si>
    <t xml:space="preserve">5.8 Converting Mass and Area
5.9 Converting Units of Volume</t>
  </si>
  <si>
    <t xml:space="preserve">5.10+11</t>
  </si>
  <si>
    <t xml:space="preserve">Multi-step proportion problems</t>
  </si>
  <si>
    <t xml:space="preserve">Compare rates: word problems — VVS; Multi-step problems with customary or metric unit conversions — UCT</t>
  </si>
  <si>
    <t xml:space="preserve">7.AR.3.3 · 7.AR.4.5</t>
  </si>
  <si>
    <t xml:space="preserve">MA.7.AR.3.3 — Solve mathematical and real-world problems involving the conversion of units across different measurement systems.
MA.7.AR.4.5 — Solve real-world problems involving proportional relationships.</t>
  </si>
  <si>
    <t xml:space="preserve">5.10 Exploring Multi-Step Proportion Problems
5.11 Solving Multi-Step Proportion Problems</t>
  </si>
  <si>
    <t xml:space="preserve">5.X1</t>
  </si>
  <si>
    <t xml:space="preserve">Unit 5 exam, day 1</t>
  </si>
  <si>
    <t xml:space="preserve">5.X2</t>
  </si>
  <si>
    <t xml:space="preserve">Unit 5 exam, day 2</t>
  </si>
  <si>
    <t xml:space="preserve">6.01+02</t>
  </si>
  <si>
    <t xml:space="preserve">Triangle Inequality Theorem; converse of the Pythagorean Theorem</t>
  </si>
  <si>
    <t xml:space="preserve">Triangle inequality — 2N5; Converse of the Pythagorean theorem: is it a right triangle? — EQZ</t>
  </si>
  <si>
    <t xml:space="preserve">8.GR.1.3</t>
  </si>
  <si>
    <t xml:space="preserve">MA.8.GR.1.3 — Use the Triangle Inequality Theorem to determine if a triangle can be formed from a given set of sides. Use the converse of the Pythagorean Theorem to determine if a right triangle can be formed from a given set of sides.</t>
  </si>
  <si>
    <t xml:space="preserve">6.1 The Triangle Inequality Theorem and the Converse of the Pythagorean Theorem
6.2 Applying the Triangle Inequality Theorem</t>
  </si>
  <si>
    <t xml:space="preserve">6.03</t>
  </si>
  <si>
    <t xml:space="preserve">Pythagorean Theorem (memorize)</t>
  </si>
  <si>
    <t xml:space="preserve">Pythagorean theorem: find the missing leg or hypotenuse length — MTM</t>
  </si>
  <si>
    <t xml:space="preserve">8.GR.1.1</t>
  </si>
  <si>
    <t xml:space="preserve">MA.8.GR.1.1 — Apply the Pythagorean Theorem to solve mathematical and real-world problems involving unknown side lengths in right triangles.</t>
  </si>
  <si>
    <t xml:space="preserve">6.3 Pythagorean Theorem</t>
  </si>
  <si>
    <t xml:space="preserve">6.04</t>
  </si>
  <si>
    <t xml:space="preserve">Pythagorean Theorem in real-world problems</t>
  </si>
  <si>
    <t xml:space="preserve">Pythagorean theorem: word problems — 87U</t>
  </si>
  <si>
    <t xml:space="preserve">6.4 Using the Pythagorean Theorem to Solve Real-World Problems</t>
  </si>
  <si>
    <t xml:space="preserve">6.05</t>
  </si>
  <si>
    <t xml:space="preserve">Distance on the coordinate plane</t>
  </si>
  <si>
    <t xml:space="preserve">Find the distance between two points on a horizontal or vertical line — L9V; Find the distance between two points — ZBP</t>
  </si>
  <si>
    <t xml:space="preserve">8.GR.1.2</t>
  </si>
  <si>
    <t xml:space="preserve">MA.8.GR.1.2 — Apply the Pythagorean Theorem to solve mathematical and real-world problems involving the distance between two points in a coordinate plane.</t>
  </si>
  <si>
    <t xml:space="preserve">6.5 Finding Distances on the Coordinate Plane</t>
  </si>
  <si>
    <t xml:space="preserve">6.06</t>
  </si>
  <si>
    <t xml:space="preserve">Real-world coordinate-plane problems; perimeter</t>
  </si>
  <si>
    <t xml:space="preserve">Pythagorean theorem: find the perimeter — VGE</t>
  </si>
  <si>
    <t xml:space="preserve">6.6 Solving Real-World Problems on a Coordinate Plane with the Pythagorean Theorem</t>
  </si>
  <si>
    <t xml:space="preserve">T-B1</t>
  </si>
  <si>
    <t xml:space="preserve">Thread B: angle pairs — supplementary, complementary, vertical, adjacent (16.1)</t>
  </si>
  <si>
    <t xml:space="preserve">Identify complementary, supplementary, vertical, adjacent, and congruent angles — HGV; Find measures of complementary, supplementary, vertical, and adjacent angles — R2B; Write and solve equations using angle relationships — DBV</t>
  </si>
  <si>
    <t xml:space="preserve">8.GR.1.4</t>
  </si>
  <si>
    <t xml:space="preserve">MA.8.GR.1.4 — Solve mathematical problems involving the relationships between supplementary, complementary, vertical or adjacent angles.</t>
  </si>
  <si>
    <t xml:space="preserve">16.1 Angle Relationships</t>
  </si>
  <si>
    <t xml:space="preserve">T-B2</t>
  </si>
  <si>
    <t xml:space="preserve">Thread B: interior and exterior angles of a triangle (16.2)</t>
  </si>
  <si>
    <t xml:space="preserve">Find missing angles in triangles — JFJ; Exterior Angle Theorem — FMP; Triangle Angle-Sum Theorem — 6Q6</t>
  </si>
  <si>
    <t xml:space="preserve">8.GR.1.5</t>
  </si>
  <si>
    <t xml:space="preserve">MA.8.GR.1.5 — Solve problems involving the relationships of interior and exterior angles of a triangle.</t>
  </si>
  <si>
    <t xml:space="preserve">16.2 Angle Relationships in Triangles</t>
  </si>
  <si>
    <t xml:space="preserve">6.07+08</t>
  </si>
  <si>
    <t xml:space="preserve">Similar triangles; indirect measurement</t>
  </si>
  <si>
    <t xml:space="preserve">Side lengths of similar triangles — QSK; Similar triangles and indirect measurement — 88W; Identify similar triangles — 6PD</t>
  </si>
  <si>
    <t xml:space="preserve">8.GR.2.4</t>
  </si>
  <si>
    <t xml:space="preserve">MA.8.GR.2.4 — Solve mathematical and real-world problems involving proportional relationships between similar triangles.</t>
  </si>
  <si>
    <t xml:space="preserve">6.7 Proportional Relationships and Similar Triangles
6.8 Solving Real-World Problems Using Similar Triangles</t>
  </si>
  <si>
    <t xml:space="preserve">6.X1</t>
  </si>
  <si>
    <t xml:space="preserve">Unit 6 exam, day 1</t>
  </si>
  <si>
    <t xml:space="preserve">6.X2</t>
  </si>
  <si>
    <t xml:space="preserve">Unit 6 exam, day 2</t>
  </si>
  <si>
    <t xml:space="preserve">flex</t>
  </si>
  <si>
    <t xml:space="preserve">Flex day — reteach from exam evidence, or absorb a lost day</t>
  </si>
  <si>
    <t xml:space="preserve">7.01</t>
  </si>
  <si>
    <t xml:space="preserve">Graphing proportional relationships</t>
  </si>
  <si>
    <t xml:space="preserve">Graph a proportional relationship: word problems — FJW</t>
  </si>
  <si>
    <t xml:space="preserve">7.AR.4.3</t>
  </si>
  <si>
    <t xml:space="preserve">MA.7.AR.4.3 — Given a mathematical or real-world context, graph proportional relationships from a table, equation or a written description.</t>
  </si>
  <si>
    <t xml:space="preserve">7.1 Graphing Proportional Relationships</t>
  </si>
  <si>
    <t xml:space="preserve">7.02+03</t>
  </si>
  <si>
    <t xml:space="preserve">Constant of proportionality (table, graph, description)</t>
  </si>
  <si>
    <t xml:space="preserve">Interpret graphs of proportional relationships — RMH; Find the constant of proportionality from a table — LKZ; Find the constant of proportionality from a graph — ZUT</t>
  </si>
  <si>
    <t xml:space="preserve">7.AR.4.2</t>
  </si>
  <si>
    <t xml:space="preserve">MA.7.AR.4.2 — Determine the constant of proportionality within a mathematical or real-world context given a table, graph or written description of a proportional relationship.</t>
  </si>
  <si>
    <t xml:space="preserve">7.2 Constant of Proportionality – Part 1
7.3 Constant of Proportionality – Part 2</t>
  </si>
  <si>
    <t xml:space="preserve">7.04</t>
  </si>
  <si>
    <t xml:space="preserve">Is it proportional?</t>
  </si>
  <si>
    <t xml:space="preserve">Identify proportional relationships by graphing — AAN; Identify proportional relationships in tables and graphs — VZK</t>
  </si>
  <si>
    <t xml:space="preserve">7.AR.4.1 · 8.AR.3.1</t>
  </si>
  <si>
    <t xml:space="preserve">MA.7.AR.4.1 — Determine whether two quantities have a proportional relationship by examining a table, graph or written description.
MA.8.AR.3.1 — Determine if a linear relationship is also a proportional relationship.</t>
  </si>
  <si>
    <t xml:space="preserve">7.4 Determining if Relationships are Proportional</t>
  </si>
  <si>
    <t xml:space="preserve">7.05+06</t>
  </si>
  <si>
    <t xml:space="preserve">Equations of proportional relationships; translating representations</t>
  </si>
  <si>
    <t xml:space="preserve">Write equations for proportional relationships from tables — 6GU; Write equations for proportional relationships from graphs — JKH; Write and solve equations for proportional relationships — VKK</t>
  </si>
  <si>
    <t xml:space="preserve">7.AR.4.4</t>
  </si>
  <si>
    <t xml:space="preserve">MA.7.AR.4.4 — Given any representation of a proportional relationship, translate the representation to a written description, table or equation.</t>
  </si>
  <si>
    <t xml:space="preserve">7.5 Representing Proportional Relationships with Equations
7.6 Translating Between Representations of Proportional Relationships</t>
  </si>
  <si>
    <t xml:space="preserve">7.07</t>
  </si>
  <si>
    <t xml:space="preserve">Comparing proportional relationships</t>
  </si>
  <si>
    <t xml:space="preserve">Compare proportional relationships represented in different ways — 5A9</t>
  </si>
  <si>
    <t xml:space="preserve">7.AR.4.5</t>
  </si>
  <si>
    <t xml:space="preserve">MA.7.AR.4.5 — Solve real-world problems involving proportional relationships.</t>
  </si>
  <si>
    <t xml:space="preserve">7.7 Putting It All Together</t>
  </si>
  <si>
    <t xml:space="preserve">7.X1</t>
  </si>
  <si>
    <t xml:space="preserve">Unit 7 exam, day 1</t>
  </si>
  <si>
    <t xml:space="preserve">7.X2</t>
  </si>
  <si>
    <t xml:space="preserve">Unit 7 exam, day 2</t>
  </si>
  <si>
    <t xml:space="preserve">PM2-R1</t>
  </si>
  <si>
    <t xml:space="preserve">PM2 review 1: number system, exponents, scientific notation (whiteboards)</t>
  </si>
  <si>
    <t xml:space="preserve">8.NSO.1.1–1.7</t>
  </si>
  <si>
    <t xml:space="preserve">MA.8.NSO.1.1 — Extend previous understanding of rational numbers to define irrational numbers within the real number system. Locate an approximate value of a numerical expression involving irrational numbers on a number line.
MA.8.NSO.1.2 — Plot, order and compare rational and irrational numbers, represented in various forms.
MA.8.NSO.1.3 — Extend previous understanding of the Laws of Exponents to include integer exponents. Apply the Laws of Exponents to evaluate numerical expressions and generate equivalent numerical expressions, limited to integer exponents and rational number bases, with procedural fluency.
MA.8.NSO.1.4 — Express numbers in scientific notation to represent and approximate very large or very small quantities. Determine how many times larger or smaller one number is compared to a second number.
MA.8.NSO.1.5 — Add, subtract, multiply and divide numbers expressed in scientific notation with procedural fluency.
MA.8.NSO.1.6 — Solve real-world problems involving operations with numbers expressed in scientific notation.
MA.8.NSO.1.7 — Solve multi-step mathematical and real-world problems involving the order of operations with rational numbers including exponents and radicals.</t>
  </si>
  <si>
    <t xml:space="preserve">PM2-R2</t>
  </si>
  <si>
    <t xml:space="preserve">PM2 review 2: equations, inequalities, Pythagorean, angles (whiteboards)</t>
  </si>
  <si>
    <t xml:space="preserve">8.AR.2 · 8.GR.1</t>
  </si>
  <si>
    <t xml:space="preserve">MA.8.AR.2 — every benchmark in this cluster (review day).
MA.8.GR.1 — every benchmark in this cluster (review day).</t>
  </si>
  <si>
    <t xml:space="preserve">PM2-R3</t>
  </si>
  <si>
    <t xml:space="preserve">PM2 review 3: proportional → linear preview; mixed FAST-shaped round</t>
  </si>
  <si>
    <t xml:space="preserve">8.AR.3 · 8.AR.1.1</t>
  </si>
  <si>
    <t xml:space="preserve">MA.8.AR.3 — every benchmark in this cluster (review day).
MA.8.AR.1.1 — Apply the Laws of Exponents to generate equivalent algebraic expressions, limited to integer exponents and monomial bases.</t>
  </si>
  <si>
    <t xml:space="preserve">8.01+02</t>
  </si>
  <si>
    <t xml:space="preserve">Circle relationships; circumference</t>
  </si>
  <si>
    <t xml:space="preserve">Center, radius, and diameter of a circle — 7RY; Circumference of circles — 9FM</t>
  </si>
  <si>
    <t xml:space="preserve">7.GR.1.3</t>
  </si>
  <si>
    <t xml:space="preserve">MA.7.GR.1.3 — Explore the proportional relationship between circumferences and diameters of circles. Apply a formula for the circumference of a circle to solve mathematical and real-world problems.</t>
  </si>
  <si>
    <t xml:space="preserve">8.1 Exploring Relationships in Circles
8.2 Finding Circumference</t>
  </si>
  <si>
    <t xml:space="preserve">8.03</t>
  </si>
  <si>
    <t xml:space="preserve">Radius and diameter from circumference</t>
  </si>
  <si>
    <t xml:space="preserve">Find the radius or diameter of a circle given the circumference — 2CM</t>
  </si>
  <si>
    <t xml:space="preserve">8.3 Finding Radius and Diameter</t>
  </si>
  <si>
    <t xml:space="preserve">8.04+05</t>
  </si>
  <si>
    <t xml:space="preserve">Area of a circle</t>
  </si>
  <si>
    <t xml:space="preserve">Area of circles — YA8</t>
  </si>
  <si>
    <t xml:space="preserve">7.GR.1.4</t>
  </si>
  <si>
    <t xml:space="preserve">MA.7.GR.1.4 — Explore and apply a formula to find the area of a circle to solve mathematical and real-world problems.</t>
  </si>
  <si>
    <t xml:space="preserve">8.4 Exploring the Area of a Circle
8.5 Finding the Area of a Circle</t>
  </si>
  <si>
    <t xml:space="preserve">8.06</t>
  </si>
  <si>
    <t xml:space="preserve">Circumference and area problems; sectors</t>
  </si>
  <si>
    <t xml:space="preserve">Circles: word problems — P56</t>
  </si>
  <si>
    <t xml:space="preserve">8.6 Using Circumference and Area to Solve Problems</t>
  </si>
  <si>
    <t xml:space="preserve">8.08+09</t>
  </si>
  <si>
    <t xml:space="preserve">Sectors and circle graphs</t>
  </si>
  <si>
    <t xml:space="preserve">Use fractions to find the measure of an angle — V76; Circle graphs and central angles — KXS; Interpret circle graphs — WNJ</t>
  </si>
  <si>
    <t xml:space="preserve">7.GR.1.4 · 7.DP.1.4</t>
  </si>
  <si>
    <t xml:space="preserve">MA.7.GR.1.4 — Explore and apply a formula to find the area of a circle to solve mathematical and real-world problems.
MA.7.DP.1.4 — Use proportional reasoning to construct, display and interpret data in circle graphs.</t>
  </si>
  <si>
    <t xml:space="preserve">8.8 Sectors of a Circle
8.9 Creating and Interpreting Circle Graphs</t>
  </si>
  <si>
    <t xml:space="preserve">9.01+02</t>
  </si>
  <si>
    <t xml:space="preserve">Surface area of cylinders from nets</t>
  </si>
  <si>
    <t xml:space="preserve">Nets of three-dimensional figures — 3R2; Surface area of cylinders — CYQ; Lateral area of cylinders — C8K</t>
  </si>
  <si>
    <t xml:space="preserve">7.GR.2.1 · 7.GR.2.2</t>
  </si>
  <si>
    <t xml:space="preserve">MA.7.GR.2.1 — Given a mathematical or real-world context, find the surface area of a right circular cylinder using the figure's net.
MA.7.GR.2.2 — Solve real-world problems involving surface area of right circular cylinders.</t>
  </si>
  <si>
    <t xml:space="preserve">9.1 Finding Surface Area of Right Circular Cylinders Using Nets
9.2 Finding Surface Area of Right Circular Cylinders</t>
  </si>
  <si>
    <t xml:space="preserve">9.03+04+05</t>
  </si>
  <si>
    <t xml:space="preserve">Volume of cylinders; problems</t>
  </si>
  <si>
    <t xml:space="preserve">Volume of cylinders — FHC</t>
  </si>
  <si>
    <t xml:space="preserve">7.GR.2.3</t>
  </si>
  <si>
    <t xml:space="preserve">MA.7.GR.2.3 — Solve mathematical and real-world problems involving volume of right circular cylinders.</t>
  </si>
  <si>
    <t xml:space="preserve">9.3 Solving Problems Involving Surface Area of Right Circular Cylinders
9.4 Volume of Right Circular Cylinders
9.5 Problem-Solving with Volume of Cylinders</t>
  </si>
  <si>
    <t xml:space="preserve">8/9.X1</t>
  </si>
  <si>
    <t xml:space="preserve">Units 8–9 exam, day 1</t>
  </si>
  <si>
    <t xml:space="preserve">8/9.X2</t>
  </si>
  <si>
    <t xml:space="preserve">Units 8–9 exam, day 2</t>
  </si>
  <si>
    <t xml:space="preserve">10.01</t>
  </si>
  <si>
    <t xml:space="preserve">Proportional relationships revisited (linear ⇒ proportional?)</t>
  </si>
  <si>
    <t xml:space="preserve">Find the constant of proportionality from a table — ZCK; Identify proportional relationships by graphing — RXD; Identify proportional relationships — Z64; Write equations for proportional relationships from tables and graphs — VXM; Interpret graphs of proportional relationships — Q96</t>
  </si>
  <si>
    <t xml:space="preserve">8.AR.3.1</t>
  </si>
  <si>
    <t xml:space="preserve">MA.8.AR.3.1 — Determine if a linear relationship is also a proportional relationship.</t>
  </si>
  <si>
    <t xml:space="preserve">10.1 Proportional Relationships</t>
  </si>
  <si>
    <t xml:space="preserve">10.02+03</t>
  </si>
  <si>
    <t xml:space="preserve">Slope from two points, graphs, tables</t>
  </si>
  <si>
    <t xml:space="preserve">Find the slope from two points — ZAC; Find the slope from a table — GSB; Find the slope from a graph — Q94</t>
  </si>
  <si>
    <t xml:space="preserve">8.AR.3.2</t>
  </si>
  <si>
    <t xml:space="preserve">MA.8.AR.3.2 — Given a table, graph or written description of a linear relationship, determine the slope.</t>
  </si>
  <si>
    <t xml:space="preserve">10.2 Exploring Slope
10.3 Finding Slope Using Graphs and Tables</t>
  </si>
  <si>
    <t xml:space="preserve">10.04</t>
  </si>
  <si>
    <t xml:space="preserve">Slope in context</t>
  </si>
  <si>
    <t xml:space="preserve">Rate of change of a linear function: graphs — ZPF; Rate of change of a linear function: tables — 8FE</t>
  </si>
  <si>
    <t xml:space="preserve">8.AR.3.2 · 8.AR.3.5</t>
  </si>
  <si>
    <t xml:space="preserve">MA.8.AR.3.2 — Given a table, graph or written description of a linear relationship, determine the slope.
MA.8.AR.3.5 — Given a real-world context, determine and interpret the slope and y-intercept of a two-variable linear equation from a written description, a table, a graph or an equation in slope-intercept form.</t>
  </si>
  <si>
    <t xml:space="preserve">10.4 Slope in Real-World Contexts</t>
  </si>
  <si>
    <t xml:space="preserve">10.05</t>
  </si>
  <si>
    <t xml:space="preserve">Slope-intercept form; graph a line</t>
  </si>
  <si>
    <t xml:space="preserve">Slope-intercept form: find the slope and y-intercept — U55; Graph a line using slope — FSV; Graph a line from an equation in slope-intercept form — W5E; Write a linear equation from a slope and y-intercept — WHP; Compare linear functions: tables, graphs, and equations — N7D</t>
  </si>
  <si>
    <t xml:space="preserve">8.AR.3.4</t>
  </si>
  <si>
    <t xml:space="preserve">MA.8.AR.3.4 — Given a mathematical or real-world context, graph a two-variable linear equation from a written description, a table or an equation in slope-intercept form.</t>
  </si>
  <si>
    <t xml:space="preserve">10.5 Exploring Equations of Lines in Slope-Intercept Form</t>
  </si>
  <si>
    <t xml:space="preserve">10.06</t>
  </si>
  <si>
    <t xml:space="preserve">Graphing from tables and contexts</t>
  </si>
  <si>
    <t xml:space="preserve">Complete a table and graph a linear function — DC2; Complete a table and make a graph: word problems — T7R; Complete a table for a linear function — D9B; Graph a line from an equation in standard form — 7MZ</t>
  </si>
  <si>
    <t xml:space="preserve">10.6 Graphing Lines from Tables and Real-World Contexts</t>
  </si>
  <si>
    <t xml:space="preserve">10.07+08</t>
  </si>
  <si>
    <t xml:space="preserve">Interpreting slope and intercept (graphs, equations, tables, descriptions; F↔C)</t>
  </si>
  <si>
    <t xml:space="preserve">Interpret the slope and y-intercept of a linear function — H5B; Interpret points on the graph of a linear function — 9E8</t>
  </si>
  <si>
    <t xml:space="preserve">8.AR.3.5</t>
  </si>
  <si>
    <t xml:space="preserve">MA.8.AR.3.5 — Given a real-world context, determine and interpret the slope and y-intercept of a two-variable linear equation from a written description, a table, a graph or an equation in slope-intercept form.</t>
  </si>
  <si>
    <t xml:space="preserve">10.7 Interpreting Linear Relationships from Graphs and Equations
10.8 Interpreting Linear Relationships from Tables and Written Descriptions</t>
  </si>
  <si>
    <t xml:space="preserve">10.09</t>
  </si>
  <si>
    <t xml:space="preserve">Writing equations of lines</t>
  </si>
  <si>
    <t xml:space="preserve">Write a linear equation from a graph — WHM; Write a linear function from a table — UYY; Write a linear equation from a slope and a point — VKP; Write a linear equation from two points — 2R9</t>
  </si>
  <si>
    <t xml:space="preserve">8.AR.3.3</t>
  </si>
  <si>
    <t xml:space="preserve">MA.8.AR.3.3 — Given a table, graph or written description of a linear relationship, write an equation in slope-intercept form.</t>
  </si>
  <si>
    <t xml:space="preserve">10.9 Writing Equations of Linear Relationships</t>
  </si>
  <si>
    <t xml:space="preserve">10.10</t>
  </si>
  <si>
    <t xml:space="preserve">Writing equations for contexts; lines of fit preview</t>
  </si>
  <si>
    <t xml:space="preserve">Write linear functions: word problems — YK6</t>
  </si>
  <si>
    <t xml:space="preserve">8.AR.3.3 · 8.AR.3.5</t>
  </si>
  <si>
    <t xml:space="preserve">MA.8.AR.3.3 — Given a table, graph or written description of a linear relationship, write an equation in slope-intercept form.
MA.8.AR.3.5 — Given a real-world context, determine and interpret the slope and y-intercept of a two-variable linear equation from a written description, a table, a graph or an equation in slope-intercept form.</t>
  </si>
  <si>
    <t xml:space="preserve">10.10 Writing Equations for Real-World Contexts</t>
  </si>
  <si>
    <t xml:space="preserve">10.X1</t>
  </si>
  <si>
    <t xml:space="preserve">Unit 10 exam, day 1</t>
  </si>
  <si>
    <t xml:space="preserve">10.X2</t>
  </si>
  <si>
    <t xml:space="preserve">Unit 10 exam, day 2</t>
  </si>
  <si>
    <t xml:space="preserve">11.01</t>
  </si>
  <si>
    <t xml:space="preserve">Equations with like terms and the distributive property</t>
  </si>
  <si>
    <t xml:space="preserve">Solve equations involving like terms — Q2B; Solve equations using the distributive property — QWE; Solve two-step equations: word problems — 8CZ</t>
  </si>
  <si>
    <t xml:space="preserve">8.AR.2.1</t>
  </si>
  <si>
    <t xml:space="preserve">MA.8.AR.2.1 — Solve multi-step linear equations in one variable, with rational number coefficients. Include equations with variables on both sides.</t>
  </si>
  <si>
    <t xml:space="preserve">11.1 Solving Equations</t>
  </si>
  <si>
    <t xml:space="preserve">11.02</t>
  </si>
  <si>
    <t xml:space="preserve">Variables on both sides</t>
  </si>
  <si>
    <t xml:space="preserve">Solve equations with variables on both sides — ZYL</t>
  </si>
  <si>
    <t xml:space="preserve">11.2 Solving Equations with Variables on Both Sides</t>
  </si>
  <si>
    <t xml:space="preserve">11.03</t>
  </si>
  <si>
    <t xml:space="preserve">One, none, infinitely many solutions</t>
  </si>
  <si>
    <t xml:space="preserve">Find the number of solutions — XDE; Create equations with no solutions or infinitely many solutions — 7TY</t>
  </si>
  <si>
    <t xml:space="preserve">11.3 Solutions to Linear Equations</t>
  </si>
  <si>
    <t xml:space="preserve">11.04</t>
  </si>
  <si>
    <t xml:space="preserve">Multi-step equations</t>
  </si>
  <si>
    <t xml:space="preserve">Solve multi-step equations — 55K; Solve multi-step equations: complete the solution — PGH; Solve equations: mixed review — HZZ</t>
  </si>
  <si>
    <t xml:space="preserve">11.4 Solving Multi-Step Equations</t>
  </si>
  <si>
    <t xml:space="preserve">11.05+06</t>
  </si>
  <si>
    <t xml:space="preserve">Systems: which points are solutions; how many solutions</t>
  </si>
  <si>
    <t xml:space="preserve">Is (x, y) a solution to the system of equations? — N46; Find the number of solutions to a system of equations by graphing — AGZ; Solve a system of equations in slope-intercept form — 9Z8</t>
  </si>
  <si>
    <t xml:space="preserve">8.AR.4.1 · 8.AR.4.2</t>
  </si>
  <si>
    <t xml:space="preserve">MA.8.AR.4.1 — Given a system of two linear equations and a specified set of possible solutions, determine which ordered pairs satisfy the system of linear equations.
MA.8.AR.4.2 — Given a system of two linear equations represented graphically on the same coordinate plane, determine whether there is one solution, no solution or infinitely many solutions.</t>
  </si>
  <si>
    <t xml:space="preserve">11.5 Introduction to Systems of Two Linear Equations
11.6 Solutions to Systems of Equations</t>
  </si>
  <si>
    <t xml:space="preserve">11.07</t>
  </si>
  <si>
    <t xml:space="preserve">Solving systems by graphing</t>
  </si>
  <si>
    <t xml:space="preserve">Solve a system of equations by graphing — C8X; Write a system of equations given a graph — TS7</t>
  </si>
  <si>
    <t xml:space="preserve">8.AR.4.3</t>
  </si>
  <si>
    <t xml:space="preserve">MA.8.AR.4.3 — Given a mathematical or real-world context, solve systems of two linear equations by graphing.</t>
  </si>
  <si>
    <t xml:space="preserve">11.7 Solving Systems by Graphing</t>
  </si>
  <si>
    <t xml:space="preserve">11.08</t>
  </si>
  <si>
    <t xml:space="preserve">Systems in context (approximate solutions)</t>
  </si>
  <si>
    <t xml:space="preserve">Solve a system of equations by graphing: word problems — W9J</t>
  </si>
  <si>
    <t xml:space="preserve">11.8 Solving Systems of Equations by Graphing for Real-World Contexts</t>
  </si>
  <si>
    <t xml:space="preserve">11.X1</t>
  </si>
  <si>
    <t xml:space="preserve">Unit 11 exam, day 1</t>
  </si>
  <si>
    <t xml:space="preserve">11.X2</t>
  </si>
  <si>
    <t xml:space="preserve">Unit 11 exam, day 2</t>
  </si>
  <si>
    <t xml:space="preserve">12.01+02</t>
  </si>
  <si>
    <t xml:space="preserve">Relations; domain and range</t>
  </si>
  <si>
    <t xml:space="preserve">Relations: convert between mappings, tables, graphs, and ordered pairs — LQJ; Domain and range of relations — T7P</t>
  </si>
  <si>
    <t xml:space="preserve">8.F.1.1</t>
  </si>
  <si>
    <t xml:space="preserve">MA.8.F.1.1 — Given a set of ordered pairs, a table, a graph or mapping diagram, determine whether the relationship is a function. Identify the domain and range of the relation.</t>
  </si>
  <si>
    <t xml:space="preserve">12.1 Exploring Relations
12.2 Identifying Domain and Range</t>
  </si>
  <si>
    <t xml:space="preserve">12.03</t>
  </si>
  <si>
    <t xml:space="preserve">Is it a function?</t>
  </si>
  <si>
    <t xml:space="preserve">Identify functions — JT2; Identify functions: graphs — AEB; Identify independent and dependent variables — FSF</t>
  </si>
  <si>
    <t xml:space="preserve">12.3 Is It a Function?</t>
  </si>
  <si>
    <t xml:space="preserve">12.04+05</t>
  </si>
  <si>
    <t xml:space="preserve">Describing graphs: increasing, decreasing, constant</t>
  </si>
  <si>
    <t xml:space="preserve">Identify graphs: word problems — HWC</t>
  </si>
  <si>
    <t xml:space="preserve">8.F.1.3</t>
  </si>
  <si>
    <t xml:space="preserve">MA.8.F.1.3 — Analyze a real-world written description or graphical representation of a functional relationship between two quantities and identify where the function is increasing, decreasing or constant.</t>
  </si>
  <si>
    <t xml:space="preserve">12.4 Interpreting Graphs of Functions
12.5 Sketching Graphs of Functions</t>
  </si>
  <si>
    <t xml:space="preserve">12.06</t>
  </si>
  <si>
    <t xml:space="preserve">Sketching graphs from descriptions</t>
  </si>
  <si>
    <t xml:space="preserve">12.6 Analyzing Descriptions and Graphs</t>
  </si>
  <si>
    <t xml:space="preserve">12.07</t>
  </si>
  <si>
    <t xml:space="preserve">Functions from equations, tables, graphs</t>
  </si>
  <si>
    <t xml:space="preserve">Complete a function table from an equation — ESE; Complete a table for a function graph — 7EK; Find values using function graphs — 7N2</t>
  </si>
  <si>
    <t xml:space="preserve">8.F.1.2</t>
  </si>
  <si>
    <t xml:space="preserve">MA.8.F.1.2 — Given a function defined by a graph or an equation, determine whether the function is a linear function. Given an input-output table, determine whether it could represent a linear function.</t>
  </si>
  <si>
    <t xml:space="preserve">12.7 Exploring Functions Using Equations, Tables, and Graphs</t>
  </si>
  <si>
    <t xml:space="preserve">12.08+09</t>
  </si>
  <si>
    <t xml:space="preserve">Is it linear? (graphs, equations, tables)</t>
  </si>
  <si>
    <t xml:space="preserve">Identify linear and nonlinear functions: graphs and equations — XB8; Identify linear and nonlinear functions: tables — VGS</t>
  </si>
  <si>
    <t xml:space="preserve">8.F.1.2 · 8.AR.3.1</t>
  </si>
  <si>
    <t xml:space="preserve">MA.8.F.1.2 — Given a function defined by a graph or an equation, determine whether the function is a linear function. Given an input-output table, determine whether it could represent a linear function.
MA.8.AR.3.1 — Determine if a linear relationship is also a proportional relationship.</t>
  </si>
  <si>
    <t xml:space="preserve">12.8 Is it Linear?
12.9 Using Tables to Determine if a Function is Linear</t>
  </si>
  <si>
    <t xml:space="preserve">12.X1</t>
  </si>
  <si>
    <t xml:space="preserve">Unit 12 exam, day 1</t>
  </si>
  <si>
    <t xml:space="preserve">12.X2</t>
  </si>
  <si>
    <t xml:space="preserve">Unit 12 exam, day 2</t>
  </si>
  <si>
    <t xml:space="preserve">13.01+02+03</t>
  </si>
  <si>
    <t xml:space="preserve">Choosing and creating displays (numerical, categorical)</t>
  </si>
  <si>
    <t xml:space="preserve">Choose the best type of graph — VP6; Create dot plots — 22B; Create stem-and-leaf plots — 8AP; Create histograms — LGG; Box plots — SKN; Create and interpret dot plots with fractions — SHS; Create bar graphs — E76</t>
  </si>
  <si>
    <t xml:space="preserve">7.DP.1.5</t>
  </si>
  <si>
    <t xml:space="preserve">MA.7.DP.1.5 — Given a real-world numerical or categorical data set, choose and create an appropriate graphical representation.</t>
  </si>
  <si>
    <t xml:space="preserve">13.1 Representing Real-World Contexts with Graphs
13.2 Creating Displays for Numerical Data
13.3 Creating Displays for Categorical Data</t>
  </si>
  <si>
    <t xml:space="preserve">13.04+05</t>
  </si>
  <si>
    <t xml:space="preserve">Bivariate data; line graphs</t>
  </si>
  <si>
    <t xml:space="preserve">Create line graphs — ERM; Interpret line graphs — TGQ</t>
  </si>
  <si>
    <t xml:space="preserve">8.DP.1.1</t>
  </si>
  <si>
    <t xml:space="preserve">MA.8.DP.1.1 — Given a set of real-world bivariate numerical data, construct a scatter plot or a line graph as appropriate for the context.</t>
  </si>
  <si>
    <t xml:space="preserve">13.4 Representing Bivariate Data
13.5 Constructing Line Graphs</t>
  </si>
  <si>
    <t xml:space="preserve">13.06</t>
  </si>
  <si>
    <t xml:space="preserve">Scatter plots and association</t>
  </si>
  <si>
    <t xml:space="preserve">Create scatter plots — AVL; Describe scatter plots — CG8; Describe associations between two variables using scatter plots — 9ER</t>
  </si>
  <si>
    <t xml:space="preserve">8.DP.1.1 · 8.DP.1.2</t>
  </si>
  <si>
    <t xml:space="preserve">MA.8.DP.1.1 — Given a set of real-world bivariate numerical data, construct a scatter plot or a line graph as appropriate for the context.
MA.8.DP.1.2 — Given a scatter plot within a real-world context, describe patterns of association.</t>
  </si>
  <si>
    <t xml:space="preserve">13.6 Constructing Scatter Plots</t>
  </si>
  <si>
    <t xml:space="preserve">13.07+08</t>
  </si>
  <si>
    <t xml:space="preserve">Lines of fit; outliers</t>
  </si>
  <si>
    <t xml:space="preserve">Outliers in scatter plots — RP8; Identify lines of best fit — BG7; Make predictions with scatter plots — CM7</t>
  </si>
  <si>
    <t xml:space="preserve">8.DP.1.3 · 8.DP.1.2</t>
  </si>
  <si>
    <t xml:space="preserve">MA.8.DP.1.3 — Given a scatter plot with a linear association, informally fit a straight line.
MA.8.DP.1.2 — Given a scatter plot within a real-world context, describe patterns of association.</t>
  </si>
  <si>
    <t xml:space="preserve">13.7 Informally Fitting a Line to Bivariate Data
13.8 Scatter Plots and Lines of Fit</t>
  </si>
  <si>
    <t xml:space="preserve">13.09</t>
  </si>
  <si>
    <t xml:space="preserve">Interpreting the equation of a line of fit</t>
  </si>
  <si>
    <t xml:space="preserve">Interpret lines of best fit: word problems — 9DW; Write equations for lines of best fit — ZQ6</t>
  </si>
  <si>
    <t xml:space="preserve">8.DP.1.3 · 8.AR.3.5</t>
  </si>
  <si>
    <t xml:space="preserve">MA.8.DP.1.3 — Given a scatter plot with a linear association, informally fit a straight line.
MA.8.AR.3.5 — Given a real-world context, determine and interpret the slope and y-intercept of a two-variable linear equation from a written description, a table, a graph or an equation in slope-intercept form.</t>
  </si>
  <si>
    <t xml:space="preserve">13.9 Interpreting Linear Equations Fit to Bivariate Data</t>
  </si>
  <si>
    <t xml:space="preserve">T-C1</t>
  </si>
  <si>
    <t xml:space="preserve">Thread C: sample spaces of repeated experiments (17.1)</t>
  </si>
  <si>
    <t xml:space="preserve">Compound events: find the number of outcomes — P5R; Samples spaces for repeated events — AGW</t>
  </si>
  <si>
    <t xml:space="preserve">8.DP.2.1</t>
  </si>
  <si>
    <t xml:space="preserve">MA.8.DP.2.1 — Determine the sample space for a repeated experiment.</t>
  </si>
  <si>
    <t xml:space="preserve">17.1 Determining Sample Space Using Lists and Tree Diagrams</t>
  </si>
  <si>
    <t xml:space="preserve">T-C2</t>
  </si>
  <si>
    <t xml:space="preserve">Thread C: theoretical probability of repeated experiments (17.2–17.3)</t>
  </si>
  <si>
    <t xml:space="preserve">Probability of repeated experiments — BDZ; Probability of simple events — 5ZY; Experimental probability — FRL</t>
  </si>
  <si>
    <t xml:space="preserve">8.DP.2.2</t>
  </si>
  <si>
    <t xml:space="preserve">MA.8.DP.2.2 — Find the theoretical probability of an event related to a repeated experiment.</t>
  </si>
  <si>
    <t xml:space="preserve">17.2 Calculating Theoretical Probability
17.3 Calculating Theoretical Probability of Compound Events</t>
  </si>
  <si>
    <t xml:space="preserve">13.X1</t>
  </si>
  <si>
    <t xml:space="preserve">Unit 13 exam, day 1</t>
  </si>
  <si>
    <t xml:space="preserve">13.X2</t>
  </si>
  <si>
    <t xml:space="preserve">Unit 13 exam, day 2</t>
  </si>
  <si>
    <t xml:space="preserve">14.01–04</t>
  </si>
  <si>
    <t xml:space="preserve">Exponent laws with variable bases — consolidation of Thread A</t>
  </si>
  <si>
    <t xml:space="preserve">Multiply powers: variable bases — TR9; Powers of a power: variable bases — 2CU; Divide monomials with positive exponents — C8L; Variables with negative exponents — 2NL; Multiply and divide powers: variable bases — 85P</t>
  </si>
  <si>
    <t xml:space="preserve">14.1 Applying Exponent Laws to Algebraic Expressions – Part 1
14.2 … Part 2
14.3 Algebraic Expressions with Negative Exponents
14.4 Applying Multiple Laws of Exponents</t>
  </si>
  <si>
    <t xml:space="preserve">14.05+06</t>
  </si>
  <si>
    <t xml:space="preserve">Multiplying a monomial by a linear expression</t>
  </si>
  <si>
    <t xml:space="preserve">Multiply using the distributive property: area models — 8P3; Multiply linear expressions with rational coefficients — 9B9</t>
  </si>
  <si>
    <t xml:space="preserve">8.AR.1.2</t>
  </si>
  <si>
    <t xml:space="preserve">MA.8.AR.1.2 — Apply properties of operations to multiply two linear expressions with rational coefficients.</t>
  </si>
  <si>
    <t xml:space="preserve">14.5 Applying the Distributive Property with Variables
14.6 Multiplying Algebraic Expressions</t>
  </si>
  <si>
    <t xml:space="preserve">14.07+08</t>
  </si>
  <si>
    <t xml:space="preserve">Factoring a common monomial</t>
  </si>
  <si>
    <t xml:space="preserve">Common monomial factors — K8S; Factor out a monomial — BFZ</t>
  </si>
  <si>
    <t xml:space="preserve">8.AR.1.3</t>
  </si>
  <si>
    <t xml:space="preserve">MA.8.AR.1.3 — Rewrite the sum of two algebraic expressions having a common monomial factor as a common factor multiplied by the sum of two algebraic expressions.</t>
  </si>
  <si>
    <t xml:space="preserve">14.7 Factoring Common Monomial Factors
14.8 Rewriting Expressions with Common Monomial Factors</t>
  </si>
  <si>
    <t xml:space="preserve">14.X1</t>
  </si>
  <si>
    <t xml:space="preserve">Unit 14 exam, day 1</t>
  </si>
  <si>
    <t xml:space="preserve">14.X2</t>
  </si>
  <si>
    <t xml:space="preserve">Unit 14 exam, day 2</t>
  </si>
  <si>
    <t xml:space="preserve">15.01</t>
  </si>
  <si>
    <t xml:space="preserve">Slides, flips, spins</t>
  </si>
  <si>
    <t xml:space="preserve">Describe how a figure moves — WER; Congruence statements and corresponding parts — LPP</t>
  </si>
  <si>
    <t xml:space="preserve">8.GR.2.1</t>
  </si>
  <si>
    <t xml:space="preserve">MA.8.GR.2.1 — Given a preimage and image generated by a single transformation, identify the transformation that describes the relationship.</t>
  </si>
  <si>
    <t xml:space="preserve">15.1 Slides, Flips, and Spins</t>
  </si>
  <si>
    <t xml:space="preserve">15.02+03</t>
  </si>
  <si>
    <t xml:space="preserve">Reflections, rotations, translations — identify and describe</t>
  </si>
  <si>
    <t xml:space="preserve">Identify reflections and rotations — S8S; Rotate polygons about a point — A5K; Identify translations — HJ9; Translations: graph the image — XUS; Translations: find the coordinates — RUP</t>
  </si>
  <si>
    <t xml:space="preserve">15.2 Reflections and Rotations
15.3 Translations</t>
  </si>
  <si>
    <t xml:space="preserve">15.03b</t>
  </si>
  <si>
    <t xml:space="preserve">Translations on the coordinate plane</t>
  </si>
  <si>
    <t xml:space="preserve">Identify translations — HJ9; Translations: graph the image — XUS; Translations: find the coordinates — RUP</t>
  </si>
  <si>
    <t xml:space="preserve">8.GR.2.3</t>
  </si>
  <si>
    <t xml:space="preserve">MA.8.GR.2.3 — Describe and apply the effect of a single transformation on two-dimensional figures using coordinates and the coordinate plane.</t>
  </si>
  <si>
    <t xml:space="preserve">15.3 Translations</t>
  </si>
  <si>
    <t xml:space="preserve">15.04</t>
  </si>
  <si>
    <t xml:space="preserve">Reflections on the coordinate plane</t>
  </si>
  <si>
    <t xml:space="preserve">Reflections: graph the image — QLJ; Reflections: find the coordinates — AQ8</t>
  </si>
  <si>
    <t xml:space="preserve">15.4 Reflections on the Coordinate Plane</t>
  </si>
  <si>
    <t xml:space="preserve">15.05</t>
  </si>
  <si>
    <t xml:space="preserve">Rotations on the coordinate plane (about the origin)</t>
  </si>
  <si>
    <t xml:space="preserve">Rotations: graph the image — AC9; Rotations: find the coordinates — HHS</t>
  </si>
  <si>
    <t xml:space="preserve">15.5 Rotations on the Coordinate Plane</t>
  </si>
  <si>
    <t xml:space="preserve">15.06</t>
  </si>
  <si>
    <t xml:space="preserve">Describing rigid transformations; congruence</t>
  </si>
  <si>
    <t xml:space="preserve">Describe transformations — VAY; Determine if two figures are congruent: justify your answer — HJU</t>
  </si>
  <si>
    <t xml:space="preserve">8.GR.2.1 · 8.GR.2.3</t>
  </si>
  <si>
    <t xml:space="preserve">MA.8.GR.2.1 — Given a preimage and image generated by a single transformation, identify the transformation that describes the relationship.
MA.8.GR.2.3 — Describe and apply the effect of a single transformation on two-dimensional figures using coordinates and the coordinate plane.</t>
  </si>
  <si>
    <t xml:space="preserve">15.6 Describing Rigid Transformations</t>
  </si>
  <si>
    <t xml:space="preserve">15.07+09</t>
  </si>
  <si>
    <t xml:space="preserve">Dilations and scale factor</t>
  </si>
  <si>
    <t xml:space="preserve">Classify dilations — JTS; Scaled polygons — 9ZA; Dilations: find the scale factor — 8NK</t>
  </si>
  <si>
    <t xml:space="preserve">8.GR.2.2</t>
  </si>
  <si>
    <t xml:space="preserve">MA.8.GR.2.2 — Given a preimage and image generated by a single dilation, identify the scale factor that describes the relationship.</t>
  </si>
  <si>
    <t xml:space="preserve">15.7 Dilations
15.9 Scale Factors of Dilations</t>
  </si>
  <si>
    <t xml:space="preserve">15.08</t>
  </si>
  <si>
    <t xml:space="preserve">Dilations on the coordinate plane (centered at the origin)</t>
  </si>
  <si>
    <t xml:space="preserve">Dilations: graph the image — 9T4; Dilations: find the coordinates — UV9; Similar and congruent figures — U85; Determine if two figures are similar: justify your answer — CWB</t>
  </si>
  <si>
    <t xml:space="preserve">15.8 Dilations on the Coordinate Plane</t>
  </si>
  <si>
    <t xml:space="preserve">16.01+02</t>
  </si>
  <si>
    <t xml:space="preserve">Angle relationships — consolidation of Thread B</t>
  </si>
  <si>
    <t xml:space="preserve">Identify complementary, supplementary, vertical, adjacent, and congruent angles — HGV; Find measures of complementary, supplementary, vertical, and adjacent angles — R2B; Write and solve equations using angle relationships — DBV; Find missing angles in triangles — JFJ; Exterior Angle Theorem — FMP; Triangle Angle-Sum Theorem — 6Q6</t>
  </si>
  <si>
    <t xml:space="preserve">8.GR.1.4 · 8.GR.1.5</t>
  </si>
  <si>
    <t xml:space="preserve">MA.8.GR.1.4 — Solve mathematical problems involving the relationships between supplementary, complementary, vertical or adjacent angles.
MA.8.GR.1.5 — Solve problems involving the relationships of interior and exterior angles of a triangle.</t>
  </si>
  <si>
    <t xml:space="preserve">16.1 Angle Relationships
16.2 Angle Relationships in Triangles</t>
  </si>
  <si>
    <t xml:space="preserve">16.03+04</t>
  </si>
  <si>
    <t xml:space="preserve">Interior angles of polygons</t>
  </si>
  <si>
    <t xml:space="preserve">Interior angles of polygons — JBP</t>
  </si>
  <si>
    <t xml:space="preserve">8.GR.1.6</t>
  </si>
  <si>
    <t xml:space="preserve">MA.8.GR.1.6 — Develop and use formulas for the sums of the interior angles of regular polygons by decomposing them into triangles.</t>
  </si>
  <si>
    <t xml:space="preserve">16.3 Interior Angles of a Polygon
16.4 Finding Missing Angles in Polygons</t>
  </si>
  <si>
    <t xml:space="preserve">15/16.X1</t>
  </si>
  <si>
    <t xml:space="preserve">Units 15–16 exam, day 1</t>
  </si>
  <si>
    <t xml:space="preserve">15/16.X2</t>
  </si>
  <si>
    <t xml:space="preserve">Units 15–16 exam, day 2</t>
  </si>
  <si>
    <t xml:space="preserve">17.01–03</t>
  </si>
  <si>
    <t xml:space="preserve">Repeated experiments — consolidation of Thread C</t>
  </si>
  <si>
    <t xml:space="preserve">Compound events: find the number of outcomes — P5R; Samples spaces for repeated events — AGW; Probability of repeated experiments — BDZ; Probability of simple events — 5ZY; Experimental probability — FRL</t>
  </si>
  <si>
    <t xml:space="preserve">8.DP.2.1 · 8.DP.2.2</t>
  </si>
  <si>
    <t xml:space="preserve">MA.8.DP.2.1 — Determine the sample space for a repeated experiment.
MA.8.DP.2.2 — Find the theoretical probability of an event related to a repeated experiment.</t>
  </si>
  <si>
    <t xml:space="preserve">17.1 Determining Sample Space Using Lists and Tree Diagrams
17.2 Calculating Theoretical Probability
17.3 Calculating Theoretical Probability of Compound Events</t>
  </si>
  <si>
    <t xml:space="preserve">17.04–06</t>
  </si>
  <si>
    <t xml:space="preserve">Predictions from theoretical probability</t>
  </si>
  <si>
    <t xml:space="preserve">Make predictions — 38C; Write a discrete probability distribution — ELU</t>
  </si>
  <si>
    <t xml:space="preserve">8.DP.2.3</t>
  </si>
  <si>
    <t xml:space="preserve">MA.8.DP.2.3 — Solve real-world problems involving probabilities related to single or repeated experiments, including making predictions based on theoretical probability.</t>
  </si>
  <si>
    <t xml:space="preserve">17.4 Applying Proportional Reasoning to Probability
17.5 Solving Problems Using Probability
17.6 Making Predictions</t>
  </si>
  <si>
    <t xml:space="preserve">17.X1</t>
  </si>
  <si>
    <t xml:space="preserve">Unit 17 exam, day 1</t>
  </si>
  <si>
    <t xml:space="preserve">17.X2</t>
  </si>
  <si>
    <t xml:space="preserve">Unit 17 exam, day 2</t>
  </si>
  <si>
    <t xml:space="preserve">PM3</t>
  </si>
  <si>
    <t xml:space="preserve">May 3–28: PM3 window (school date TBD). Content finishes Apr 30, so the whole window is free: PM3 review before the test — mixed FAST-shaped whiteboard rounds, one reporting category per question — and the Algebra 1 bridge after it (operations with radicals, point-slope and standard form, systems by substitution)</t>
  </si>
  <si>
    <t xml:space="preserve">912.NSO.1.4 · 912.AR.2.2 · 912.AR.9.1</t>
  </si>
  <si>
    <t xml:space="preserve">MA.912.NSO.1.4 — Algebra 1 benchmark (PM3-window bridge); its wording is not in the Grade 8 source file.
MA.912.AR.2.2 — Algebra 1 benchmark (PM3-window bridge); its wording is not in the Grade 8 source file.
MA.912.AR.9.1 — Algebra 1 benchmark (PM3-window bridge); its wording is not in the Grade 8 source file.</t>
  </si>
  <si>
    <t xml:space="preserve">IXL assignments, 2026–27</t>
  </si>
  <si>
    <t xml:space="preserve">Every skill listed is required, to a SmartScore of 67. Fill in the two yellow columns: type ✓ in 'Set up in IXL' once the assignment exists in IXL, and ✓ in 'Scores checked' after you have looked at the scores (for example, row 1 done: ✓ and ✓, Status reads 'done'). Status works itself out from today's date.</t>
  </si>
  <si>
    <t xml:space="preserve">#</t>
  </si>
  <si>
    <t xml:space="preserve">Assigned</t>
  </si>
  <si>
    <t xml:space="preserve">Lesson(s)</t>
  </si>
  <si>
    <t xml:space="preserve">Skills — all required</t>
  </si>
  <si>
    <t xml:space="preserve">Codes to type into IXL</t>
  </si>
  <si>
    <t xml:space="preserve">SmartScore</t>
  </si>
  <si>
    <t xml:space="preserve">Due</t>
  </si>
  <si>
    <t xml:space="preserve">Set up in IXL</t>
  </si>
  <si>
    <t xml:space="preserve">Scores checked</t>
  </si>
  <si>
    <t xml:space="preserve">Status</t>
  </si>
  <si>
    <t xml:space="preserve">Notes</t>
  </si>
  <si>
    <t xml:space="preserve">3.01 Product laws of exponents</t>
  </si>
  <si>
    <t xml:space="preserve">Evaluate powers (SZQ); Multiplication with exponents (5SK); Power rule (8DA); Understanding exponents (BFA)</t>
  </si>
  <si>
    <t xml:space="preserve">SZQ, 5SK, 8DA, BFA</t>
  </si>
  <si>
    <t xml:space="preserve">3.02 Quotient laws of exponents</t>
  </si>
  <si>
    <t xml:space="preserve">Powers with negative bases (WFW); Division with exponents (XNC); Identify equivalent expressions involving whole-number exponents (KBE)</t>
  </si>
  <si>
    <t xml:space="preserve">WFW, XNC, KBE</t>
  </si>
  <si>
    <t xml:space="preserve">3.03 Exponential expressions</t>
  </si>
  <si>
    <t xml:space="preserve">Evaluate expressions using properties of exponents (ZE9)</t>
  </si>
  <si>
    <t xml:space="preserve">ZE9</t>
  </si>
  <si>
    <t xml:space="preserve">3.04 Negative exponent law</t>
  </si>
  <si>
    <t xml:space="preserve">Understanding negative exponents (YBB); Evaluate powers with negative exponents (WGS)</t>
  </si>
  <si>
    <t xml:space="preserve">YBB, WGS</t>
  </si>
  <si>
    <t xml:space="preserve">3.05 Applying exponent laws</t>
  </si>
  <si>
    <t xml:space="preserve">Identify equivalent expressions involving exponents I (VLM)</t>
  </si>
  <si>
    <t xml:space="preserve">VLM</t>
  </si>
  <si>
    <t xml:space="preserve">3.06+07 Evaluating and equivalent expressions with integer exponents</t>
  </si>
  <si>
    <t xml:space="preserve">Evaluate expressions using properties of exponents (6T7); Identify equivalent expressions involving exponents II (QDM)</t>
  </si>
  <si>
    <t xml:space="preserve">6T7, QDM</t>
  </si>
  <si>
    <t xml:space="preserve">T-A1 Thread A: the same laws with variable bases (14.1–14.2)</t>
  </si>
  <si>
    <t xml:space="preserve">Multiply powers: variable bases (TR9); Powers of a power: variable bases (2CU); Divide monomials with positive exponents (C8L)</t>
  </si>
  <si>
    <t xml:space="preserve">TR9, 2CU, C8L</t>
  </si>
  <si>
    <t xml:space="preserve">T-A2 Thread A: negative exponents and multiple laws, variable bases (14.3–14.4)</t>
  </si>
  <si>
    <t xml:space="preserve">Variables with negative exponents (2NL); Multiply and divide powers: variable bases (85P)</t>
  </si>
  <si>
    <t xml:space="preserve">2NL, 85P</t>
  </si>
  <si>
    <t xml:space="preserve">3.08 Large numbers in scientific notation</t>
  </si>
  <si>
    <t xml:space="preserve">Convert between standard and scientific notation: large numbers (2AL); Compare large numbers (WEZ); Powers of ten (LJQ)</t>
  </si>
  <si>
    <t xml:space="preserve">2AL, WEZ, LJQ</t>
  </si>
  <si>
    <t xml:space="preserve">3.09 Small numbers in scientific notation; how many times larger</t>
  </si>
  <si>
    <t xml:space="preserve">Convert between standard and scientific notation: small numbers (85M); Compare small numbers (KDR); Powers of ten with negative exponents (SKD)</t>
  </si>
  <si>
    <t xml:space="preserve">85M, KDR, SKD</t>
  </si>
  <si>
    <t xml:space="preserve">4.01 Add and subtract in scientific notation</t>
  </si>
  <si>
    <t xml:space="preserve">Add and subtract numbers written in scientific notation (HUR)</t>
  </si>
  <si>
    <t xml:space="preserve">HUR</t>
  </si>
  <si>
    <t xml:space="preserve">4.02+03 Multiply and divide in scientific notation</t>
  </si>
  <si>
    <t xml:space="preserve">Multiply numbers written in scientific notation (YZU); Divide numbers written in scientific notation (SGT)</t>
  </si>
  <si>
    <t xml:space="preserve">YZU, SGT</t>
  </si>
  <si>
    <t xml:space="preserve">4.04 Real-world scientific notation; significant digits</t>
  </si>
  <si>
    <t xml:space="preserve">Add, subtract, multiply, and divide numbers written in scientific notation: word problems (D5S)</t>
  </si>
  <si>
    <t xml:space="preserve">D5S</t>
  </si>
  <si>
    <t xml:space="preserve">4.05–4.06 (2 lessons) Expressions with radicals (perfect squares to 225, cubes −125 to 125)</t>
  </si>
  <si>
    <t xml:space="preserve">Evaluate radical expressions (D8J)</t>
  </si>
  <si>
    <t xml:space="preserve">D8J</t>
  </si>
  <si>
    <t xml:space="preserve">4.07+08 Real-world order-of-operations problems</t>
  </si>
  <si>
    <t xml:space="preserve">Evaluate variable expressions: word problems (DPG)</t>
  </si>
  <si>
    <t xml:space="preserve">DPG</t>
  </si>
  <si>
    <t xml:space="preserve">5.01 Scale drawings</t>
  </si>
  <si>
    <t xml:space="preserve">Scale drawings: find the scale factor, missing side, or missing angle (WEA)</t>
  </si>
  <si>
    <t xml:space="preserve">WEA</t>
  </si>
  <si>
    <t xml:space="preserve">5.02+03 Scale factor: perimeter and area (k and k²)</t>
  </si>
  <si>
    <t xml:space="preserve">Perimeter and area: changes in scale (ZC6); Scale drawings: find the scale factor or missing side (XHM)</t>
  </si>
  <si>
    <t xml:space="preserve">ZC6, XHM</t>
  </si>
  <si>
    <t xml:space="preserve">5.04 Real-world scale drawings</t>
  </si>
  <si>
    <t xml:space="preserve">Scale drawings: word problems (84H); Scale drawings: scale factor word problems (KCM)</t>
  </si>
  <si>
    <t xml:space="preserve">84H, KCM</t>
  </si>
  <si>
    <t xml:space="preserve">5.06+07–5.08+09 (2 lessons) Converting length across systems; currency</t>
  </si>
  <si>
    <t xml:space="preserve">Convert between customary and metric systems (E8Z); Compare and convert customary units (4B8); Compare and convert metric units (HW2)</t>
  </si>
  <si>
    <t xml:space="preserve">E8Z, 4B8, HW2</t>
  </si>
  <si>
    <t xml:space="preserve">5.10+11 Multi-step proportion problems</t>
  </si>
  <si>
    <t xml:space="preserve">Compare rates: word problems (VVS); Multi-step problems with customary or metric unit conversions (UCT)</t>
  </si>
  <si>
    <t xml:space="preserve">VVS, UCT</t>
  </si>
  <si>
    <t xml:space="preserve">6.01+02 Triangle Inequality Theorem; converse of the Pythagorean Theorem</t>
  </si>
  <si>
    <t xml:space="preserve">Triangle inequality (2N5); Converse of the Pythagorean theorem: is it a right triangle? (EQZ)</t>
  </si>
  <si>
    <t xml:space="preserve">2N5, EQZ</t>
  </si>
  <si>
    <t xml:space="preserve">6.03 Pythagorean Theorem (memorize)</t>
  </si>
  <si>
    <t xml:space="preserve">Pythagorean theorem: find the missing leg or hypotenuse length (MTM)</t>
  </si>
  <si>
    <t xml:space="preserve">MTM</t>
  </si>
  <si>
    <t xml:space="preserve">6.04 Pythagorean Theorem in real-world problems</t>
  </si>
  <si>
    <t xml:space="preserve">Pythagorean theorem: word problems (87U)</t>
  </si>
  <si>
    <t xml:space="preserve">87U</t>
  </si>
  <si>
    <t xml:space="preserve">6.05 Distance on the coordinate plane</t>
  </si>
  <si>
    <t xml:space="preserve">Find the distance between two points on a horizontal or vertical line (L9V); Find the distance between two points (ZBP)</t>
  </si>
  <si>
    <t xml:space="preserve">L9V, ZBP</t>
  </si>
  <si>
    <t xml:space="preserve">6.06 Real-world coordinate-plane problems; perimeter</t>
  </si>
  <si>
    <t xml:space="preserve">Pythagorean theorem: find the perimeter (VGE)</t>
  </si>
  <si>
    <t xml:space="preserve">VGE</t>
  </si>
  <si>
    <t xml:space="preserve">T-B1 Thread B: angle pairs — supplementary, complementary, vertical, adjacent (16.1)</t>
  </si>
  <si>
    <t xml:space="preserve">Identify complementary, supplementary, vertical, adjacent, and congruent angles (HGV); Find measures of complementary, supplementary, vertical, and adjacent angles (R2B); Write and solve equations using angle relationships (DBV)</t>
  </si>
  <si>
    <t xml:space="preserve">HGV, R2B, DBV</t>
  </si>
  <si>
    <t xml:space="preserve">T-B2 Thread B: interior and exterior angles of a triangle (16.2)</t>
  </si>
  <si>
    <t xml:space="preserve">Find missing angles in triangles (JFJ); Exterior Angle Theorem (FMP); Triangle Angle-Sum Theorem (6Q6)</t>
  </si>
  <si>
    <t xml:space="preserve">JFJ, FMP, 6Q6</t>
  </si>
  <si>
    <t xml:space="preserve">6.07+08 Similar triangles; indirect measurement</t>
  </si>
  <si>
    <t xml:space="preserve">Side lengths of similar triangles (QSK); Similar triangles and indirect measurement (88W); Identify similar triangles (6PD)</t>
  </si>
  <si>
    <t xml:space="preserve">QSK, 88W, 6PD</t>
  </si>
  <si>
    <t xml:space="preserve">7.01 Graphing proportional relationships</t>
  </si>
  <si>
    <t xml:space="preserve">Graph a proportional relationship: word problems (FJW)</t>
  </si>
  <si>
    <t xml:space="preserve">FJW</t>
  </si>
  <si>
    <t xml:space="preserve">7.02+03 Constant of proportionality (table, graph, description)</t>
  </si>
  <si>
    <t xml:space="preserve">Interpret graphs of proportional relationships (RMH); Find the constant of proportionality from a table (LKZ); Find the constant of proportionality from a graph (ZUT)</t>
  </si>
  <si>
    <t xml:space="preserve">RMH, LKZ, ZUT</t>
  </si>
  <si>
    <t xml:space="preserve">7.04 Is it proportional?</t>
  </si>
  <si>
    <t xml:space="preserve">Identify proportional relationships by graphing (AAN); Identify proportional relationships in tables and graphs (VZK)</t>
  </si>
  <si>
    <t xml:space="preserve">AAN, VZK</t>
  </si>
  <si>
    <t xml:space="preserve">7.05+06 Equations of proportional relationships; translating representations</t>
  </si>
  <si>
    <t xml:space="preserve">Write equations for proportional relationships from tables (6GU); Write equations for proportional relationships from graphs (JKH); Write and solve equations for proportional relationships (VKK)</t>
  </si>
  <si>
    <t xml:space="preserve">6GU, JKH, VKK</t>
  </si>
  <si>
    <t xml:space="preserve">7.07 Comparing proportional relationships</t>
  </si>
  <si>
    <t xml:space="preserve">Compare proportional relationships represented in different ways (5A9)</t>
  </si>
  <si>
    <t xml:space="preserve">5A9</t>
  </si>
  <si>
    <t xml:space="preserve">8.01+02 Circle relationships; circumference</t>
  </si>
  <si>
    <t xml:space="preserve">Center, radius, and diameter of a circle (7RY); Circumference of circles (9FM)</t>
  </si>
  <si>
    <t xml:space="preserve">7RY, 9FM</t>
  </si>
  <si>
    <t xml:space="preserve">8.03 Radius and diameter from circumference</t>
  </si>
  <si>
    <t xml:space="preserve">Find the radius or diameter of a circle given the circumference (2CM)</t>
  </si>
  <si>
    <t xml:space="preserve">2CM</t>
  </si>
  <si>
    <t xml:space="preserve">8.04+05 Area of a circle</t>
  </si>
  <si>
    <t xml:space="preserve">Area of circles (YA8)</t>
  </si>
  <si>
    <t xml:space="preserve">YA8</t>
  </si>
  <si>
    <t xml:space="preserve">8.06 Circumference and area problems; sectors</t>
  </si>
  <si>
    <t xml:space="preserve">Circles: word problems (P56)</t>
  </si>
  <si>
    <t xml:space="preserve">P56</t>
  </si>
  <si>
    <t xml:space="preserve">8.08+09 Sectors and circle graphs</t>
  </si>
  <si>
    <t xml:space="preserve">Use fractions to find the measure of an angle (V76); Circle graphs and central angles (KXS); Interpret circle graphs (WNJ)</t>
  </si>
  <si>
    <t xml:space="preserve">V76, KXS, WNJ</t>
  </si>
  <si>
    <t xml:space="preserve">9.01+02 Surface area of cylinders from nets</t>
  </si>
  <si>
    <t xml:space="preserve">Nets of three-dimensional figures (3R2); Surface area of cylinders (CYQ); Lateral area of cylinders (C8K)</t>
  </si>
  <si>
    <t xml:space="preserve">3R2, CYQ, C8K</t>
  </si>
  <si>
    <t xml:space="preserve">9.03+04+05 Volume of cylinders; problems</t>
  </si>
  <si>
    <t xml:space="preserve">Volume of cylinders (FHC)</t>
  </si>
  <si>
    <t xml:space="preserve">FHC</t>
  </si>
  <si>
    <t xml:space="preserve">10.01 Proportional relationships revisited (linear ⇒ proportional?)</t>
  </si>
  <si>
    <t xml:space="preserve">Find the constant of proportionality from a table (ZCK); Identify proportional relationships by graphing (RXD); Identify proportional relationships (Z64); Write equations for proportional relationships from tables and graphs (VXM); Interpret graphs of proportional relationships (Q96)</t>
  </si>
  <si>
    <t xml:space="preserve">ZCK, RXD, Z64, VXM, Q96</t>
  </si>
  <si>
    <t xml:space="preserve">10.02+03 Slope from two points, graphs, tables</t>
  </si>
  <si>
    <t xml:space="preserve">Find the slope from two points (ZAC); Find the slope from a table (GSB); Find the slope from a graph (Q94)</t>
  </si>
  <si>
    <t xml:space="preserve">ZAC, GSB, Q94</t>
  </si>
  <si>
    <t xml:space="preserve">10.04 Slope in context</t>
  </si>
  <si>
    <t xml:space="preserve">Rate of change of a linear function: graphs (ZPF); Rate of change of a linear function: tables (8FE)</t>
  </si>
  <si>
    <t xml:space="preserve">ZPF, 8FE</t>
  </si>
  <si>
    <t xml:space="preserve">10.05 Slope-intercept form; graph a line</t>
  </si>
  <si>
    <t xml:space="preserve">Slope-intercept form: find the slope and y-intercept (U55); Graph a line using slope (FSV); Graph a line from an equation in slope-intercept form (W5E); Write a linear equation from a slope and y-intercept (WHP); Compare linear functions: tables, graphs, and equations (N7D)</t>
  </si>
  <si>
    <t xml:space="preserve">U55, FSV, W5E, WHP, N7D</t>
  </si>
  <si>
    <t xml:space="preserve">10.06 Graphing from tables and contexts</t>
  </si>
  <si>
    <t xml:space="preserve">Complete a table and graph a linear function (DC2); Complete a table and make a graph: word problems (T7R); Complete a table for a linear function (D9B); Graph a line from an equation in standard form (7MZ)</t>
  </si>
  <si>
    <t xml:space="preserve">DC2, T7R, D9B, 7MZ</t>
  </si>
  <si>
    <t xml:space="preserve">10.07+08 Interpreting slope and intercept (graphs, equations, tables, descriptions; F↔C)</t>
  </si>
  <si>
    <t xml:space="preserve">Interpret the slope and y-intercept of a linear function (H5B); Interpret points on the graph of a linear function (9E8)</t>
  </si>
  <si>
    <t xml:space="preserve">H5B, 9E8</t>
  </si>
  <si>
    <t xml:space="preserve">10.09 Writing equations of lines</t>
  </si>
  <si>
    <t xml:space="preserve">Write a linear equation from a graph (WHM); Write a linear function from a table (UYY); Write a linear equation from a slope and a point (VKP); Write a linear equation from two points (2R9)</t>
  </si>
  <si>
    <t xml:space="preserve">WHM, UYY, VKP, 2R9</t>
  </si>
  <si>
    <t xml:space="preserve">10.10 Writing equations for contexts; lines of fit preview</t>
  </si>
  <si>
    <t xml:space="preserve">Write linear functions: word problems (YK6)</t>
  </si>
  <si>
    <t xml:space="preserve">YK6</t>
  </si>
  <si>
    <t xml:space="preserve">11.01 Equations with like terms and the distributive property</t>
  </si>
  <si>
    <t xml:space="preserve">Solve equations involving like terms (Q2B); Solve equations using the distributive property (QWE); Solve two-step equations: word problems (8CZ)</t>
  </si>
  <si>
    <t xml:space="preserve">Q2B, QWE, 8CZ</t>
  </si>
  <si>
    <t xml:space="preserve">11.02 Variables on both sides</t>
  </si>
  <si>
    <t xml:space="preserve">Solve equations with variables on both sides (ZYL)</t>
  </si>
  <si>
    <t xml:space="preserve">ZYL</t>
  </si>
  <si>
    <t xml:space="preserve">11.03 One, none, infinitely many solutions</t>
  </si>
  <si>
    <t xml:space="preserve">Find the number of solutions (XDE); Create equations with no solutions or infinitely many solutions (7TY)</t>
  </si>
  <si>
    <t xml:space="preserve">XDE, 7TY</t>
  </si>
  <si>
    <t xml:space="preserve">11.04 Multi-step equations</t>
  </si>
  <si>
    <t xml:space="preserve">Solve multi-step equations (55K); Solve multi-step equations: complete the solution (PGH); Solve equations: mixed review (HZZ)</t>
  </si>
  <si>
    <t xml:space="preserve">55K, PGH, HZZ</t>
  </si>
  <si>
    <t xml:space="preserve">11.05+06 Systems: which points are solutions; how many solutions</t>
  </si>
  <si>
    <t xml:space="preserve">Is (x, y) a solution to the system of equations? (N46); Find the number of solutions to a system of equations by graphing (AGZ); Solve a system of equations in slope-intercept form (9Z8)</t>
  </si>
  <si>
    <t xml:space="preserve">N46, AGZ, 9Z8</t>
  </si>
  <si>
    <t xml:space="preserve">11.07 Solving systems by graphing</t>
  </si>
  <si>
    <t xml:space="preserve">Solve a system of equations by graphing (C8X); Write a system of equations given a graph (TS7)</t>
  </si>
  <si>
    <t xml:space="preserve">C8X, TS7</t>
  </si>
  <si>
    <t xml:space="preserve">11.08 Systems in context (approximate solutions)</t>
  </si>
  <si>
    <t xml:space="preserve">Solve a system of equations by graphing: word problems (W9J)</t>
  </si>
  <si>
    <t xml:space="preserve">W9J</t>
  </si>
  <si>
    <t xml:space="preserve">12.01+02 Relations; domain and range</t>
  </si>
  <si>
    <t xml:space="preserve">Relations: convert between mappings, tables, graphs, and ordered pairs (LQJ); Domain and range of relations (T7P)</t>
  </si>
  <si>
    <t xml:space="preserve">LQJ, T7P</t>
  </si>
  <si>
    <t xml:space="preserve">12.03 Is it a function?</t>
  </si>
  <si>
    <t xml:space="preserve">Identify functions (JT2); Identify functions: graphs (AEB); Identify independent and dependent variables (FSF)</t>
  </si>
  <si>
    <t xml:space="preserve">JT2, AEB, FSF</t>
  </si>
  <si>
    <t xml:space="preserve">12.04+05–12.06 (2 lessons) Describing graphs: increasing, decreasing, constant</t>
  </si>
  <si>
    <t xml:space="preserve">Identify graphs: word problems (HWC)</t>
  </si>
  <si>
    <t xml:space="preserve">HWC</t>
  </si>
  <si>
    <t xml:space="preserve">12.07 Functions from equations, tables, graphs</t>
  </si>
  <si>
    <t xml:space="preserve">Complete a function table from an equation (ESE); Complete a table for a function graph (7EK); Find values using function graphs (7N2)</t>
  </si>
  <si>
    <t xml:space="preserve">ESE, 7EK, 7N2</t>
  </si>
  <si>
    <t xml:space="preserve">12.08+09 Is it linear? (graphs, equations, tables)</t>
  </si>
  <si>
    <t xml:space="preserve">Identify linear and nonlinear functions: graphs and equations (XB8); Identify linear and nonlinear functions: tables (VGS)</t>
  </si>
  <si>
    <t xml:space="preserve">XB8, VGS</t>
  </si>
  <si>
    <t xml:space="preserve">13.01+02+03 Choosing and creating displays (numerical, categorical)</t>
  </si>
  <si>
    <t xml:space="preserve">Choose the best type of graph (VP6); Create dot plots (22B); Create stem-and-leaf plots (8AP); Create histograms (LGG); Box plots (SKN); Create and interpret dot plots with fractions (SHS); Create bar graphs (E76)</t>
  </si>
  <si>
    <t xml:space="preserve">VP6, 22B, 8AP, LGG, SKN, SHS, E76</t>
  </si>
  <si>
    <t xml:space="preserve">13.04+05 Bivariate data; line graphs</t>
  </si>
  <si>
    <t xml:space="preserve">Create line graphs (ERM); Interpret line graphs (TGQ)</t>
  </si>
  <si>
    <t xml:space="preserve">ERM, TGQ</t>
  </si>
  <si>
    <t xml:space="preserve">13.06 Scatter plots and association</t>
  </si>
  <si>
    <t xml:space="preserve">Create scatter plots (AVL); Describe scatter plots (CG8); Describe associations between two variables using scatter plots (9ER)</t>
  </si>
  <si>
    <t xml:space="preserve">AVL, CG8, 9ER</t>
  </si>
  <si>
    <t xml:space="preserve">13.07+08 Lines of fit; outliers</t>
  </si>
  <si>
    <t xml:space="preserve">Outliers in scatter plots (RP8); Identify lines of best fit (BG7); Make predictions with scatter plots (CM7)</t>
  </si>
  <si>
    <t xml:space="preserve">RP8, BG7, CM7</t>
  </si>
  <si>
    <t xml:space="preserve">13.09 Interpreting the equation of a line of fit</t>
  </si>
  <si>
    <t xml:space="preserve">Interpret lines of best fit: word problems (9DW); Write equations for lines of best fit (ZQ6)</t>
  </si>
  <si>
    <t xml:space="preserve">9DW, ZQ6</t>
  </si>
  <si>
    <t xml:space="preserve">T-C1 Thread C: sample spaces of repeated experiments (17.1)</t>
  </si>
  <si>
    <t xml:space="preserve">Compound events: find the number of outcomes (P5R); Samples spaces for repeated events (AGW)</t>
  </si>
  <si>
    <t xml:space="preserve">P5R, AGW</t>
  </si>
  <si>
    <t xml:space="preserve">T-C2 Thread C: theoretical probability of repeated experiments (17.2–17.3)</t>
  </si>
  <si>
    <t xml:space="preserve">Probability of repeated experiments (BDZ); Probability of simple events (5ZY); Experimental probability (FRL)</t>
  </si>
  <si>
    <t xml:space="preserve">BDZ, 5ZY, FRL</t>
  </si>
  <si>
    <t xml:space="preserve">14.01–04 Exponent laws with variable bases — consolidation of Thread A</t>
  </si>
  <si>
    <t xml:space="preserve">Multiply powers: variable bases (TR9); Powers of a power: variable bases (2CU); Divide monomials with positive exponents (C8L); Variables with negative exponents (2NL); Multiply and divide powers: variable bases (85P)</t>
  </si>
  <si>
    <t xml:space="preserve">TR9, 2CU, C8L, 2NL, 85P</t>
  </si>
  <si>
    <t xml:space="preserve">14.05+06 Multiplying a monomial by a linear expression</t>
  </si>
  <si>
    <t xml:space="preserve">Multiply using the distributive property: area models (8P3); Multiply linear expressions with rational coefficients (9B9)</t>
  </si>
  <si>
    <t xml:space="preserve">8P3, 9B9</t>
  </si>
  <si>
    <t xml:space="preserve">14.07+08 Factoring a common monomial</t>
  </si>
  <si>
    <t xml:space="preserve">Common monomial factors (K8S); Factor out a monomial (BFZ)</t>
  </si>
  <si>
    <t xml:space="preserve">K8S, BFZ</t>
  </si>
  <si>
    <t xml:space="preserve">15.01 Slides, flips, spins</t>
  </si>
  <si>
    <t xml:space="preserve">Describe how a figure moves (WER); Congruence statements and corresponding parts (LPP)</t>
  </si>
  <si>
    <t xml:space="preserve">WER, LPP</t>
  </si>
  <si>
    <t xml:space="preserve">15.02+03 Reflections, rotations, translations — identify and describe</t>
  </si>
  <si>
    <t xml:space="preserve">Identify reflections and rotations (S8S); Rotate polygons about a point (A5K); Identify translations (HJ9); Translations: graph the image (XUS); Translations: find the coordinates (RUP)</t>
  </si>
  <si>
    <t xml:space="preserve">S8S, A5K, HJ9, XUS, RUP</t>
  </si>
  <si>
    <t xml:space="preserve">15.03b Translations on the coordinate plane</t>
  </si>
  <si>
    <t xml:space="preserve">Identify translations (HJ9); Translations: graph the image (XUS); Translations: find the coordinates (RUP)</t>
  </si>
  <si>
    <t xml:space="preserve">HJ9, XUS, RUP</t>
  </si>
  <si>
    <t xml:space="preserve">15.04 Reflections on the coordinate plane</t>
  </si>
  <si>
    <t xml:space="preserve">Reflections: graph the image (QLJ); Reflections: find the coordinates (AQ8)</t>
  </si>
  <si>
    <t xml:space="preserve">QLJ, AQ8</t>
  </si>
  <si>
    <t xml:space="preserve">15.05 Rotations on the coordinate plane (about the origin)</t>
  </si>
  <si>
    <t xml:space="preserve">Rotations: graph the image (AC9); Rotations: find the coordinates (HHS)</t>
  </si>
  <si>
    <t xml:space="preserve">AC9, HHS</t>
  </si>
  <si>
    <t xml:space="preserve">15.06 Describing rigid transformations; congruence</t>
  </si>
  <si>
    <t xml:space="preserve">Describe transformations (VAY); Determine if two figures are congruent: justify your answer (HJU)</t>
  </si>
  <si>
    <t xml:space="preserve">VAY, HJU</t>
  </si>
  <si>
    <t xml:space="preserve">15.07+09 Dilations and scale factor</t>
  </si>
  <si>
    <t xml:space="preserve">Classify dilations (JTS); Scaled polygons (9ZA); Dilations: find the scale factor (8NK)</t>
  </si>
  <si>
    <t xml:space="preserve">JTS, 9ZA, 8NK</t>
  </si>
  <si>
    <t xml:space="preserve">15.08 Dilations on the coordinate plane (centered at the origin)</t>
  </si>
  <si>
    <t xml:space="preserve">Dilations: graph the image (9T4); Dilations: find the coordinates (UV9); Similar and congruent figures (U85); Determine if two figures are similar: justify your answer (CWB)</t>
  </si>
  <si>
    <t xml:space="preserve">9T4, UV9, U85, CWB</t>
  </si>
  <si>
    <t xml:space="preserve">16.01+02 Angle relationships — consolidation of Thread B</t>
  </si>
  <si>
    <t xml:space="preserve">Identify complementary, supplementary, vertical, adjacent, and congruent angles (HGV); Find measures of complementary, supplementary, vertical, and adjacent angles (R2B); Write and solve equations using angle relationships (DBV); Find missing angles in triangles (JFJ); Exterior Angle Theorem (FMP); Triangle Angle-Sum Theorem (6Q6)</t>
  </si>
  <si>
    <t xml:space="preserve">HGV, R2B, DBV, JFJ, FMP, 6Q6</t>
  </si>
  <si>
    <t xml:space="preserve">16.03+04 Interior angles of polygons</t>
  </si>
  <si>
    <t xml:space="preserve">Interior angles of polygons (JBP)</t>
  </si>
  <si>
    <t xml:space="preserve">JBP</t>
  </si>
  <si>
    <t xml:space="preserve">17.01–03 Repeated experiments — consolidation of Thread C</t>
  </si>
  <si>
    <t xml:space="preserve">Compound events: find the number of outcomes (P5R); Samples spaces for repeated events (AGW); Probability of repeated experiments (BDZ); Probability of simple events (5ZY); Experimental probability (FRL)</t>
  </si>
  <si>
    <t xml:space="preserve">P5R, AGW, BDZ, 5ZY, FRL</t>
  </si>
  <si>
    <t xml:space="preserve">17.04–06 Predictions from theoretical probability</t>
  </si>
  <si>
    <t xml:space="preserve">Make predictions (38C); Write a discrete probability distribution (ELU)</t>
  </si>
  <si>
    <t xml:space="preserve">38C, ELU</t>
  </si>
  <si>
    <t xml:space="preserve">Grade</t>
  </si>
  <si>
    <t xml:space="preserve">Wording</t>
  </si>
  <si>
    <t xml:space="preserve">Clarifications and limits</t>
  </si>
  <si>
    <t xml:space="preserve">Unit(s)</t>
  </si>
  <si>
    <t xml:space="preserve">Taught on</t>
  </si>
  <si>
    <t xml:space="preserve">First day</t>
  </si>
  <si>
    <t xml:space="preserve">Last day</t>
  </si>
  <si>
    <t xml:space="preserve">Reviewed on</t>
  </si>
  <si>
    <t xml:space="preserve">Unit test points</t>
  </si>
  <si>
    <t xml:space="preserve">IXL skill codes</t>
  </si>
  <si>
    <t xml:space="preserve">MA.7.AR.2.2</t>
  </si>
  <si>
    <t xml:space="preserve">Write and solve two-step equations in one variable within a mathematical or real-world context, where all terms are rational numbers.</t>
  </si>
  <si>
    <t xml:space="preserve">Boundary — forms only: px ± q = r and p(x ± q) = r. Variable on either side.
→ prerequisite for MA.8.AR.2.1 (multi-step, variables both sides).</t>
  </si>
  <si>
    <t xml:space="preserve">1</t>
  </si>
  <si>
    <t xml:space="preserve">Unit 1 (before 23 Sep)</t>
  </si>
  <si>
    <t xml:space="preserve">MA.7.NSO.1.2</t>
  </si>
  <si>
    <t xml:space="preserve">Rewrite rational numbers in different but equivalent forms including fractions, mixed numbers, repeating decimals and percentages to solve mathematical and real-world problems.</t>
  </si>
  <si>
    <t xml:space="preserve">State example: Is 17/3 = 5.6666666667 accurate?
This is the benchmark the TI-30XA rounding rule attaches to (Part 8).</t>
  </si>
  <si>
    <t xml:space="preserve">MA.8.AR.2.2</t>
  </si>
  <si>
    <t xml:space="preserve">Solve two-step linear inequalities in one variable and represent solutions algebraically and graphically.</t>
  </si>
  <si>
    <t xml:space="preserve">Boundary — forms only: px ± q &gt; r and p(x ± q) &gt; r, p/q/r specific rational numbers, any inequality symbol.
Variable may be on either side.</t>
  </si>
  <si>
    <t xml:space="preserve">PM2-R2 (15 Dec)</t>
  </si>
  <si>
    <t xml:space="preserve">MA.8.AR.2.3</t>
  </si>
  <si>
    <t xml:space="preserve">Given an equation in the form of x² = p and x³ = q, where p is a whole number and q is an integer, determine the real solutions.</t>
  </si>
  <si>
    <t xml:space="preserve">Clarification: focus on understanding that solving x² = p gives both a positive and a negative solution.
Boundary: square roots of perfect squares up to 225; cube roots of perfect cubes from −125 to 125.
Boundary (B1G-M): students are not required to isolate the x² or x³ term.</t>
  </si>
  <si>
    <t xml:space="preserve">2</t>
  </si>
  <si>
    <t xml:space="preserve">Unit 2 (before 23 Sep)</t>
  </si>
  <si>
    <t xml:space="preserve">MA.8.NSO.1.1</t>
  </si>
  <si>
    <t xml:space="preserve">Extend previous understanding of rational numbers to define irrational numbers within the real number system. Locate an approximate value of a numerical expression involving irrational numbers on a number line.</t>
  </si>
  <si>
    <t xml:space="preserve">Clarification 1: instruction includes the use of number line and rational number approximations, and recognizing pi (π) as an irrational number.
Boundary: approximate numerical expressions involving one arithmetic operation, estimating square roots or π.</t>
  </si>
  <si>
    <t xml:space="preserve">PM2-R1 (14 Dec)</t>
  </si>
  <si>
    <t xml:space="preserve">MA.8.NSO.1.2</t>
  </si>
  <si>
    <t xml:space="preserve">Plot, order and compare rational and irrational numbers, represented in various forms.</t>
  </si>
  <si>
    <t xml:space="preserve">Boundary: not the expectation to work with the number e.
Boundary: the expectation is to plot, order and compare square roots and cube roots.
Clarification: the expectation is to use symbols (&lt;, &gt; or =).</t>
  </si>
  <si>
    <t xml:space="preserve">MA.7.NSO.1.1</t>
  </si>
  <si>
    <t xml:space="preserve">Know and apply the Laws of Exponents to evaluate numerical expressions and generate equivalent numerical expressions, limited to whole-number exponents and rational number bases.</t>
  </si>
  <si>
    <t xml:space="preserve">Boundary: aⁿ ÷ aᵐ = aᵖ must result in a whole-number p. → superseded within the course by MA.8.NSO.1.3.</t>
  </si>
  <si>
    <t xml:space="preserve">3</t>
  </si>
  <si>
    <t xml:space="preserve">3.01 (Wed 23 Sep); 3.02 (Thu 24 Sep); 3.03 (Fri 25 Sep)</t>
  </si>
  <si>
    <t xml:space="preserve">SZQ, 5SK, 8DA, BFA, WFW, XNC, KBE, ZE9</t>
  </si>
  <si>
    <t xml:space="preserve">MA.8.NSO.1.3</t>
  </si>
  <si>
    <t xml:space="preserve">Extend previous understanding of the Laws of Exponents to include integer exponents. Apply the Laws of Exponents to evaluate numerical expressions and generate equivalent numerical expressions, limited to integer exponents and rational number bases, with procedural fluency.</t>
  </si>
  <si>
    <t xml:space="preserve">Clarification: refer to the K-12 Formulas (Appendix E) for the Laws of Exponents.
Boundary (B1G-M): includes negative integer exponents; does not include fractional exponents.
Vertical: Gr 7 was whole-number exponents with whole-number results → Gr 8 adds integer exponents.</t>
  </si>
  <si>
    <t xml:space="preserve">3.01 (Wed 23 Sep); 3.02 (Thu 24 Sep); 3.03 (Fri 25 Sep); 3.04 (Mon 28 Sep); 3.05 (Tue 29 Sep); 3.06+07 (Wed 30 Sep)</t>
  </si>
  <si>
    <t xml:space="preserve">SZQ, 5SK, 8DA, BFA, WFW, XNC, KBE, ZE9, YBB, WGS, VLM, 6T7, QDM</t>
  </si>
  <si>
    <t xml:space="preserve">MA.8.AR.1.1</t>
  </si>
  <si>
    <t xml:space="preserve">Apply the Laws of Exponents to generate equivalent algebraic expressions, limited to integer exponents and monomial bases.</t>
  </si>
  <si>
    <t xml:space="preserve">Clarification: refer to the K-12 Formulas (Appendix E).
B1G-M definition to use: "a base may be a product of a coefficient and one or more variables with integer exponents."</t>
  </si>
  <si>
    <t xml:space="preserve">3, 14</t>
  </si>
  <si>
    <t xml:space="preserve">T-A1 (Mon 5 Oct); T-A2 (Tue 6 Oct); 14.01–04 (Wed 31 Mar)</t>
  </si>
  <si>
    <t xml:space="preserve">PM2-R3 (16 Dec)</t>
  </si>
  <si>
    <t xml:space="preserve">MA.8.NSO.1.4</t>
  </si>
  <si>
    <t xml:space="preserve">Express numbers in scientific notation to represent and approximate very large or very small quantities. Determine how many times larger or smaller one number is compared to a second number.</t>
  </si>
  <si>
    <t xml:space="preserve">3.08 (Wed 7 Oct); 3.09 (Fri 9 Oct)</t>
  </si>
  <si>
    <t xml:space="preserve">2AL, WEZ, LJQ, 85M, KDR, SKD</t>
  </si>
  <si>
    <t xml:space="preserve">MA.8.NSO.1.5</t>
  </si>
  <si>
    <t xml:space="preserve">Add, subtract, multiply and divide numbers expressed in scientific notation with procedural fluency.</t>
  </si>
  <si>
    <t xml:space="preserve">Boundary: for addition and subtraction, exponents are limited to within 2 of each other.</t>
  </si>
  <si>
    <t xml:space="preserve">4</t>
  </si>
  <si>
    <t xml:space="preserve">4.01 (Fri 16 Oct); 4.02+03 (Mon 19 Oct)</t>
  </si>
  <si>
    <t xml:space="preserve">HUR, YZU, SGT</t>
  </si>
  <si>
    <t xml:space="preserve">MA.8.NSO.1.6</t>
  </si>
  <si>
    <t xml:space="preserve">Solve real-world problems involving operations with numbers expressed in scientific notation.</t>
  </si>
  <si>
    <t xml:space="preserve">Clarification: includes recognizing the importance of significant digits when physical measurements are involved.
Boundary: same within-2 exponent limit on addition and subtraction.</t>
  </si>
  <si>
    <t xml:space="preserve">4.04 (Tue 20 Oct)</t>
  </si>
  <si>
    <t xml:space="preserve">MA.8.NSO.1.7</t>
  </si>
  <si>
    <t xml:space="preserve">Solve multi-step mathematical and real-world problems involving the order of operations with rational numbers including exponents and radicals.</t>
  </si>
  <si>
    <t xml:space="preserve">Boundary: 6 or fewer steps.
Boundary: simplify radicals by factoring square roots of perfect squares up to 225 and cube roots of perfect cubes from −125 to 125.</t>
  </si>
  <si>
    <t xml:space="preserve">4.05 (Wed 21 Oct); 4.06 (Thu 22 Oct); 4.07+08 (Fri 23 Oct)</t>
  </si>
  <si>
    <t xml:space="preserve">D8J, DPG</t>
  </si>
  <si>
    <t xml:space="preserve">MA.7.GR.1.5</t>
  </si>
  <si>
    <t xml:space="preserve">Solve mathematical and real-world problems involving dimensions and areas of geometric figures, including scale drawings and scale factors.</t>
  </si>
  <si>
    <t xml:space="preserve">Clarification: if the scale factor is k, area scales by k².
→ this is the direct feeder to MA.8.GR.2.2 (dilation scale factor).</t>
  </si>
  <si>
    <t xml:space="preserve">5</t>
  </si>
  <si>
    <t xml:space="preserve">5.01 (Wed 28 Oct); 5.02+03 (Thu 29 Oct); 5.04 (Fri 30 Oct)</t>
  </si>
  <si>
    <t xml:space="preserve">WEA, ZC6, XHM, 84H, KCM</t>
  </si>
  <si>
    <t xml:space="preserve">MA.7.AR.3.3</t>
  </si>
  <si>
    <t xml:space="preserve">Solve mathematical and real-world problems involving the conversion of units across different measurement systems.</t>
  </si>
  <si>
    <t xml:space="preserve">Boundary: length, area, weight, mass, volume, money. Conversion ratios are on the reference sheet.</t>
  </si>
  <si>
    <t xml:space="preserve">5.06+07 (Mon 2 Nov); 5.08+09 (Tue 3 Nov); 5.10+11 (Wed 4 Nov)</t>
  </si>
  <si>
    <t xml:space="preserve">E8Z, 4B8, HW2, VVS, UCT</t>
  </si>
  <si>
    <t xml:space="preserve">MA.7.AR.4.5</t>
  </si>
  <si>
    <t xml:space="preserve">Solve real-world problems involving proportional relationships.</t>
  </si>
  <si>
    <t xml:space="preserve">5, 7</t>
  </si>
  <si>
    <t xml:space="preserve">5.10+11 (Wed 4 Nov); 7.07 (Wed 9 Dec)</t>
  </si>
  <si>
    <t xml:space="preserve">VVS, UCT, 5A9</t>
  </si>
  <si>
    <t xml:space="preserve">MA.8.GR.1.3</t>
  </si>
  <si>
    <t xml:space="preserve">Use the Triangle Inequality Theorem to determine if a triangle can be formed from a given set of sides. Use the converse of the Pythagorean Theorem to determine if a right triangle can be formed from a given set of sides.</t>
  </si>
  <si>
    <t xml:space="preserve">6</t>
  </si>
  <si>
    <t xml:space="preserve">6.01+02 (Mon 9 Nov)</t>
  </si>
  <si>
    <t xml:space="preserve">MA.8.GR.1.1</t>
  </si>
  <si>
    <t xml:space="preserve">Apply the Pythagorean Theorem to solve mathematical and real-world problems involving unknown side lengths in right triangles.</t>
  </si>
  <si>
    <t xml:space="preserve">Clarification: explore right triangles with natural-number side lengths to illustrate the theorem.
⚠ The expectation is to MEMORIZE the Pythagorean Theorem. It is not on the reference sheet.
Boundary: radicands limited to whole numbers up to 225.</t>
  </si>
  <si>
    <t xml:space="preserve">6.03 (Tue 10 Nov); 6.04 (Thu 12 Nov)</t>
  </si>
  <si>
    <t xml:space="preserve">MTM, 87U</t>
  </si>
  <si>
    <t xml:space="preserve">MA.8.GR.1.2</t>
  </si>
  <si>
    <t xml:space="preserve">Apply the Pythagorean Theorem to solve mathematical and real-world problems involving the distance between two points in a coordinate plane.</t>
  </si>
  <si>
    <t xml:space="preserve">⚠ Memorize the theorem. It is NOT the expectation to use the distance formula.
Clarification: connect coordinate distance to right triangles.
Boundary: radicands ≤ 225.</t>
  </si>
  <si>
    <t xml:space="preserve">6.05 (Fri 13 Nov); 6.06 (Mon 16 Nov)</t>
  </si>
  <si>
    <t xml:space="preserve">L9V, ZBP, VGE</t>
  </si>
  <si>
    <t xml:space="preserve">MA.8.GR.1.4</t>
  </si>
  <si>
    <t xml:space="preserve">Solve mathematical problems involving the relationships between supplementary, complementary, vertical or adjacent angles.</t>
  </si>
  <si>
    <t xml:space="preserve">6, 16</t>
  </si>
  <si>
    <t xml:space="preserve">T-B1 (Tue 17 Nov); 16.01+02 (Tue 20 Apr)</t>
  </si>
  <si>
    <t xml:space="preserve">MA.8.GR.1.5</t>
  </si>
  <si>
    <t xml:space="preserve">Solve problems involving the relationships of interior and exterior angles of a triangle.</t>
  </si>
  <si>
    <t xml:space="preserve">Clarification: includes the Triangle Sum Theorem and representing angle measures as algebraic expressions.</t>
  </si>
  <si>
    <t xml:space="preserve">T-B2 (Wed 18 Nov); 16.01+02 (Tue 20 Apr)</t>
  </si>
  <si>
    <t xml:space="preserve">JFJ, FMP, 6Q6, HGV, R2B, DBV</t>
  </si>
  <si>
    <t xml:space="preserve">MA.8.GR.2.4</t>
  </si>
  <si>
    <t xml:space="preserve">Solve mathematical and real-world problems involving proportional relationships between similar triangles.</t>
  </si>
  <si>
    <t xml:space="preserve">6.07+08 (Thu 19 Nov)</t>
  </si>
  <si>
    <t xml:space="preserve">MA.7.AR.4.3</t>
  </si>
  <si>
    <t xml:space="preserve">Given a mathematical or real-world context, graph proportional relationships from a table, equation or a written description.</t>
  </si>
  <si>
    <t xml:space="preserve">Clarification: equations in the form y = px.</t>
  </si>
  <si>
    <t xml:space="preserve">7</t>
  </si>
  <si>
    <t xml:space="preserve">7.01 (Thu 3 Dec)</t>
  </si>
  <si>
    <t xml:space="preserve">MA.7.AR.4.2</t>
  </si>
  <si>
    <t xml:space="preserve">Determine the constant of proportionality within a mathematical or real-world context given a table, graph or written description of a proportional relationship.</t>
  </si>
  <si>
    <t xml:space="preserve">7.02+03 (Fri 4 Dec)</t>
  </si>
  <si>
    <t xml:space="preserve">MA.7.AR.4.1</t>
  </si>
  <si>
    <t xml:space="preserve">Determine whether two quantities have a proportional relationship by examining a table, graph or written description.</t>
  </si>
  <si>
    <t xml:space="preserve">7.04 (Mon 7 Dec)</t>
  </si>
  <si>
    <t xml:space="preserve">MA.8.AR.3.1</t>
  </si>
  <si>
    <t xml:space="preserve">Determine if a linear relationship is also a proportional relationship.</t>
  </si>
  <si>
    <t xml:space="preserve">Clarification: proportional relationships are linear relationships whose graph passes through the origin.
Clarification: includes tables, graphs, equations and written descriptions.
Assessment note: this benchmark has no blueprint row of its own — see Part 2.</t>
  </si>
  <si>
    <t xml:space="preserve">7, 10, 12</t>
  </si>
  <si>
    <t xml:space="preserve">7.04 (Mon 7 Dec); 10.01 (Mon 25 Jan); 12.08+09 (Wed 3 Mar)</t>
  </si>
  <si>
    <t xml:space="preserve">AAN, VZK, ZCK, RXD, Z64, VXM, Q96, XB8, VGS</t>
  </si>
  <si>
    <t xml:space="preserve">MA.7.AR.4.4</t>
  </si>
  <si>
    <t xml:space="preserve">Given any representation of a proportional relationship, translate the representation to a written description, table or equation.</t>
  </si>
  <si>
    <t xml:space="preserve">Boundary: written description, graph, table, equation.</t>
  </si>
  <si>
    <t xml:space="preserve">7.05+06 (Tue 8 Dec)</t>
  </si>
  <si>
    <t xml:space="preserve">MA.7.GR.1.3</t>
  </si>
  <si>
    <t xml:space="preserve">Explore the proportional relationship between circumferences and diameters of circles. Apply a formula for the circumference of a circle to solve mathematical and real-world problems.</t>
  </si>
  <si>
    <t xml:space="preserve">Solutions in terms of π or approximate.</t>
  </si>
  <si>
    <t xml:space="preserve">8</t>
  </si>
  <si>
    <t xml:space="preserve">8.01+02 (Thu 17 Dec); 8.03 (Fri 18 Dec)</t>
  </si>
  <si>
    <t xml:space="preserve">7RY, 9FM, 2CM</t>
  </si>
  <si>
    <t xml:space="preserve">MA.7.GR.1.4</t>
  </si>
  <si>
    <t xml:space="preserve">Explore and apply a formula to find the area of a circle to solve mathematical and real-world problems.</t>
  </si>
  <si>
    <t xml:space="preserve">Clarification: includes fractional parts of a circle.</t>
  </si>
  <si>
    <t xml:space="preserve">8.04+05 (Wed 6 Jan); 8.06 (Thu 7 Jan); 8.08+09 (Fri 8 Jan)</t>
  </si>
  <si>
    <t xml:space="preserve">YA8, P56, V76, KXS, WNJ</t>
  </si>
  <si>
    <t xml:space="preserve">MA.7.DP.1.4</t>
  </si>
  <si>
    <t xml:space="preserve">Use proportional reasoning to construct, display and interpret data in circle graphs.</t>
  </si>
  <si>
    <t xml:space="preserve">Boundary: 6 or fewer categories.</t>
  </si>
  <si>
    <t xml:space="preserve">8.08+09 (Fri 8 Jan)</t>
  </si>
  <si>
    <t xml:space="preserve">MA.7.GR.2.1</t>
  </si>
  <si>
    <t xml:space="preserve">Given a mathematical or real-world context, find the surface area of a right circular cylinder using the figure's net.</t>
  </si>
  <si>
    <t xml:space="preserve">Boundary: must go through the net; no formula memorization.</t>
  </si>
  <si>
    <t xml:space="preserve">9</t>
  </si>
  <si>
    <t xml:space="preserve">9.01+02 (Mon 11 Jan)</t>
  </si>
  <si>
    <t xml:space="preserve">MA.7.GR.2.2</t>
  </si>
  <si>
    <t xml:space="preserve">Solve real-world problems involving surface area of right circular cylinders.</t>
  </si>
  <si>
    <t xml:space="preserve">Boundary: does not include finding a missing radius.</t>
  </si>
  <si>
    <t xml:space="preserve">MA.7.GR.2.3</t>
  </si>
  <si>
    <t xml:space="preserve">Solve mathematical and real-world problems involving volume of right circular cylinders.</t>
  </si>
  <si>
    <t xml:space="preserve">Boundary: does not include finding a missing radius.
⚠ The cylinder volume formula is on the GRADE 7 reference sheet only. It is not on the grade 8 sheet these students will be handed. See Part 3.</t>
  </si>
  <si>
    <t xml:space="preserve">9.03+04+05 (Tue 12 Jan)</t>
  </si>
  <si>
    <t xml:space="preserve">MA.8.AR.3.2</t>
  </si>
  <si>
    <t xml:space="preserve">Given a table, graph or written description of a linear relationship, determine the slope.</t>
  </si>
  <si>
    <t xml:space="preserve">Clarification: includes cases where two points are given.
Clarification: connects slope to the constant of proportionality and to similar triangles on the coordinate plane.
B1G-M: "slope, which represents a constant rate of change, … is not the same as a constant of proportionality unless the relationship goes through the origin."</t>
  </si>
  <si>
    <t xml:space="preserve">10</t>
  </si>
  <si>
    <t xml:space="preserve">10.02+03 (Tue 26 Jan); 10.04 (Wed 27 Jan)</t>
  </si>
  <si>
    <t xml:space="preserve">ZAC, GSB, Q94, ZPF, 8FE</t>
  </si>
  <si>
    <t xml:space="preserve">MA.8.AR.3.5</t>
  </si>
  <si>
    <t xml:space="preserve">Given a real-world context, determine and interpret the slope and y-intercept of a two-variable linear equation from a written description, a table, a graph or an equation in slope-intercept form.</t>
  </si>
  <si>
    <t xml:space="preserve">Clarification: problems include temperature conversions and equations of lines of fit in scatter plots.
Boundary (B1G-M): "it is not the expectation to compare slopes or y-intercepts of two linear equations." Memorizing the F/C conversion formulas is not expected.</t>
  </si>
  <si>
    <t xml:space="preserve">10, 13</t>
  </si>
  <si>
    <t xml:space="preserve">10.04 (Wed 27 Jan); 10.07+08 (Mon 1 Feb); 10.10 (Wed 3 Feb); 13.09 (Wed 17 Mar)</t>
  </si>
  <si>
    <t xml:space="preserve">ZPF, 8FE, H5B, 9E8, YK6, 9DW, ZQ6</t>
  </si>
  <si>
    <t xml:space="preserve">MA.8.AR.3.4</t>
  </si>
  <si>
    <t xml:space="preserve">Given a mathematical or real-world context, graph a two-variable linear equation from a written description, a table or an equation in slope-intercept form.</t>
  </si>
  <si>
    <t xml:space="preserve">Boundary (B1G-M): point-slope and standard form are not expectations.</t>
  </si>
  <si>
    <t xml:space="preserve">10.05 (Thu 28 Jan); 10.06 (Fri 29 Jan)</t>
  </si>
  <si>
    <t xml:space="preserve">U55, FSV, W5E, WHP, N7D, DC2, T7R, D9B, 7MZ</t>
  </si>
  <si>
    <t xml:space="preserve">MA.8.AR.3.3</t>
  </si>
  <si>
    <t xml:space="preserve">Given a table, graph or written description of a linear relationship, write an equation in slope-intercept form.</t>
  </si>
  <si>
    <t xml:space="preserve">Boundary (B1G-M): "Point-slope form and standard forms are not expectations at this grade level."
B1G-M: give equations in formats other than y = mx + b, such as y = ax + b or y = b + mx.</t>
  </si>
  <si>
    <t xml:space="preserve">10.09 (Tue 2 Feb); 10.10 (Wed 3 Feb)</t>
  </si>
  <si>
    <t xml:space="preserve">WHM, UYY, VKP, 2R9, YK6</t>
  </si>
  <si>
    <t xml:space="preserve">MA.8.AR.2.1</t>
  </si>
  <si>
    <t xml:space="preserve">Solve multi-step linear equations in one variable, with rational number coefficients. Include equations with variables on both sides.</t>
  </si>
  <si>
    <t xml:space="preserve">Clarification: problem types include equations that generate one solution, infinitely many solutions or no solution.</t>
  </si>
  <si>
    <t xml:space="preserve">11</t>
  </si>
  <si>
    <t xml:space="preserve">11.01 (Mon 8 Feb); 11.02 (Tue 9 Feb); 11.03 (Wed 10 Feb); 11.04 (Thu 11 Feb)</t>
  </si>
  <si>
    <t xml:space="preserve">Q2B, QWE, 8CZ, ZYL, XDE, 7TY, 55K, PGH, HZZ</t>
  </si>
  <si>
    <t xml:space="preserve">MA.8.AR.4.1</t>
  </si>
  <si>
    <t xml:space="preserve">Given a system of two linear equations and a specified set of possible solutions, determine which ordered pairs satisfy the system of linear equations.</t>
  </si>
  <si>
    <t xml:space="preserve">Clarification: a solution satisfies both equations simultaneously.</t>
  </si>
  <si>
    <t xml:space="preserve">11.05+06 (Fri 12 Feb)</t>
  </si>
  <si>
    <t xml:space="preserve">MA.8.AR.4.2</t>
  </si>
  <si>
    <t xml:space="preserve">Given a system of two linear equations represented graphically on the same coordinate plane, determine whether there is one solution, no solution or infinitely many solutions.</t>
  </si>
  <si>
    <t xml:space="preserve">MA.8.AR.4.3</t>
  </si>
  <si>
    <t xml:space="preserve">Given a mathematical or real-world context, solve systems of two linear equations by graphing.</t>
  </si>
  <si>
    <t xml:space="preserve">Clarification: includes approximating non-integer solutions.
Boundary: systems represented in slope-intercept form only.
Clarification: includes recognizing that parallel lines have the same slope.
Note: substitution and elimination are Algebra 1. Graphing only at grade 8.</t>
  </si>
  <si>
    <t xml:space="preserve">11.07 (Tue 16 Feb); 11.08 (Wed 17 Feb)</t>
  </si>
  <si>
    <t xml:space="preserve">C8X, TS7, W9J</t>
  </si>
  <si>
    <t xml:space="preserve">MA.8.F.1.1</t>
  </si>
  <si>
    <t xml:space="preserve">Given a set of ordered pairs, a table, a graph or mapping diagram, determine whether the relationship is a function. Identify the domain and range of the relation.</t>
  </si>
  <si>
    <t xml:space="preserve">Clarification: refer to the input as the independent variable and the output as the dependent variable.
Boundary: represent domain and range as a list of numbers or as an inequality. A list cannot represent a relation with infinitely many values; an inequality cannot represent a discrete set.
Boundary (B1G-M): function notation f(x) is Algebra 1, not grade 8. "In Algebra 1, students will classify the function type and represent it using function notation."
⚠ Florida cautions against the vertical line test — see Part 5.</t>
  </si>
  <si>
    <t xml:space="preserve">12</t>
  </si>
  <si>
    <t xml:space="preserve">12.01+02 (Tue 23 Feb); 12.03 (Wed 24 Feb)</t>
  </si>
  <si>
    <t xml:space="preserve">LQJ, T7P, JT2, AEB, FSF</t>
  </si>
  <si>
    <t xml:space="preserve">MA.8.F.1.3</t>
  </si>
  <si>
    <t xml:space="preserve">Analyze a real-world written description or graphical representation of a functional relationship between two quantities and identify where the function is increasing, decreasing or constant.</t>
  </si>
  <si>
    <t xml:space="preserve">Boundary: continuous functions only.
Clarification: includes writing a description of a graph, or sketching a graph from a written description.
Boundary (B1G-M): students are not expected to recognize curves representing exponential growth or decay.</t>
  </si>
  <si>
    <t xml:space="preserve">12.04+05 (Thu 25 Feb); 12.06 (Fri 26 Feb)</t>
  </si>
  <si>
    <t xml:space="preserve">MA.8.F.1.2</t>
  </si>
  <si>
    <t xml:space="preserve">Given a function defined by a graph or an equation, determine whether the function is a linear function. Given an input-output table, determine whether it could represent a linear function.</t>
  </si>
  <si>
    <t xml:space="preserve">Clarification: includes recognizing that a table may not determine a function.</t>
  </si>
  <si>
    <t xml:space="preserve">12.07 (Tue 2 Mar); 12.08+09 (Wed 3 Mar)</t>
  </si>
  <si>
    <t xml:space="preserve">ESE, 7EK, 7N2, XB8, VGS</t>
  </si>
  <si>
    <t xml:space="preserve">MA.7.DP.1.5</t>
  </si>
  <si>
    <t xml:space="preserve">Given a real-world numerical or categorical data set, choose and create an appropriate graphical representation.</t>
  </si>
  <si>
    <t xml:space="preserve">Boundary — displays: histograms, bar charts, circle graphs, line plots, box plots, stem-and-leaf plots.</t>
  </si>
  <si>
    <t xml:space="preserve">13</t>
  </si>
  <si>
    <t xml:space="preserve">13.01+02+03 (Thu 11 Mar)</t>
  </si>
  <si>
    <t xml:space="preserve">MA.8.DP.1.1</t>
  </si>
  <si>
    <t xml:space="preserve">Given a set of real-world bivariate numerical data, construct a scatter plot or a line graph as appropriate for the context.</t>
  </si>
  <si>
    <t xml:space="preserve">Clarification: includes recognizing similarities and differences between the two and choosing based on context.
Boundary: data sets limited to 20 points.</t>
  </si>
  <si>
    <t xml:space="preserve">13.04+05 (Fri 12 Mar); 13.06 (Mon 15 Mar)</t>
  </si>
  <si>
    <t xml:space="preserve">ERM, TGQ, AVL, CG8, 9ER</t>
  </si>
  <si>
    <t xml:space="preserve">MA.8.DP.1.2</t>
  </si>
  <si>
    <t xml:space="preserve">Given a scatter plot within a real-world context, describe patterns of association.</t>
  </si>
  <si>
    <t xml:space="preserve">Clarification: descriptions include outliers; positive or negative; linear or nonlinear; strong or weak.
B1G-M: an association usually needs more than one descriptor — "strong, positive, linear," not just "positive."
B1G-M: "Outliers in scatter plots are different than outliers in box plots. There is no special rule determining if a data point is an outlier in a scatter plot."</t>
  </si>
  <si>
    <t xml:space="preserve">13.06 (Mon 15 Mar); 13.07+08 (Tue 16 Mar)</t>
  </si>
  <si>
    <t xml:space="preserve">AVL, CG8, 9ER, RP8, BG7, CM7</t>
  </si>
  <si>
    <t xml:space="preserve">MA.8.DP.1.3</t>
  </si>
  <si>
    <t xml:space="preserve">Given a scatter plot with a linear association, informally fit a straight line.</t>
  </si>
  <si>
    <t xml:space="preserve">Clarification: focus on the connection to linear functions.
Clarification: use tools including a ruler; draw a line with approximately the same number of points above and below.
No regression, no formula. "Informally" is the operative word.</t>
  </si>
  <si>
    <t xml:space="preserve">13.07+08 (Tue 16 Mar); 13.09 (Wed 17 Mar)</t>
  </si>
  <si>
    <t xml:space="preserve">RP8, BG7, CM7, 9DW, ZQ6</t>
  </si>
  <si>
    <t xml:space="preserve">MA.8.DP.2.1</t>
  </si>
  <si>
    <t xml:space="preserve">Determine the sample space for a repeated experiment.</t>
  </si>
  <si>
    <t xml:space="preserve">Clarification: record sample spaces using organized lists, tables or tree diagrams.
Boundary — the experiments allowed: tossing a fair coin · rolling a fair die · picking a card randomly from a deck with replacement · picking marbles randomly from a bag with replacement · spinning a fair spinner. That list is closed.
Boundary: repetition limited to two times, except for tossing a coin.</t>
  </si>
  <si>
    <t xml:space="preserve">13, 17</t>
  </si>
  <si>
    <t xml:space="preserve">T-C1 (Thu 18 Mar); 17.01–03 (Mon 26 Apr)</t>
  </si>
  <si>
    <t xml:space="preserve">MA.8.DP.2.2</t>
  </si>
  <si>
    <t xml:space="preserve">Find the theoretical probability of an event related to a repeated experiment.</t>
  </si>
  <si>
    <t xml:space="preserve">Clarification: represent probability as a fraction, percentage or decimal. Uses P(event) notation.
Same two boundaries as DP.2.1.
Assessment note: no blueprint row of its own — see Part 2.</t>
  </si>
  <si>
    <t xml:space="preserve">T-C2 (Fri 19 Mar); 17.01–03 (Mon 26 Apr)</t>
  </si>
  <si>
    <t xml:space="preserve">BDZ, 5ZY, FRL, P5R, AGW</t>
  </si>
  <si>
    <t xml:space="preserve">MA.8.AR.1.2</t>
  </si>
  <si>
    <t xml:space="preserve">Apply properties of operations to multiply two linear expressions with rational coefficients.</t>
  </si>
  <si>
    <t xml:space="preserve">Boundary: products where at least one factor is a monomial.</t>
  </si>
  <si>
    <t xml:space="preserve">14</t>
  </si>
  <si>
    <t xml:space="preserve">14.05+06 (Thu 1 Apr)</t>
  </si>
  <si>
    <t xml:space="preserve">MA.8.AR.1.3</t>
  </si>
  <si>
    <t xml:space="preserve">Rewrite the sum of two algebraic expressions having a common monomial factor as a common factor multiplied by the sum of two algebraic expressions.</t>
  </si>
  <si>
    <t xml:space="preserve">14.07+08 (Fri 2 Apr)</t>
  </si>
  <si>
    <t xml:space="preserve">MA.8.GR.2.1</t>
  </si>
  <si>
    <t xml:space="preserve">Given a preimage and image generated by a single transformation, identify the transformation that describes the relationship.</t>
  </si>
  <si>
    <t xml:space="preserve">Boundary: reflections, translations or rotations only (no dilations here).
Clarification: focus on preservation of congruence.
Boundary (B1G-M): not on the coordinate plane — that is GR.2.3. A single transformation means one vertical or one horizontal translation.</t>
  </si>
  <si>
    <t xml:space="preserve">15</t>
  </si>
  <si>
    <t xml:space="preserve">15.01 (Wed 7 Apr); 15.02+03 (Thu 8 Apr); 15.06 (Wed 14 Apr)</t>
  </si>
  <si>
    <t xml:space="preserve">WER, LPP, S8S, A5K, HJ9, XUS, RUP, VAY, HJU</t>
  </si>
  <si>
    <t xml:space="preserve">MA.8.GR.2.3</t>
  </si>
  <si>
    <t xml:space="preserve">Describe and apply the effect of a single transformation on two-dimensional figures using coordinates and the coordinate plane.</t>
  </si>
  <si>
    <t xml:space="preserve">Boundary: reflections, translations, rotations or dilations.
Boundary: lines of reflection limited to the x-axis, y-axis, or lines parallel to the axes.
Boundary: rotations about the origin only, limited to 90°, 180°, 270°, 360°.
Boundary: dilations centered at the origin only.
Boundary (B1G-M): a vertical and horizontal translation counts as two transformations — out of scope.</t>
  </si>
  <si>
    <t xml:space="preserve">15.03b (Fri 9 Apr); 15.04 (Mon 12 Apr); 15.05 (Tue 13 Apr); 15.06 (Wed 14 Apr); 15.08 (Mon 19 Apr)</t>
  </si>
  <si>
    <t xml:space="preserve">HJ9, XUS, RUP, QLJ, AQ8, AC9, HHS, VAY, HJU, 9T4, UV9, U85, CWB</t>
  </si>
  <si>
    <t xml:space="preserve">MA.8.GR.2.2</t>
  </si>
  <si>
    <t xml:space="preserve">Given a preimage and image generated by a single dilation, identify the scale factor that describes the relationship.</t>
  </si>
  <si>
    <t xml:space="preserve">Clarification: connects to scale drawings and proportions.
Clarification: similarity is preserved; congruence is not, unless the scale factor is 1.
Boundary (B1G-M): not on the coordinate plane. "The preimage and its vertices will not have prime notation."</t>
  </si>
  <si>
    <t xml:space="preserve">15.07+09 (Thu 15 Apr)</t>
  </si>
  <si>
    <t xml:space="preserve">MA.8.GR.1.6</t>
  </si>
  <si>
    <t xml:space="preserve">Develop and use formulas for the sums of the interior angles of regular polygons by decomposing them into triangles.</t>
  </si>
  <si>
    <t xml:space="preserve">Clarification: includes representing angle measures as algebraic expressions.
Students develop (n − 2)180°; it is not given.</t>
  </si>
  <si>
    <t xml:space="preserve">16</t>
  </si>
  <si>
    <t xml:space="preserve">16.03+04 (Wed 21 Apr)</t>
  </si>
  <si>
    <t xml:space="preserve">MA.8.DP.2.3</t>
  </si>
  <si>
    <t xml:space="preserve">Solve real-world problems involving probabilities related to single or repeated experiments, including making predictions based on theoretical probability.</t>
  </si>
  <si>
    <t xml:space="preserve">Clarification: connects to proportional relationships; P(event) notation.
Same two boundaries as DP.2.1.
Note this is the only grade 8 probability benchmark that mentions single experiments — and it is the one with a blueprint row.</t>
  </si>
  <si>
    <t xml:space="preserve">17</t>
  </si>
  <si>
    <t xml:space="preserve">17.04–06 (Tue 27 Apr)</t>
  </si>
  <si>
    <t xml:space="preserve">MA.912.AR.2.2</t>
  </si>
  <si>
    <t xml:space="preserve">Algebra 1</t>
  </si>
  <si>
    <t xml:space="preserve">Algebra 1 benchmark (PM3-window bridge); its wording is not in the Grade 8 source file.</t>
  </si>
  <si>
    <t xml:space="preserve">PM3 window</t>
  </si>
  <si>
    <t xml:space="preserve">PM3 (3 May)</t>
  </si>
  <si>
    <t xml:space="preserve">MA.912.AR.9.1</t>
  </si>
  <si>
    <t xml:space="preserve">MA.912.NSO.1.4</t>
  </si>
  <si>
    <t xml:space="preserve">Unit tests and progress monitoring</t>
  </si>
  <si>
    <t xml:space="preserve">Exam day 1</t>
  </si>
  <si>
    <t xml:space="preserve">Exam day 2</t>
  </si>
  <si>
    <t xml:space="preserve">Points</t>
  </si>
  <si>
    <t xml:space="preserve">Paper</t>
  </si>
  <si>
    <t xml:space="preserve">Key</t>
  </si>
  <si>
    <t xml:space="preserve">Unit Review (practice)</t>
  </si>
  <si>
    <t xml:space="preserve">Review key</t>
  </si>
  <si>
    <t xml:space="preserve">Reference Sheet</t>
  </si>
  <si>
    <t xml:space="preserve">Unit 1</t>
  </si>
  <si>
    <t xml:space="preserve">before 23 Sep</t>
  </si>
  <si>
    <t xml:space="preserve">Unit 2</t>
  </si>
  <si>
    <t xml:space="preserve">Unit 3</t>
  </si>
  <si>
    <t xml:space="preserve">Unit 4</t>
  </si>
  <si>
    <t xml:space="preserve">Unit 5</t>
  </si>
  <si>
    <t xml:space="preserve">Unit 6</t>
  </si>
  <si>
    <t xml:space="preserve">Unit 7</t>
  </si>
  <si>
    <t xml:space="preserve">Unit 8/9</t>
  </si>
  <si>
    <t xml:space="preserve">Unit 10</t>
  </si>
  <si>
    <t xml:space="preserve">Unit 11</t>
  </si>
  <si>
    <t xml:space="preserve">Unit 12</t>
  </si>
  <si>
    <t xml:space="preserve">Unit 13</t>
  </si>
  <si>
    <t xml:space="preserve">Unit 14</t>
  </si>
  <si>
    <t xml:space="preserve">Unit 15/16</t>
  </si>
  <si>
    <t xml:space="preserve">Unit 17</t>
  </si>
  <si>
    <t xml:space="preserve">PM2</t>
  </si>
  <si>
    <t xml:space="preserve">review days; the PM2 test date is set by the school</t>
  </si>
  <si>
    <t xml:space="preserve">the PM3 window; test date TBD by the school — the whole window is free of new content</t>
  </si>
  <si>
    <t xml:space="preserve">Unit 3 test — question map</t>
  </si>
  <si>
    <t xml:space="preserve">One paper over two periods; one point per lettered part. Transfer items are not on the practice test.</t>
  </si>
  <si>
    <t xml:space="preserve">Question</t>
  </si>
  <si>
    <t xml:space="preserve">Parts</t>
  </si>
  <si>
    <t xml:space="preserve">Section</t>
  </si>
  <si>
    <t xml:space="preserve">Format</t>
  </si>
  <si>
    <t xml:space="preserve">Transfer item</t>
  </si>
  <si>
    <t xml:space="preserve">Share of the test</t>
  </si>
  <si>
    <t xml:space="preserve">a–d</t>
  </si>
  <si>
    <t xml:space="preserve">Laws of Exponents</t>
  </si>
  <si>
    <t xml:space="preserve">a–c</t>
  </si>
  <si>
    <t xml:space="preserve">Multiple choice</t>
  </si>
  <si>
    <t xml:space="preserve">Written</t>
  </si>
  <si>
    <t xml:space="preserve">Integer Exponents</t>
  </si>
  <si>
    <t xml:space="preserve">Variable Bases</t>
  </si>
  <si>
    <t xml:space="preserve">Scientific Notation</t>
  </si>
  <si>
    <t xml:space="preserve">a–b</t>
  </si>
  <si>
    <t xml:space="preserve">Total</t>
  </si>
  <si>
    <t xml:space="preserve">Unit 4 test — question map</t>
  </si>
  <si>
    <t xml:space="preserve">Operations in Scientific Notation</t>
  </si>
  <si>
    <t xml:space="preserve">yes</t>
  </si>
  <si>
    <t xml:space="preserve">Real-World Problems and Significant Digits</t>
  </si>
  <si>
    <t xml:space="preserve">The Order of Operations with Exponents and Radicals</t>
  </si>
  <si>
    <t xml:space="preserve">September 2026</t>
  </si>
  <si>
    <t xml:space="preserve">Monday</t>
  </si>
  <si>
    <t xml:space="preserve">Tuesday</t>
  </si>
  <si>
    <t xml:space="preserve">Wednesday</t>
  </si>
  <si>
    <t xml:space="preserve">Thursday</t>
  </si>
  <si>
    <t xml:space="preserve">Friday</t>
  </si>
  <si>
    <t xml:space="preserve">21
Units 1–2</t>
  </si>
  <si>
    <t xml:space="preserve">22
Units 1–2</t>
  </si>
  <si>
    <t xml:space="preserve">23   3.01
Product laws of exponents</t>
  </si>
  <si>
    <t xml:space="preserve">24   3.02
Quotient laws of exponents</t>
  </si>
  <si>
    <t xml:space="preserve">25   3.03
Exponential expressions</t>
  </si>
  <si>
    <t xml:space="preserve">28   3.04
Negative exponent law</t>
  </si>
  <si>
    <t xml:space="preserve">29   3.05
Applying exponent laws</t>
  </si>
  <si>
    <t xml:space="preserve">30   3.06+07
Evaluating and equivalent expressions with integer exponents</t>
  </si>
  <si>
    <t xml:space="preserve">October 2026</t>
  </si>
  <si>
    <t xml:space="preserve">1   extra
A day off the plan (the log does not say which day, or why)</t>
  </si>
  <si>
    <t xml:space="preserve">2   extra
Extra review day</t>
  </si>
  <si>
    <t xml:space="preserve">5   T-A1
Thread A: the same laws with variable bases (14.1–14.2)</t>
  </si>
  <si>
    <t xml:space="preserve">6   T-A2
Thread A: negative exponents and multiple laws, variable bases (14.3–14.4)</t>
  </si>
  <si>
    <t xml:space="preserve">7   3.08
Large numbers in scientific notation</t>
  </si>
  <si>
    <t xml:space="preserve">8   off
State test — no class</t>
  </si>
  <si>
    <t xml:space="preserve">9   3.09
Small numbers in scientific notation; how many times larger</t>
  </si>
  <si>
    <t xml:space="preserve">12
No school</t>
  </si>
  <si>
    <t xml:space="preserve">13   spiral
Spiral day — mixed retrieval from the unit just finished and the two before it</t>
  </si>
  <si>
    <t xml:space="preserve">14   spiral
Spiral day — mixed retrieval from the unit just finished and the two before it</t>
  </si>
  <si>
    <t xml:space="preserve">15   3.X1
Unit 3 exam, day 1</t>
  </si>
  <si>
    <t xml:space="preserve">16   4.01
Add and subtract in scientific notation</t>
  </si>
  <si>
    <t xml:space="preserve">19   4.02+03
Multiply and divide in scientific notation</t>
  </si>
  <si>
    <t xml:space="preserve">20   4.04
Real-world scientific notation; significant digits</t>
  </si>
  <si>
    <t xml:space="preserve">21   4.05
Expressions with radicals (perfect squares to 225, cubes −125 to 125)</t>
  </si>
  <si>
    <t xml:space="preserve">22   4.06
Order of operations with exponents and radicals</t>
  </si>
  <si>
    <t xml:space="preserve">23   4.07+08
Real-world order-of-operations problems</t>
  </si>
  <si>
    <t xml:space="preserve">26   4.X1
Unit 4 exam, day 1</t>
  </si>
  <si>
    <t xml:space="preserve">27   4.X2
Unit 4 exam, day 2</t>
  </si>
  <si>
    <t xml:space="preserve">28   5.01
Scale drawings</t>
  </si>
  <si>
    <t xml:space="preserve">29   5.02+03
Scale factor: perimeter and area (k and k²)</t>
  </si>
  <si>
    <t xml:space="preserve">30   5.04
Real-world scale drawings</t>
  </si>
  <si>
    <t xml:space="preserve">November 2026</t>
  </si>
  <si>
    <t xml:space="preserve">2   5.06+07
Converting length across systems; currency</t>
  </si>
  <si>
    <t xml:space="preserve">3   5.08+09
Converting mass, area and volume across systems</t>
  </si>
  <si>
    <t xml:space="preserve">4   5.10+11
Multi-step proportion problems</t>
  </si>
  <si>
    <t xml:space="preserve">5   5.X1
Unit 5 exam, day 1</t>
  </si>
  <si>
    <t xml:space="preserve">6   5.X2
Unit 5 exam, day 2</t>
  </si>
  <si>
    <t xml:space="preserve">9   6.01+02
Triangle Inequality Theorem; converse of the Pythagorean Theorem</t>
  </si>
  <si>
    <t xml:space="preserve">10   6.03
Pythagorean Theorem (memorize)</t>
  </si>
  <si>
    <t xml:space="preserve">11
No school</t>
  </si>
  <si>
    <t xml:space="preserve">12   6.04
Pythagorean Theorem in real-world problems</t>
  </si>
  <si>
    <t xml:space="preserve">13   6.05
Distance on the coordinate plane</t>
  </si>
  <si>
    <t xml:space="preserve">16   6.06
Real-world coordinate-plane problems; perimeter</t>
  </si>
  <si>
    <t xml:space="preserve">17   T-B1
Thread B: angle pairs — supplementary, complementary, vertical, adjacent (16.1)</t>
  </si>
  <si>
    <t xml:space="preserve">18   T-B2
Thread B: interior and exterior angles of a triangle (16.2)</t>
  </si>
  <si>
    <t xml:space="preserve">19   6.07+08
Similar triangles; indirect measurement</t>
  </si>
  <si>
    <t xml:space="preserve">20   spiral
Spiral day — mixed retrieval from the unit just finished and the two before it</t>
  </si>
  <si>
    <t xml:space="preserve">23
No school</t>
  </si>
  <si>
    <t xml:space="preserve">24
No school</t>
  </si>
  <si>
    <t xml:space="preserve">25
No school</t>
  </si>
  <si>
    <t xml:space="preserve">26
No school</t>
  </si>
  <si>
    <t xml:space="preserve">27
No school</t>
  </si>
  <si>
    <t xml:space="preserve">30   6.X1
Unit 6 exam, day 1</t>
  </si>
  <si>
    <t xml:space="preserve">December 2026</t>
  </si>
  <si>
    <t xml:space="preserve">1   6.X2
Unit 6 exam, day 2</t>
  </si>
  <si>
    <t xml:space="preserve">2   flex
Flex day — reteach from exam evidence, or absorb a lost day</t>
  </si>
  <si>
    <t xml:space="preserve">3   7.01
Graphing proportional relationships</t>
  </si>
  <si>
    <t xml:space="preserve">4   7.02+03
Constant of proportionality (table, graph, description)</t>
  </si>
  <si>
    <t xml:space="preserve">7   7.04
Is it proportional?</t>
  </si>
  <si>
    <t xml:space="preserve">8   7.05+06
Equations of proportional relationships; translating representations</t>
  </si>
  <si>
    <t xml:space="preserve">9   7.07
Comparing proportional relationships</t>
  </si>
  <si>
    <t xml:space="preserve">10   7.X1
Unit 7 exam, day 1</t>
  </si>
  <si>
    <t xml:space="preserve">11   7.X2
Unit 7 exam, day 2</t>
  </si>
  <si>
    <t xml:space="preserve">14   PM2-R1
PM2 review 1: number system, exponents, scientific notation (whiteboards)</t>
  </si>
  <si>
    <t xml:space="preserve">15   PM2-R2
PM2 review 2: equations, inequalities, Pythagorean, angles (whiteboards)</t>
  </si>
  <si>
    <t xml:space="preserve">16   PM2-R3
PM2 review 3: proportional → linear preview; mixed FAST-shaped round</t>
  </si>
  <si>
    <t xml:space="preserve">17   8.01+02
Circle relationships; circumference</t>
  </si>
  <si>
    <t xml:space="preserve">18   8.03
Radius and diameter from circumference</t>
  </si>
  <si>
    <t xml:space="preserve">21
No school</t>
  </si>
  <si>
    <t xml:space="preserve">22
No school</t>
  </si>
  <si>
    <t xml:space="preserve">28
No school</t>
  </si>
  <si>
    <t xml:space="preserve">29
No school</t>
  </si>
  <si>
    <t xml:space="preserve">30
No school</t>
  </si>
  <si>
    <t xml:space="preserve">31
No school</t>
  </si>
  <si>
    <t xml:space="preserve">January 2027</t>
  </si>
  <si>
    <t xml:space="preserve">1
No school</t>
  </si>
  <si>
    <t xml:space="preserve">4
No school</t>
  </si>
  <si>
    <t xml:space="preserve">5
No school</t>
  </si>
  <si>
    <t xml:space="preserve">6   8.04+05
Area of a circle</t>
  </si>
  <si>
    <t xml:space="preserve">7   8.06
Circumference and area problems; sectors</t>
  </si>
  <si>
    <t xml:space="preserve">8   8.08+09
Sectors and circle graphs</t>
  </si>
  <si>
    <t xml:space="preserve">11   9.01+02
Surface area of cylinders from nets</t>
  </si>
  <si>
    <t xml:space="preserve">12   9.03+04+05
Volume of cylinders; problems</t>
  </si>
  <si>
    <t xml:space="preserve">14   off
State test — no class</t>
  </si>
  <si>
    <t xml:space="preserve">15   spiral
Spiral day — mixed retrieval from the unit just finished and the two before it</t>
  </si>
  <si>
    <t xml:space="preserve">18
No school</t>
  </si>
  <si>
    <t xml:space="preserve">19   spiral
Spiral day — mixed retrieval from the unit just finished and the two before it</t>
  </si>
  <si>
    <t xml:space="preserve">21   8/9.X1
Units 8–9 exam, day 1</t>
  </si>
  <si>
    <t xml:space="preserve">22   8/9.X2
Units 8–9 exam, day 2</t>
  </si>
  <si>
    <t xml:space="preserve">25   10.01
Proportional relationships revisited (linear ⇒ proportional?)</t>
  </si>
  <si>
    <t xml:space="preserve">26   10.02+03
Slope from two points, graphs, tables</t>
  </si>
  <si>
    <t xml:space="preserve">27   10.04
Slope in context</t>
  </si>
  <si>
    <t xml:space="preserve">28   10.05
Slope-intercept form; graph a line</t>
  </si>
  <si>
    <t xml:space="preserve">29   10.06
Graphing from tables and contexts</t>
  </si>
  <si>
    <t xml:space="preserve">February 2027</t>
  </si>
  <si>
    <t xml:space="preserve">1   10.07+08
Interpreting slope and intercept (graphs, equations, tables, descriptions; F↔C)</t>
  </si>
  <si>
    <t xml:space="preserve">2   10.09
Writing equations of lines</t>
  </si>
  <si>
    <t xml:space="preserve">3   10.10
Writing equations for contexts; lines of fit preview</t>
  </si>
  <si>
    <t xml:space="preserve">4   10.X1
Unit 10 exam, day 1</t>
  </si>
  <si>
    <t xml:space="preserve">5   10.X2
Unit 10 exam, day 2</t>
  </si>
  <si>
    <t xml:space="preserve">8   11.01
Equations with like terms and the distributive property</t>
  </si>
  <si>
    <t xml:space="preserve">9   11.02
Variables on both sides</t>
  </si>
  <si>
    <t xml:space="preserve">10   11.03
One, none, infinitely many solutions</t>
  </si>
  <si>
    <t xml:space="preserve">11   11.04
Multi-step equations</t>
  </si>
  <si>
    <t xml:space="preserve">12   11.05+06
Systems: which points are solutions; how many solutions</t>
  </si>
  <si>
    <t xml:space="preserve">15
No school</t>
  </si>
  <si>
    <t xml:space="preserve">16   11.07
Solving systems by graphing</t>
  </si>
  <si>
    <t xml:space="preserve">17   11.08
Systems in context (approximate solutions)</t>
  </si>
  <si>
    <t xml:space="preserve">18   11.X1
Unit 11 exam, day 1</t>
  </si>
  <si>
    <t xml:space="preserve">19   11.X2
Unit 11 exam, day 2</t>
  </si>
  <si>
    <t xml:space="preserve">22   flex
Flex day — reteach from exam evidence, or absorb a lost day</t>
  </si>
  <si>
    <t xml:space="preserve">23   12.01+02
Relations; domain and range</t>
  </si>
  <si>
    <t xml:space="preserve">24   12.03
Is it a function?</t>
  </si>
  <si>
    <t xml:space="preserve">25   12.04+05
Describing graphs: increasing, decreasing, constant</t>
  </si>
  <si>
    <t xml:space="preserve">26   12.06
Sketching graphs from descriptions</t>
  </si>
  <si>
    <t xml:space="preserve">March 2027</t>
  </si>
  <si>
    <t xml:space="preserve">1   off
State test — no class</t>
  </si>
  <si>
    <t xml:space="preserve">2   12.07
Functions from equations, tables, graphs</t>
  </si>
  <si>
    <t xml:space="preserve">3   12.08+09
Is it linear? (graphs, equations, tables)</t>
  </si>
  <si>
    <t xml:space="preserve">4   spiral
Spiral day — mixed retrieval from the unit just finished and the two before it</t>
  </si>
  <si>
    <t xml:space="preserve">8   12.X1
Unit 12 exam, day 1</t>
  </si>
  <si>
    <t xml:space="preserve">9   12.X2
Unit 12 exam, day 2</t>
  </si>
  <si>
    <t xml:space="preserve">10   flex
Flex day — reteach from exam evidence, or absorb a lost day</t>
  </si>
  <si>
    <t xml:space="preserve">11   13.01+02+03
Choosing and creating displays (numerical, categorical)</t>
  </si>
  <si>
    <t xml:space="preserve">12   13.04+05
Bivariate data; line graphs</t>
  </si>
  <si>
    <t xml:space="preserve">15   13.06
Scatter plots and association</t>
  </si>
  <si>
    <t xml:space="preserve">16   13.07+08
Lines of fit; outliers</t>
  </si>
  <si>
    <t xml:space="preserve">17   13.09
Interpreting the equation of a line of fit</t>
  </si>
  <si>
    <t xml:space="preserve">18   T-C1
Thread C: sample spaces of repeated experiments (17.1)</t>
  </si>
  <si>
    <t xml:space="preserve">19   T-C2
Thread C: theoretical probability of repeated experiments (17.2–17.3)</t>
  </si>
  <si>
    <t xml:space="preserve">29   13.X1
Unit 13 exam, day 1</t>
  </si>
  <si>
    <t xml:space="preserve">30   13.X2
Unit 13 exam, day 2</t>
  </si>
  <si>
    <t xml:space="preserve">31   14.01–04
Exponent laws with variable bases — consolidation of Thread A</t>
  </si>
  <si>
    <t xml:space="preserve">April 2027</t>
  </si>
  <si>
    <t xml:space="preserve">1   14.05+06
Multiplying a monomial by a linear expression</t>
  </si>
  <si>
    <t xml:space="preserve">2   14.07+08
Factoring a common monomial</t>
  </si>
  <si>
    <t xml:space="preserve">5   14.X1
Unit 14 exam, day 1</t>
  </si>
  <si>
    <t xml:space="preserve">6   14.X2
Unit 14 exam, day 2</t>
  </si>
  <si>
    <t xml:space="preserve">7   15.01
Slides, flips, spins</t>
  </si>
  <si>
    <t xml:space="preserve">8   15.02+03
Reflections, rotations, translations — identify and describe</t>
  </si>
  <si>
    <t xml:space="preserve">9   15.03b
Translations on the coordinate plane</t>
  </si>
  <si>
    <t xml:space="preserve">12   15.04
Reflections on the coordinate plane</t>
  </si>
  <si>
    <t xml:space="preserve">13   15.05
Rotations on the coordinate plane (about the origin)</t>
  </si>
  <si>
    <t xml:space="preserve">14   15.06
Describing rigid transformations; congruence</t>
  </si>
  <si>
    <t xml:space="preserve">15   15.07+09
Dilations and scale factor</t>
  </si>
  <si>
    <t xml:space="preserve">16
No school</t>
  </si>
  <si>
    <t xml:space="preserve">19   15.08
Dilations on the coordinate plane (centered at the origin)</t>
  </si>
  <si>
    <t xml:space="preserve">20   16.01+02
Angle relationships — consolidation of Thread B</t>
  </si>
  <si>
    <t xml:space="preserve">21   16.03+04
Interior angles of polygons</t>
  </si>
  <si>
    <t xml:space="preserve">22   15/16.X1
Units 15–16 exam, day 1</t>
  </si>
  <si>
    <t xml:space="preserve">23   15/16.X2
Units 15–16 exam, day 2</t>
  </si>
  <si>
    <t xml:space="preserve">26   17.01–03
Repeated experiments — consolidation of Thread C</t>
  </si>
  <si>
    <t xml:space="preserve">27   17.04–06
Predictions from theoretical probability</t>
  </si>
  <si>
    <t xml:space="preserve">28   spiral
Spiral day — mixed retrieval from the unit just finished and the two before it</t>
  </si>
  <si>
    <t xml:space="preserve">29   17.X1
Unit 17 exam, day 1</t>
  </si>
  <si>
    <t xml:space="preserve">30   17.X2
Unit 17 exam, day 2</t>
  </si>
  <si>
    <t xml:space="preserve">May 2027</t>
  </si>
  <si>
    <t xml:space="preserve">3   PM3
PM3 window</t>
  </si>
  <si>
    <t xml:space="preserve">4
PM3 window</t>
  </si>
  <si>
    <t xml:space="preserve">5
PM3 window</t>
  </si>
  <si>
    <t xml:space="preserve">6
PM3 window</t>
  </si>
  <si>
    <t xml:space="preserve">7
PM3 window</t>
  </si>
  <si>
    <t xml:space="preserve">10
PM3 window</t>
  </si>
  <si>
    <t xml:space="preserve">11
PM3 window</t>
  </si>
  <si>
    <t xml:space="preserve">12
PM3 window</t>
  </si>
  <si>
    <t xml:space="preserve">13
PM3 window</t>
  </si>
  <si>
    <t xml:space="preserve">14
PM3 window</t>
  </si>
  <si>
    <t xml:space="preserve">17
PM3 window</t>
  </si>
  <si>
    <t xml:space="preserve">18
PM3 window</t>
  </si>
  <si>
    <t xml:space="preserve">19
PM3 window</t>
  </si>
  <si>
    <t xml:space="preserve">20
PM3 window</t>
  </si>
  <si>
    <t xml:space="preserve">21
PM3 window</t>
  </si>
  <si>
    <t xml:space="preserve">24
PM3 window</t>
  </si>
  <si>
    <t xml:space="preserve">25
PM3 window</t>
  </si>
  <si>
    <t xml:space="preserve">26
PM3 window</t>
  </si>
  <si>
    <t xml:space="preserve">27
PM3 window</t>
  </si>
  <si>
    <t xml:space="preserve">28
PM3 window</t>
  </si>
  <si>
    <t xml:space="preserve">Term</t>
  </si>
  <si>
    <t xml:space="preserve">Definition</t>
  </si>
  <si>
    <t xml:space="preserve">base</t>
  </si>
  <si>
    <t xml:space="preserve">the number that is used as a factor: in 2³ the base is 2</t>
  </si>
  <si>
    <t xml:space="preserve">exponent</t>
  </si>
  <si>
    <t xml:space="preserve">the number of times the base is used as a factor: 2³ = 2 · 2 · 2</t>
  </si>
  <si>
    <t xml:space="preserve">power</t>
  </si>
  <si>
    <t xml:space="preserve">a base with an exponent, such as 2³; its value is 8</t>
  </si>
  <si>
    <t xml:space="preserve">product of powers law</t>
  </si>
  <si>
    <t xml:space="preserve">aᵐ · aⁿ = aᵐ⁺ⁿ — same base, add the exponents</t>
  </si>
  <si>
    <t xml:space="preserve">power of a product law</t>
  </si>
  <si>
    <t xml:space="preserve">(ab)ᵐ = aᵐ · bᵐ — the exponent goes to every factor</t>
  </si>
  <si>
    <t xml:space="preserve">power of a power law</t>
  </si>
  <si>
    <t xml:space="preserve">(aᵐ)ⁿ = aᵐⁿ — multiply the exponents</t>
  </si>
  <si>
    <t xml:space="preserve">identity exponent law</t>
  </si>
  <si>
    <t xml:space="preserve">a¹ = a</t>
  </si>
  <si>
    <t xml:space="preserve">quotient of powers law</t>
  </si>
  <si>
    <t xml:space="preserve">aᵐ/aⁿ = aᵐ⁻ⁿ, a ≠ 0 — same base, subtract the exponents</t>
  </si>
  <si>
    <t xml:space="preserve">power of a quotient law</t>
  </si>
  <si>
    <t xml:space="preserve">(a/b)ᵐ = aᵐ/bᵐ, b ≠ 0 — the exponent goes to numerator and denominator</t>
  </si>
  <si>
    <t xml:space="preserve">zero exponent law</t>
  </si>
  <si>
    <t xml:space="preserve">a⁰ = 1 for every nonzero a</t>
  </si>
  <si>
    <t xml:space="preserve">equivalent expressions</t>
  </si>
  <si>
    <t xml:space="preserve">two expressions with the same value for every choice of numbers; the laws of exponents turn one into the other</t>
  </si>
  <si>
    <t xml:space="preserve">evaluate</t>
  </si>
  <si>
    <t xml:space="preserve">find the single value of an expression</t>
  </si>
  <si>
    <t xml:space="preserve">plan</t>
  </si>
  <si>
    <t xml:space="preserve">the order in which you will apply the laws; any correct order gives the same value</t>
  </si>
  <si>
    <t xml:space="preserve">negative exponent law</t>
  </si>
  <si>
    <t xml:space="preserve">a⁻ⁿ = 1/aⁿ and 1/a⁻ⁿ = aⁿ, for nonzero a</t>
  </si>
  <si>
    <t xml:space="preserve">reciprocal</t>
  </si>
  <si>
    <t xml:space="preserve">the number that multiplies a given number to give 1: the reciprocal of 8 is 1/8</t>
  </si>
  <si>
    <t xml:space="preserve">opposite</t>
  </si>
  <si>
    <t xml:space="preserve">the number the same distance from 0 on the other side: the opposite of 8 is −8. A negative exponent asks for a reciprocal, never an opposite.</t>
  </si>
  <si>
    <t xml:space="preserve">reciprocal of a fraction</t>
  </si>
  <si>
    <t xml:space="preserve">swap numerator and denominator: the reciprocal of 2/5 is 5/2; the sign stays where it was</t>
  </si>
  <si>
    <t xml:space="preserve">rational base with a negative exponent</t>
  </si>
  <si>
    <t xml:space="preserve">(a/b)⁻ⁿ = (b/a)ⁿ — flip the base, make the exponent positive</t>
  </si>
  <si>
    <t xml:space="preserve">common base</t>
  </si>
  <si>
    <t xml:space="preserve">one base both expressions can be written with: 8⁵ and 2⁹ share the base 2, because 8 = 2³</t>
  </si>
  <si>
    <t xml:space="preserve">equivalent</t>
  </si>
  <si>
    <t xml:space="preserve">same value; the laws of exponents turn one form into the other</t>
  </si>
  <si>
    <t xml:space="preserve">monomial</t>
  </si>
  <si>
    <t xml:space="preserve">a number, a variable, or a product of a number and variables with whole-number exponents: 7, x, −3x²y⁵</t>
  </si>
  <si>
    <t xml:space="preserve">coefficient</t>
  </si>
  <si>
    <t xml:space="preserve">the number factor of a monomial: in −3x²y⁵ the coefficient is −3</t>
  </si>
  <si>
    <t xml:space="preserve">like bases</t>
  </si>
  <si>
    <t xml:space="preserve">powers of the same variable: x² and x⁵ have like bases; x² and y⁵ do not</t>
  </si>
  <si>
    <t xml:space="preserve">x⁻ⁿ = 1/xⁿ and 1/x⁻ⁿ = xⁿ, for nonzero x — the base moves across the fraction bar and the exponent turns positive</t>
  </si>
  <si>
    <t xml:space="preserve">simplified form</t>
  </si>
  <si>
    <t xml:space="preserve">for this unit: a single monomial, or a single fraction, with every exponent positive and no factor repeated</t>
  </si>
  <si>
    <t xml:space="preserve">scientific notation</t>
  </si>
  <si>
    <t xml:space="preserve">a number written as a product a × 10ⁿ where a is at least 1 and less than 10, and n is an integer: 2.6 × 10⁷</t>
  </si>
  <si>
    <t xml:space="preserve">standard form</t>
  </si>
  <si>
    <t xml:space="preserve">the number written out with all of its digits: 26,000,000</t>
  </si>
  <si>
    <t xml:space="preserve">the factor a in a × 10ⁿ; it must satisfy 1 ≤ a &lt; 10</t>
  </si>
  <si>
    <t xml:space="preserve">negative power of 10</t>
  </si>
  <si>
    <t xml:space="preserve">10⁻ⁿ = 1/10ⁿ: a 1 in the nth decimal place. 10⁻³ = 1/1,000 = 0.001</t>
  </si>
  <si>
    <t xml:space="preserve">a × 10ⁿ with 1 ≤ a &lt; 10 and n an integer — for a number less than 1, n is negative: 0.00025 = 2.5 × 10⁻⁴</t>
  </si>
  <si>
    <t xml:space="preserve">a number written as a × 10ⁿ, where a is at least 1 and less than 10 and n is an integer</t>
  </si>
  <si>
    <t xml:space="preserve">the factor a in a × 10ⁿ. In a finished answer it always satisfies 1 ≤ a &lt; 10</t>
  </si>
  <si>
    <t xml:space="preserve">common power of ten</t>
  </si>
  <si>
    <t xml:space="preserve">the matching power that two numbers are written over before they are added or subtracted — the place value they share</t>
  </si>
  <si>
    <t xml:space="preserve">10ᵐ · 10ⁿ = 10ᵐ⁺ⁿ — the law from 3.01, now doing the work on the powers of ten</t>
  </si>
  <si>
    <t xml:space="preserve">10ᵐ/10ⁿ = 10ᵐ⁻ⁿ — top minus bottom, from 3.02</t>
  </si>
  <si>
    <t xml:space="preserve">regrouping a product</t>
  </si>
  <si>
    <t xml:space="preserve">using the commutative and associative properties to write (2 × 10⁴)(3 × 10⁵) as (2 · 3)(10⁴ · 10⁵)</t>
  </si>
  <si>
    <t xml:space="preserve">significant digits</t>
  </si>
  <si>
    <t xml:space="preserve">the digits of a measurement that carry information: every nonzero digit, every zero between nonzero digits, and a trailing zero only when a decimal point is written</t>
  </si>
  <si>
    <t xml:space="preserve">leading zero</t>
  </si>
  <si>
    <t xml:space="preserve">a zero before the first nonzero digit. 0.0047 has two leading zeros and two significant digits</t>
  </si>
  <si>
    <t xml:space="preserve">measurement</t>
  </si>
  <si>
    <t xml:space="preserve">a quantity that was measured, so its last digit is uncertain. A count is not a measurement — 24 students is exactly 24, and 60 seconds in a minute is exact</t>
  </si>
  <si>
    <t xml:space="preserve">radical</t>
  </si>
  <si>
    <t xml:space="preserve">a root symbol together with everything under its bar: √36 is a square root, ∛64 is a cube root</t>
  </si>
  <si>
    <t xml:space="preserve">radicand</t>
  </si>
  <si>
    <t xml:space="preserve">the number under the radical bar. The bar groups it, so whatever is under it is evaluated before the root is taken</t>
  </si>
  <si>
    <t xml:space="preserve">principal square root</t>
  </si>
  <si>
    <t xml:space="preserve">the nonnegative one. √49 is 7 — not −7, and not both, even though (−7)² is also 49</t>
  </si>
  <si>
    <t xml:space="preserve">grouping symbol</t>
  </si>
  <si>
    <t xml:space="preserve">anything that holds part of an expression together and is finished first: parentheses, brackets, the radical bar and the fraction bar</t>
  </si>
  <si>
    <t xml:space="preserve">nested</t>
  </si>
  <si>
    <t xml:space="preserve">one grouping symbol inside another. The innermost one is finished first</t>
  </si>
  <si>
    <t xml:space="preserve">multi-step expression</t>
  </si>
  <si>
    <t xml:space="preserve">one that takes more than one operation to evaluate. Everything in this unit takes six steps or fewer</t>
  </si>
  <si>
    <t xml:space="preserve">formula</t>
  </si>
  <si>
    <t xml:space="preserve">a rule written with letters, such as K = (1/2)mv², that becomes a number once each letter is replaced by a value</t>
  </si>
  <si>
    <t xml:space="preserve">substitute</t>
  </si>
  <si>
    <t xml:space="preserve">replace a letter with its value — in parentheses, so that a negative value keeps its sign and a power stays attached to the whole value</t>
  </si>
  <si>
    <t xml:space="preserve">unit</t>
  </si>
  <si>
    <t xml:space="preserve">what the answer is counted in: feet, dollars, joules. A real-world answer without a unit is not an answer</t>
  </si>
  <si>
    <t xml:space="preserve">Title</t>
  </si>
  <si>
    <t xml:space="preserve">Periods</t>
  </si>
  <si>
    <t xml:space="preserve">Package folder</t>
  </si>
  <si>
    <t xml:space="preserve">START HERE</t>
  </si>
  <si>
    <t xml:space="preserve">Unit Review</t>
  </si>
  <si>
    <t xml:space="preserve">Unit Assessment</t>
  </si>
  <si>
    <t xml:space="preserve">Assessment key</t>
  </si>
  <si>
    <t xml:space="preserve">Slides folder</t>
  </si>
  <si>
    <t xml:space="preserve">Equations and Inequalities</t>
  </si>
  <si>
    <t xml:space="preserve">built (before the spec system; not covered by the checks)</t>
  </si>
  <si>
    <t xml:space="preserve">Real Numbers, Square Roots and Cube Roots</t>
  </si>
  <si>
    <t xml:space="preserve">Exponents and Scientific Notation</t>
  </si>
  <si>
    <t xml:space="preserve">built, audited 21 Sep 2026</t>
  </si>
  <si>
    <t xml:space="preserve">Solving Problems with Rational Numbers</t>
  </si>
  <si>
    <t xml:space="preserve">Solving Multi-Step Problems with Proportional Relationships</t>
  </si>
  <si>
    <t xml:space="preserve">Relationships in Triangles</t>
  </si>
  <si>
    <t xml:space="preserve">Representing Proportional Relationships</t>
  </si>
  <si>
    <t xml:space="preserve">Relationships in Circles</t>
  </si>
  <si>
    <t xml:space="preserve">Surface Area and Volume</t>
  </si>
  <si>
    <t xml:space="preserve">Linear Relationships</t>
  </si>
  <si>
    <t xml:space="preserve">Solving Equations and Systems of Equations</t>
  </si>
  <si>
    <t xml:space="preserve">Functions</t>
  </si>
  <si>
    <t xml:space="preserve">Representing Data</t>
  </si>
  <si>
    <t xml:space="preserve">Equivalent Algebraic Expressions</t>
  </si>
  <si>
    <t xml:space="preserve">Transformations</t>
  </si>
  <si>
    <t xml:space="preserve">Properties and Theorems of Angles</t>
  </si>
  <si>
    <t xml:space="preserve">Probability</t>
  </si>
  <si>
    <t xml:space="preserve">Periods counts this unit's rows on the Scope &amp; Sequence tab (exam, spiral and flex days included).</t>
  </si>
  <si>
    <t xml:space="preserve">Question Bank – Additional</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</si>
  <si>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</si>
  <si>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</si>
  <si>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</si>
  <si>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</si>
  <si>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</si>
  <si>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</si>
  <si>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</si>
  <si>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</si>
  <si>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</si>
  <si>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</si>
  <si>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2.01</t>
  </si>
  <si>
    <t xml:space="preserve">2.02</t>
  </si>
  <si>
    <t xml:space="preserve">2.03</t>
  </si>
  <si>
    <t xml:space="preserve">2.04</t>
  </si>
  <si>
    <t xml:space="preserve">2.05</t>
  </si>
  <si>
    <t xml:space="preserve">2.06</t>
  </si>
  <si>
    <t xml:space="preserve">What this is</t>
  </si>
  <si>
    <t xml:space="preserve">The 2026–27 plan for Grade 7 Accelerated (course 1205050) with everything for each day in one place: one row per class day from 23 September to 30 April, then the PM3 window (3–28 May).</t>
  </si>
  <si>
    <t xml:space="preserve">The tabs</t>
  </si>
  <si>
    <t xml:space="preserve">Today — the next class day (today's, on a class day), with its target, vocabulary, IXL and a tap-to-open link for every document; then the five days after it.</t>
  </si>
  <si>
    <t xml:space="preserve">Scope &amp; Sequence — every class day: the documents (slides, Teacher Edition, plan, question banks, independent set, and each one's answer key), IXL, learning target, essential question, vocabulary, benchmark wording, MTRs, the closure question and its answer, and the Math Nation lessons the day covers. Tap an MTR or closure cell for the note behind it.</t>
  </si>
  <si>
    <t xml:space="preserve">On an exam day the Slides column opens the test paper and the Bank key column its key; on a spiral day they open the Unit Review (which goes home as practice) and its key.</t>
  </si>
  <si>
    <t xml:space="preserve">IXL tracker — all 82 assignments with codes and dates. The two yellow columns are yours to fill in; Status follows today's date.</t>
  </si>
  <si>
    <t xml:space="preserve">Standards — every benchmark in the year: its wording and limits, the days that teach it, the review days, its points on each unit test, and its IXL skills.</t>
  </si>
  <si>
    <t xml:space="preserve">Unit tests — every test date, the PM windows, and a question-by-question map (benchmark and points) for each built test.</t>
  </si>
  <si>
    <t xml:space="preserve">Month calendar — a printable grid, one month per page.</t>
  </si>
  <si>
    <t xml:space="preserve">Vocabulary — every term and definition, by lesson.</t>
  </si>
  <si>
    <t xml:space="preserve">Units, Units 1–2 decks — unit-level documents, and the lesson decks for Units 1 and 2.</t>
  </si>
  <si>
    <t xml:space="preserve">Good to know</t>
  </si>
  <si>
    <t xml:space="preserve">Links open Google Drive, and they are live: each one looks the document's address up, in this file's hidden Drive tab, at the moment you open the file. A script in your own Google account refills that tab every hour from what is in your Drive right now, so a document that is replaced, moved or rebuilt is followed by itself — nobody remakes this sheet for that. If you edit a document, save your copy under the same file name in the folder My versions (inside your Windy Hill Master Folder): the link then opens yours. Anything of your own that you name for a lesson ("A7 3.01 …") turns up under "Everything for this lesson".</t>
  </si>
  <si>
    <t xml:space="preserve">Where your Drive does not hold a document — or before the script has ever run — its link is a search for the file's exact name instead: Drive opens showing that one file, and a tap opens it. "No results" means the file is not in your Drive yet.</t>
  </si>
  <si>
    <t xml:space="preserve">If Drive opens in the wrong Google account, switch to one the Windy Hill Master Folder is shared with (the round picture, top right) and tap the link again.</t>
  </si>
  <si>
    <t xml:space="preserve">A copy of this file that is still an Excel file (.xlsx) has an empty Drive tab, so all of its links are searches. The live copy is the Google Sheet of the same name that the script makes in your Windy Hill Master Folder (the Status tab of the Windy Hill Drive Index links to it).</t>
  </si>
  <si>
    <t xml:space="preserve">'not built yet' means the unit's documents do not exist yet. Units 5 onward fill in as they are built; this file is regenerated from the plan each time.</t>
  </si>
  <si>
    <t xml:space="preserve">The yellow cells in the IXL tracker are yours. In the live Google Sheet they stay: when a new edition of this sheet is published, the script puts the new contents into the same Google Sheet, so its address and your bookmark stay (should Google ever refuse, it makes a new sheet, and the Status tab of the Windy Hill Drive Index links to it), and it writes your ticks and notes back, lesson by lesson (a copy of them is kept on the Kept tab of the Windy Hill Drive Index). Anything typed anywhere else in this sheet is replaced by the next edition. An Excel copy (.xlsx) carries no ticks.</t>
  </si>
  <si>
    <t xml:space="preserve">IXL: every skill listed is required, to a SmartScore of 67, due at the start of the next class (ruling 28). Lessons in a row that use the same skills are one assignment, due after the last of them — the IXL due column already shows that date.</t>
  </si>
  <si>
    <t xml:space="preserve">'No school' days are the holidays in the plan (tools/scope_calendar.py), taken from the board-approved calendar — check them against the school's copy.</t>
  </si>
  <si>
    <t xml:space="preserve">Where it comes from</t>
  </si>
  <si>
    <t xml:space="preserve">Generated by tools/master_sheet.py (live Google Drive links) at commit 972a435e on 16 October 2026, from the calendar table, the IXL due-date sheet, the Source of Truth (benchmark wording), Florida's B.E.S.T. standards (MTR titles), the Math Nation table of contents, the lesson and unit specs, and the package folders. The plan is edited in scope_calendar.py; this file is never edited by hand — except the yellow cells in the IXL tracker, which are yours.</t>
  </si>
  <si>
    <t xml:space="preserve">Where</t>
  </si>
  <si>
    <t xml:space="preserve">Reads</t>
  </si>
  <si>
    <t xml:space="preserve">Opens</t>
  </si>
  <si>
    <t xml:space="preserve">https://drive.google.com/drive/search?q=title:%22A7%203.01%22</t>
  </si>
  <si>
    <t xml:space="preserve">'Unit tests'!E4</t>
  </si>
  <si>
    <t xml:space="preserve">open</t>
  </si>
  <si>
    <t xml:space="preserve">https://drive.google.com/drive/search?q=title:%22A7%203.02%22</t>
  </si>
  <si>
    <t xml:space="preserve">'Unit tests'!F4</t>
  </si>
  <si>
    <t xml:space="preserve">https://drive.google.com/drive/search?q=title:%22A7%203.03%22</t>
  </si>
  <si>
    <t xml:space="preserve">'Unit tests'!G4</t>
  </si>
  <si>
    <t xml:space="preserve">https://drive.google.com/drive/search?q=title:%22A7%203.04%22</t>
  </si>
  <si>
    <t xml:space="preserve">'Unit tests'!H4</t>
  </si>
  <si>
    <t xml:space="preserve">https://drive.google.com/drive/search?q=title:%22A7%203.05%22</t>
  </si>
  <si>
    <t xml:space="preserve">'Unit tests'!I4</t>
  </si>
  <si>
    <t xml:space="preserve">https://drive.google.com/drive/search?q=title:%22A7%203.06%22</t>
  </si>
  <si>
    <t xml:space="preserve">'Unit tests'!E5</t>
  </si>
  <si>
    <t xml:space="preserve">'Unit tests'!F5</t>
  </si>
  <si>
    <t xml:space="preserve">'Unit tests'!G5</t>
  </si>
  <si>
    <t xml:space="preserve">https://drive.google.com/drive/search?q=title:%22A7%203.T1%22</t>
  </si>
  <si>
    <t xml:space="preserve">'Unit tests'!H5</t>
  </si>
  <si>
    <t xml:space="preserve">https://drive.google.com/drive/search?q=title:%22A7%203.T2%22</t>
  </si>
  <si>
    <t xml:space="preserve">'Unit tests'!I5</t>
  </si>
  <si>
    <t xml:space="preserve">https://drive.google.com/drive/search?q=title:%22A7%203.08%22</t>
  </si>
  <si>
    <t xml:space="preserve">'Unit tests'!E6</t>
  </si>
  <si>
    <t xml:space="preserve">'Unit tests'!F6</t>
  </si>
  <si>
    <t xml:space="preserve">https://drive.google.com/drive/search?q=title:%22A7%203.09%22</t>
  </si>
  <si>
    <t xml:space="preserve">'Unit tests'!G6</t>
  </si>
  <si>
    <t xml:space="preserve">'Unit tests'!H6</t>
  </si>
  <si>
    <t xml:space="preserve">'Unit tests'!I6</t>
  </si>
  <si>
    <t xml:space="preserve">'Unit tests'!E7</t>
  </si>
  <si>
    <t xml:space="preserve">https://drive.google.com/drive/search?q=title:%22A7%204.01%22</t>
  </si>
  <si>
    <t xml:space="preserve">'Unit tests'!F7</t>
  </si>
  <si>
    <t xml:space="preserve">https://drive.google.com/drive/search?q=title:%22A7%204.02%22</t>
  </si>
  <si>
    <t xml:space="preserve">'Unit tests'!G7</t>
  </si>
  <si>
    <t xml:space="preserve">https://drive.google.com/drive/search?q=title:%22A7%204.04%22</t>
  </si>
  <si>
    <t xml:space="preserve">'Unit tests'!H7</t>
  </si>
  <si>
    <t xml:space="preserve">https://drive.google.com/drive/search?q=title:%22A7%204.05%22</t>
  </si>
  <si>
    <t xml:space="preserve">'Unit tests'!I7</t>
  </si>
  <si>
    <t xml:space="preserve">https://drive.google.com/drive/search?q=title:%22A7%204.06%22</t>
  </si>
  <si>
    <t xml:space="preserve">'Units'!G2</t>
  </si>
  <si>
    <t xml:space="preserve">folder</t>
  </si>
  <si>
    <t xml:space="preserve">https://drive.google.com/drive/search?q=title:%22A7%204.07%22</t>
  </si>
  <si>
    <t xml:space="preserve">'Units'!H2</t>
  </si>
  <si>
    <t xml:space="preserve">'Units'!I2</t>
  </si>
  <si>
    <t xml:space="preserve">'Units'!J2</t>
  </si>
  <si>
    <t xml:space="preserve">https://drive.google.com/drive/search?q=title:%22A7%205.01%22</t>
  </si>
  <si>
    <t xml:space="preserve">'Units'!K2</t>
  </si>
  <si>
    <t xml:space="preserve">https://drive.google.com/drive/search?q=title:%22A7%205.02%22</t>
  </si>
  <si>
    <t xml:space="preserve">'Units'!L2</t>
  </si>
  <si>
    <t xml:space="preserve">https://drive.google.com/drive/search?q=title:%22A7%205.04%22</t>
  </si>
  <si>
    <t xml:space="preserve">'Units'!M2</t>
  </si>
  <si>
    <t xml:space="preserve">https://drive.google.com/drive/search?q=title:%22A7%205.06%22</t>
  </si>
  <si>
    <t xml:space="preserve">'Units'!N2</t>
  </si>
  <si>
    <t xml:space="preserve">https://drive.google.com/drive/search?q=title:%22A7%205.08%22</t>
  </si>
  <si>
    <t xml:space="preserve">'Units'!G3</t>
  </si>
  <si>
    <t xml:space="preserve">https://drive.google.com/drive/search?q=title:%22A7%205.10%22</t>
  </si>
  <si>
    <t xml:space="preserve">'Units'!H3</t>
  </si>
  <si>
    <t xml:space="preserve">'Units'!I3</t>
  </si>
  <si>
    <t xml:space="preserve">'Units'!J3</t>
  </si>
  <si>
    <t xml:space="preserve">https://drive.google.com/drive/search?q=title:%22A7%206.01%22</t>
  </si>
  <si>
    <t xml:space="preserve">'Units'!K3</t>
  </si>
  <si>
    <t xml:space="preserve">https://drive.google.com/drive/search?q=title:%22A7%206.03%22</t>
  </si>
  <si>
    <t xml:space="preserve">'Units'!L3</t>
  </si>
  <si>
    <t xml:space="preserve">https://drive.google.com/drive/search?q=title:%22A7%206.04%22</t>
  </si>
  <si>
    <t xml:space="preserve">'Units'!M3</t>
  </si>
  <si>
    <t xml:space="preserve">https://drive.google.com/drive/search?q=title:%22A7%206.05%22</t>
  </si>
  <si>
    <t xml:space="preserve">'Units'!N3</t>
  </si>
  <si>
    <t xml:space="preserve">https://drive.google.com/drive/search?q=title:%22A7%206.06%22</t>
  </si>
  <si>
    <t xml:space="preserve">'Units'!G4</t>
  </si>
  <si>
    <t xml:space="preserve">https://drive.google.com/drive/search?q=title:%22A7%206.T1%22</t>
  </si>
  <si>
    <t xml:space="preserve">'Units'!H4</t>
  </si>
  <si>
    <t xml:space="preserve">https://drive.google.com/drive/search?q=title:%22A7%206.T2%22</t>
  </si>
  <si>
    <t xml:space="preserve">'Units'!I4</t>
  </si>
  <si>
    <t xml:space="preserve">https://drive.google.com/drive/search?q=title:%22A7%206.07%22</t>
  </si>
  <si>
    <t xml:space="preserve">'Units'!J4</t>
  </si>
  <si>
    <t xml:space="preserve">'Units'!K4</t>
  </si>
  <si>
    <t xml:space="preserve">'Units'!L4</t>
  </si>
  <si>
    <t xml:space="preserve">'Units'!M4</t>
  </si>
  <si>
    <t xml:space="preserve">'Units'!N4</t>
  </si>
  <si>
    <t xml:space="preserve">https://drive.google.com/drive/search?q=title:%22A7%207.01%22</t>
  </si>
  <si>
    <t xml:space="preserve">'Units'!G5</t>
  </si>
  <si>
    <t xml:space="preserve">https://drive.google.com/drive/search?q=title:%22A7%207.02%22</t>
  </si>
  <si>
    <t xml:space="preserve">'Units'!H5</t>
  </si>
  <si>
    <t xml:space="preserve">https://drive.google.com/drive/search?q=title:%22A7%207.04%22</t>
  </si>
  <si>
    <t xml:space="preserve">'Units'!I5</t>
  </si>
  <si>
    <t xml:space="preserve">https://drive.google.com/drive/search?q=title:%22A7%207.05%22</t>
  </si>
  <si>
    <t xml:space="preserve">'Units'!J5</t>
  </si>
  <si>
    <t xml:space="preserve">https://drive.google.com/drive/search?q=title:%22A7%207.07%22</t>
  </si>
  <si>
    <t xml:space="preserve">'Units'!K5</t>
  </si>
  <si>
    <t xml:space="preserve">'Units'!L5</t>
  </si>
  <si>
    <t xml:space="preserve">'Units'!M5</t>
  </si>
  <si>
    <t xml:space="preserve">'Units'!N5</t>
  </si>
  <si>
    <t xml:space="preserve">'Units 1–2 decks'!C2</t>
  </si>
  <si>
    <t xml:space="preserve">'Units 1–2 decks'!D2</t>
  </si>
  <si>
    <t xml:space="preserve">https://drive.google.com/drive/search?q=title:%22A7%208.01%22</t>
  </si>
  <si>
    <t xml:space="preserve">'Units 1–2 decks'!E2</t>
  </si>
  <si>
    <t xml:space="preserve">https://drive.google.com/drive/search?q=title:%22A7%208.03%22</t>
  </si>
  <si>
    <t xml:space="preserve">'Units 1–2 decks'!F2</t>
  </si>
  <si>
    <t xml:space="preserve">https://drive.google.com/drive/search?q=title:%22A7%208.04%22</t>
  </si>
  <si>
    <t xml:space="preserve">'Units 1–2 decks'!G2</t>
  </si>
  <si>
    <t xml:space="preserve">https://drive.google.com/drive/search?q=title:%22A7%208.06%22</t>
  </si>
  <si>
    <t xml:space="preserve">'Units 1–2 decks'!H2</t>
  </si>
  <si>
    <t xml:space="preserve">https://drive.google.com/drive/search?q=title:%22A7%208.08%22</t>
  </si>
  <si>
    <t xml:space="preserve">'Units 1–2 decks'!C3</t>
  </si>
  <si>
    <t xml:space="preserve">https://drive.google.com/drive/search?q=title:%22A7%209.01%22</t>
  </si>
  <si>
    <t xml:space="preserve">'Units 1–2 decks'!D3</t>
  </si>
  <si>
    <t xml:space="preserve">https://drive.google.com/drive/search?q=title:%22A7%209.03%22</t>
  </si>
  <si>
    <t xml:space="preserve">'Units 1–2 decks'!E3</t>
  </si>
  <si>
    <t xml:space="preserve">'Units 1–2 decks'!F3</t>
  </si>
  <si>
    <t xml:space="preserve">'Units 1–2 decks'!G3</t>
  </si>
  <si>
    <t xml:space="preserve">'Units 1–2 decks'!H3</t>
  </si>
  <si>
    <t xml:space="preserve">'Units 1–2 decks'!C4</t>
  </si>
  <si>
    <t xml:space="preserve">'Units 1–2 decks'!D4</t>
  </si>
  <si>
    <t xml:space="preserve">'Units 1–2 decks'!E4</t>
  </si>
  <si>
    <t xml:space="preserve">'Units 1–2 decks'!F4</t>
  </si>
  <si>
    <t xml:space="preserve">https://drive.google.com/drive/search?q=title:%22A7%2010.01%22</t>
  </si>
  <si>
    <t xml:space="preserve">'Units 1–2 decks'!G4</t>
  </si>
  <si>
    <t xml:space="preserve">https://drive.google.com/drive/search?q=title:%22A7%2010.02%22</t>
  </si>
  <si>
    <t xml:space="preserve">'Units 1–2 decks'!H4</t>
  </si>
  <si>
    <t xml:space="preserve">https://drive.google.com/drive/search?q=title:%22A7%2010.04%22</t>
  </si>
  <si>
    <t xml:space="preserve">'Units 1–2 decks'!C5</t>
  </si>
  <si>
    <t xml:space="preserve">https://drive.google.com/drive/search?q=title:%22A7%2010.05%22</t>
  </si>
  <si>
    <t xml:space="preserve">'Units 1–2 decks'!D5</t>
  </si>
  <si>
    <t xml:space="preserve">https://drive.google.com/drive/search?q=title:%22A7%2010.06%22</t>
  </si>
  <si>
    <t xml:space="preserve">'Units 1–2 decks'!E5</t>
  </si>
  <si>
    <t xml:space="preserve">https://drive.google.com/drive/search?q=title:%22A7%2010.07%22</t>
  </si>
  <si>
    <t xml:space="preserve">'Units 1–2 decks'!F5</t>
  </si>
  <si>
    <t xml:space="preserve">https://drive.google.com/drive/search?q=title:%22A7%2010.09%22</t>
  </si>
  <si>
    <t xml:space="preserve">'Units 1–2 decks'!G5</t>
  </si>
  <si>
    <t xml:space="preserve">https://drive.google.com/drive/search?q=title:%22A7%2010.10%22</t>
  </si>
  <si>
    <t xml:space="preserve">'Units 1–2 decks'!H5</t>
  </si>
  <si>
    <t xml:space="preserve">'Units 1–2 decks'!C6</t>
  </si>
  <si>
    <t xml:space="preserve">'Units 1–2 decks'!D6</t>
  </si>
  <si>
    <t xml:space="preserve">https://drive.google.com/drive/search?q=title:%22A7%2011.01%22</t>
  </si>
  <si>
    <t xml:space="preserve">'Units 1–2 decks'!E6</t>
  </si>
  <si>
    <t xml:space="preserve">https://drive.google.com/drive/search?q=title:%22A7%2011.02%22</t>
  </si>
  <si>
    <t xml:space="preserve">'Units 1–2 decks'!F6</t>
  </si>
  <si>
    <t xml:space="preserve">https://drive.google.com/drive/search?q=title:%22A7%2011.03%22</t>
  </si>
  <si>
    <t xml:space="preserve">'Units 1–2 decks'!G6</t>
  </si>
  <si>
    <t xml:space="preserve">https://drive.google.com/drive/search?q=title:%22A7%2011.04%22</t>
  </si>
  <si>
    <t xml:space="preserve">'Units 1–2 decks'!H6</t>
  </si>
  <si>
    <t xml:space="preserve">https://drive.google.com/drive/search?q=title:%22A7%2011.05%22</t>
  </si>
  <si>
    <t xml:space="preserve">'Units 1–2 decks'!C7</t>
  </si>
  <si>
    <t xml:space="preserve">https://drive.google.com/drive/search?q=title:%22A7%2011.07%22</t>
  </si>
  <si>
    <t xml:space="preserve">'Units 1–2 decks'!D7</t>
  </si>
  <si>
    <t xml:space="preserve">https://drive.google.com/drive/search?q=title:%22A7%2011.08%22</t>
  </si>
  <si>
    <t xml:space="preserve">'Units 1–2 decks'!E7</t>
  </si>
  <si>
    <t xml:space="preserve">'Units 1–2 decks'!F7</t>
  </si>
  <si>
    <t xml:space="preserve">'Units 1–2 decks'!G7</t>
  </si>
  <si>
    <t xml:space="preserve">'Units 1–2 decks'!H7</t>
  </si>
  <si>
    <t xml:space="preserve">https://drive.google.com/drive/search?q=title:%22A7%2012.01%22</t>
  </si>
  <si>
    <t xml:space="preserve">'Units 1–2 decks'!C8</t>
  </si>
  <si>
    <t xml:space="preserve">https://drive.google.com/drive/search?q=title:%22A7%2012.03%22</t>
  </si>
  <si>
    <t xml:space="preserve">'Units 1–2 decks'!D8</t>
  </si>
  <si>
    <t xml:space="preserve">https://drive.google.com/drive/search?q=title:%22A7%2012.04%22</t>
  </si>
  <si>
    <t xml:space="preserve">'Units 1–2 decks'!E8</t>
  </si>
  <si>
    <t xml:space="preserve">https://drive.google.com/drive/search?q=title:%22A7%2012.06%22</t>
  </si>
  <si>
    <t xml:space="preserve">'Units 1–2 decks'!F8</t>
  </si>
  <si>
    <t xml:space="preserve">'Units 1–2 decks'!G8</t>
  </si>
  <si>
    <t xml:space="preserve">https://drive.google.com/drive/search?q=title:%22A7%2012.07%22</t>
  </si>
  <si>
    <t xml:space="preserve">'Units 1–2 decks'!H8</t>
  </si>
  <si>
    <t xml:space="preserve">https://drive.google.com/drive/search?q=title:%22A7%2012.08%22</t>
  </si>
  <si>
    <t xml:space="preserve">'Units 1–2 decks'!C9</t>
  </si>
  <si>
    <t xml:space="preserve">'Units 1–2 decks'!D9</t>
  </si>
  <si>
    <t xml:space="preserve">'Units 1–2 decks'!E9</t>
  </si>
  <si>
    <t xml:space="preserve">'Units 1–2 decks'!F9</t>
  </si>
  <si>
    <t xml:space="preserve">'Units 1–2 decks'!G9</t>
  </si>
  <si>
    <t xml:space="preserve">https://drive.google.com/drive/search?q=title:%22A7%2013.01%22</t>
  </si>
  <si>
    <t xml:space="preserve">'Units 1–2 decks'!H9</t>
  </si>
  <si>
    <t xml:space="preserve">https://drive.google.com/drive/search?q=title:%22A7%2013.04%22</t>
  </si>
  <si>
    <t xml:space="preserve">'Units 1–2 decks'!C10</t>
  </si>
  <si>
    <t xml:space="preserve">https://drive.google.com/drive/search?q=title:%22A7%2013.06%22</t>
  </si>
  <si>
    <t xml:space="preserve">'Units 1–2 decks'!D10</t>
  </si>
  <si>
    <t xml:space="preserve">https://drive.google.com/drive/search?q=title:%22A7%2013.07%22</t>
  </si>
  <si>
    <t xml:space="preserve">'Units 1–2 decks'!E10</t>
  </si>
  <si>
    <t xml:space="preserve">https://drive.google.com/drive/search?q=title:%22A7%2013.09%22</t>
  </si>
  <si>
    <t xml:space="preserve">'Units 1–2 decks'!F10</t>
  </si>
  <si>
    <t xml:space="preserve">https://drive.google.com/drive/search?q=title:%22A7%2013.T1%22</t>
  </si>
  <si>
    <t xml:space="preserve">'Units 1–2 decks'!G10</t>
  </si>
  <si>
    <t xml:space="preserve">https://drive.google.com/drive/search?q=title:%22A7%2013.T2%22</t>
  </si>
  <si>
    <t xml:space="preserve">'Units 1–2 decks'!H10</t>
  </si>
  <si>
    <t xml:space="preserve">'Units 1–2 decks'!C11</t>
  </si>
  <si>
    <t xml:space="preserve">'Units 1–2 decks'!D11</t>
  </si>
  <si>
    <t xml:space="preserve">https://drive.google.com/drive/search?q=title:%22A7%2014.01%22</t>
  </si>
  <si>
    <t xml:space="preserve">'Units 1–2 decks'!E11</t>
  </si>
  <si>
    <t xml:space="preserve">https://drive.google.com/drive/search?q=title:%22A7%2014.05%22</t>
  </si>
  <si>
    <t xml:space="preserve">'Units 1–2 decks'!F11</t>
  </si>
  <si>
    <t xml:space="preserve">https://drive.google.com/drive/search?q=title:%22A7%2014.07%22</t>
  </si>
  <si>
    <t xml:space="preserve">'Units 1–2 decks'!G11</t>
  </si>
  <si>
    <t xml:space="preserve">'Units 1–2 decks'!H11</t>
  </si>
  <si>
    <t xml:space="preserve">'Units 1–2 decks'!C12</t>
  </si>
  <si>
    <t xml:space="preserve">https://drive.google.com/drive/search?q=title:%22A7%2015.01%22</t>
  </si>
  <si>
    <t xml:space="preserve">'Units 1–2 decks'!D12</t>
  </si>
  <si>
    <t xml:space="preserve">https://drive.google.com/drive/search?q=title:%22A7%2015.02%22</t>
  </si>
  <si>
    <t xml:space="preserve">'Units 1–2 decks'!E12</t>
  </si>
  <si>
    <t xml:space="preserve">https://drive.google.com/drive/search?q=title:%22A7%2015.03b%22</t>
  </si>
  <si>
    <t xml:space="preserve">'Units 1–2 decks'!F12</t>
  </si>
  <si>
    <t xml:space="preserve">https://drive.google.com/drive/search?q=title:%22A7%2015.04%22</t>
  </si>
  <si>
    <t xml:space="preserve">'Units 1–2 decks'!G12</t>
  </si>
  <si>
    <t xml:space="preserve">https://drive.google.com/drive/search?q=title:%22A7%2015.05%22</t>
  </si>
  <si>
    <t xml:space="preserve">'Units 1–2 decks'!H12</t>
  </si>
  <si>
    <t xml:space="preserve">https://drive.google.com/drive/search?q=title:%22A7%2015.06%22</t>
  </si>
  <si>
    <t xml:space="preserve">'Units 1–2 decks'!C13</t>
  </si>
  <si>
    <t xml:space="preserve">https://drive.google.com/drive/search?q=title:%22A7%2015.07%22</t>
  </si>
  <si>
    <t xml:space="preserve">'Units 1–2 decks'!D13</t>
  </si>
  <si>
    <t xml:space="preserve">https://drive.google.com/drive/search?q=title:%22A7%2015.08%22</t>
  </si>
  <si>
    <t xml:space="preserve">'Units 1–2 decks'!E13</t>
  </si>
  <si>
    <t xml:space="preserve">https://drive.google.com/drive/search?q=title:%22A7%2016.01%22</t>
  </si>
  <si>
    <t xml:space="preserve">'Units 1–2 decks'!F13</t>
  </si>
  <si>
    <t xml:space="preserve">https://drive.google.com/drive/search?q=title:%22A7%2016.03%22</t>
  </si>
  <si>
    <t xml:space="preserve">'Units 1–2 decks'!G13</t>
  </si>
  <si>
    <t xml:space="preserve">'Units 1–2 decks'!H13</t>
  </si>
  <si>
    <t xml:space="preserve">'Units 1–2 decks'!C14</t>
  </si>
  <si>
    <t xml:space="preserve">https://drive.google.com/drive/search?q=title:%22A7%2017.01%22</t>
  </si>
  <si>
    <t xml:space="preserve">'Units 1–2 decks'!D14</t>
  </si>
  <si>
    <t xml:space="preserve">https://drive.google.com/drive/search?q=title:%22A7%2017.04%22</t>
  </si>
  <si>
    <t xml:space="preserve">'Units 1–2 decks'!E14</t>
  </si>
  <si>
    <t xml:space="preserve">'Units 1–2 decks'!F14</t>
  </si>
  <si>
    <t xml:space="preserve">'Units 1–2 decks'!G14</t>
  </si>
  <si>
    <t xml:space="preserve">'Units 1–2 decks'!H14</t>
  </si>
  <si>
    <t xml:space="preserve">'Units 1–2 decks'!C15</t>
  </si>
  <si>
    <t xml:space="preserve">'Units 1–2 decks'!D15</t>
  </si>
  <si>
    <t xml:space="preserve">'Units 1–2 decks'!E15</t>
  </si>
  <si>
    <t xml:space="preserve">'Units 1–2 decks'!F15</t>
  </si>
  <si>
    <t xml:space="preserve">'Units 1–2 decks'!G15</t>
  </si>
  <si>
    <t xml:space="preserve">'Units 1–2 decks'!H15</t>
  </si>
  <si>
    <t xml:space="preserve">'Units 1–2 decks'!C16</t>
  </si>
  <si>
    <t xml:space="preserve">'Units 1–2 decks'!D16</t>
  </si>
  <si>
    <t xml:space="preserve">'Units 1–2 decks'!E16</t>
  </si>
  <si>
    <t xml:space="preserve">'Units 1–2 decks'!F16</t>
  </si>
  <si>
    <t xml:space="preserve">'Units 1–2 decks'!G16</t>
  </si>
  <si>
    <t xml:space="preserve">'Units 1–2 decks'!H16</t>
  </si>
  <si>
    <t xml:space="preserve">'Units 1–2 decks'!C17</t>
  </si>
  <si>
    <t xml:space="preserve">'Units 1–2 decks'!D17</t>
  </si>
  <si>
    <t xml:space="preserve">'Units 1–2 decks'!F17</t>
  </si>
  <si>
    <t xml:space="preserve">'Units 1–2 decks'!H17</t>
  </si>
  <si>
    <t xml:space="preserve">windy-hill-drive</t>
  </si>
  <si>
    <t xml:space="preserve">v2</t>
  </si>
  <si>
    <t xml:space="preserve">not filled yet: the Windy Hill script in your Google account fills this tab every hour</t>
  </si>
  <si>
    <t xml:space="preserve">0</t>
  </si>
</sst>
</file>

<file path=xl/styles.xml><?xml version="1.0" encoding="utf-8"?>
<styleSheet xmlns="http://schemas.openxmlformats.org/spreadsheetml/2006/main">
  <numFmts count="8">
    <numFmt numFmtId="164" formatCode="General"/>
    <numFmt numFmtId="165" formatCode="dddd\ d\ mmmm\ yyyy"/>
    <numFmt numFmtId="166" formatCode="ddd\ d\ mmm"/>
    <numFmt numFmtId="167" formatCode="General"/>
    <numFmt numFmtId="168" formatCode="d\ mmm\ yyyy"/>
    <numFmt numFmtId="169" formatCode="ddd\ d\ mmm\ yyyy"/>
    <numFmt numFmtId="170" formatCode="0%"/>
    <numFmt numFmtId="171" formatCode="@"/>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1"/>
      <color rgb="FF1F3864"/>
      <name val="Arial"/>
      <family val="0"/>
      <charset val="1"/>
    </font>
    <font>
      <b val="true"/>
      <sz val="10"/>
      <name val="Arial"/>
      <family val="0"/>
      <charset val="1"/>
    </font>
    <font>
      <sz val="10"/>
      <name val="Arial"/>
      <family val="0"/>
      <charset val="1"/>
    </font>
    <font>
      <u val="single"/>
      <sz val="10"/>
      <color rgb="FF0563C1"/>
      <name val="Arial"/>
      <family val="0"/>
      <charset val="1"/>
    </font>
    <font>
      <b val="true"/>
      <sz val="10"/>
      <color rgb="FFFFFFFF"/>
      <name val="Arial"/>
      <family val="0"/>
      <charset val="1"/>
    </font>
    <font>
      <i val="true"/>
      <sz val="10"/>
      <color rgb="FF808080"/>
      <name val="Arial"/>
      <family val="0"/>
      <charset val="1"/>
    </font>
    <font>
      <sz val="10"/>
      <name val="Arial"/>
      <family val="2"/>
    </font>
  </fonts>
  <fills count="9">
    <fill>
      <patternFill patternType="none"/>
    </fill>
    <fill>
      <patternFill patternType="gray125"/>
    </fill>
    <fill>
      <patternFill patternType="solid">
        <fgColor rgb="FF1F3864"/>
        <bgColor rgb="FF333333"/>
      </patternFill>
    </fill>
    <fill>
      <patternFill patternType="solid">
        <fgColor rgb="FFF2F7FC"/>
        <bgColor rgb="FFFFFFFF"/>
      </patternFill>
    </fill>
    <fill>
      <patternFill patternType="solid">
        <fgColor rgb="FFEDEDED"/>
        <bgColor rgb="FFE2EFDA"/>
      </patternFill>
    </fill>
    <fill>
      <patternFill patternType="solid">
        <fgColor rgb="FFFCE4D6"/>
        <bgColor rgb="FFFFF2CC"/>
      </patternFill>
    </fill>
    <fill>
      <patternFill patternType="solid">
        <fgColor rgb="FFFFFFFF"/>
        <bgColor rgb="FFF2F7FC"/>
      </patternFill>
    </fill>
    <fill>
      <patternFill patternType="solid">
        <fgColor rgb="FFFFF2CC"/>
        <bgColor rgb="FFFCE4D6"/>
      </patternFill>
    </fill>
    <fill>
      <patternFill patternType="solid">
        <fgColor rgb="FFD9D9D9"/>
        <bgColor rgb="FFE2EFDA"/>
      </patternFill>
    </fill>
  </fills>
  <borders count="3">
    <border diagonalUp="false" diagonalDown="false">
      <left/>
      <right/>
      <top/>
      <bottom/>
      <diagonal/>
    </border>
    <border diagonalUp="false" diagonalDown="false">
      <left/>
      <right/>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6" fontId="7" fillId="0" borderId="1" xfId="0" applyFont="true" applyBorder="true" applyAlignment="true" applyProtection="false">
      <alignment horizontal="left"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7" fontId="10" fillId="0" borderId="0" xfId="0" applyFont="true" applyBorder="false" applyAlignment="true" applyProtection="false">
      <alignment horizontal="left" vertical="top" textRotation="0" wrapText="false" indent="0" shrinkToFit="false"/>
      <protection locked="true" hidden="false"/>
    </xf>
    <xf numFmtId="168" fontId="10" fillId="0" borderId="0" xfId="0" applyFont="true" applyBorder="false" applyAlignment="true" applyProtection="false">
      <alignment horizontal="left" vertical="top" textRotation="0" wrapText="false" indent="0" shrinkToFit="false"/>
      <protection locked="true" hidden="false"/>
    </xf>
    <xf numFmtId="169"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9"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6" fontId="7" fillId="4"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6" fontId="7" fillId="5" borderId="1" xfId="0" applyFont="true" applyBorder="true" applyAlignment="true" applyProtection="false">
      <alignment horizontal="general" vertical="top" textRotation="0" wrapText="false" indent="0" shrinkToFit="false"/>
      <protection locked="true" hidden="false"/>
    </xf>
    <xf numFmtId="169"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6" fontId="7" fillId="6"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6" borderId="1" xfId="0" applyFont="true" applyBorder="tru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true" applyProtection="false">
      <alignment horizontal="center" vertical="top" textRotation="0" wrapText="false" indent="0" shrinkToFit="false"/>
      <protection locked="true" hidden="false"/>
    </xf>
    <xf numFmtId="167" fontId="6" fillId="0" borderId="1" xfId="0" applyFont="true" applyBorder="true" applyAlignment="true" applyProtection="false">
      <alignment horizontal="center" vertical="top"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7" fillId="4" borderId="2" xfId="0" applyFont="true" applyBorder="true" applyAlignment="true" applyProtection="false">
      <alignment horizontal="general" vertical="top" textRotation="0" wrapText="true" indent="0" shrinkToFit="false"/>
      <protection locked="true" hidden="false"/>
    </xf>
    <xf numFmtId="164" fontId="10" fillId="8" borderId="2" xfId="0" applyFont="true" applyBorder="true" applyAlignment="true" applyProtection="false">
      <alignment horizontal="general" vertical="top" textRotation="0" wrapText="true" indent="0" shrinkToFit="false"/>
      <protection locked="true" hidden="false"/>
    </xf>
    <xf numFmtId="164" fontId="7" fillId="5"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EDEDED"/>
          <bgColor rgb="FF000000"/>
        </patternFill>
      </fill>
    </dxf>
    <dxf>
      <fill>
        <patternFill patternType="solid">
          <fgColor rgb="FFF2F7FC"/>
          <bgColor rgb="FF000000"/>
        </patternFill>
      </fill>
    </dxf>
    <dxf>
      <fill>
        <patternFill patternType="solid">
          <fgColor rgb="FFFCE4D6"/>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808080"/>
          <bgColor rgb="FF000000"/>
        </patternFill>
      </fill>
    </dxf>
    <dxf>
      <fill>
        <patternFill patternType="solid">
          <fgColor rgb="FFFFF2CC"/>
          <bgColor rgb="FF000000"/>
        </patternFill>
      </fill>
    </dxf>
    <dxf>
      <fill>
        <patternFill patternType="solid">
          <fgColor rgb="FFF8CBAD"/>
          <bgColor rgb="FF000000"/>
        </patternFill>
      </fill>
    </dxf>
    <dxf>
      <fill>
        <patternFill>
          <bgColor rgb="FFE2EFDA"/>
        </patternFill>
      </fill>
    </dxf>
    <dxf>
      <fill>
        <patternFill>
          <bgColor rgb="FFF8CBAD"/>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7FC"/>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16"/>
  </cols>
  <sheetData>
    <row r="1" customFormat="false" ht="17.35" hidden="false" customHeight="false" outlineLevel="0" collapsed="false">
      <c r="A1" s="1" t="s">
        <v>0</v>
      </c>
      <c r="B1" s="2" t="n">
        <f aca="true">TODAY()</f>
        <v>46311</v>
      </c>
    </row>
    <row r="3" customFormat="false" ht="15" hidden="false" customHeight="false" outlineLevel="0" collapsed="false">
      <c r="A3" s="3" t="s">
        <v>1</v>
      </c>
      <c r="B3" s="4" t="str">
        <f aca="true">IF($B$44&gt;131,"The school year has ended.",IF(INDEX('Scope &amp; Sequence'!$A$2:$A$132,$B$44)=TODAY(),"Today's class",IF(INDEX('Scope &amp; Sequence'!$A$2:$A$132,$B$44)&lt;TODAY(),"The PM3 window (3–28 May)","Next class: "&amp;TEXT(INDEX('Scope &amp; Sequence'!$A$2:$A$132,$B$44),"dddd d mmmm"))))</f>
        <v>Today's class</v>
      </c>
    </row>
    <row r="5" customFormat="false" ht="15" hidden="false" customHeight="false" outlineLevel="0" collapsed="false">
      <c r="A5" s="5" t="s">
        <v>2</v>
      </c>
      <c r="B5" s="6" t="str">
        <f aca="false">IF($B$44&gt;131,"",INDEX('Scope &amp; Sequence'!$D$2:$D$132,$B$44)&amp;"   "&amp;INDEX('Scope &amp; Sequence'!$E$2:$E$132,$B$44))</f>
        <v>4.01   Add and subtract in scientific notation</v>
      </c>
    </row>
    <row r="6" customFormat="false" ht="23.85" hidden="false" customHeight="false" outlineLevel="0" collapsed="false">
      <c r="A6" s="5" t="s">
        <v>3</v>
      </c>
      <c r="B6" s="6" t="str">
        <f aca="false">IF($B$44&gt;131,"",INDEX('Scope &amp; Sequence'!$T$2:$T$132,$B$44)&amp;"")</f>
        <v>I can add and subtract two numbers written in scientific notation, and write the answer in scientific notation.</v>
      </c>
    </row>
    <row r="7" customFormat="false" ht="23.85" hidden="false" customHeight="false" outlineLevel="0" collapsed="false">
      <c r="A7" s="5" t="s">
        <v>4</v>
      </c>
      <c r="B7" s="6" t="str">
        <f aca="false">IF($B$44&gt;131,"",INDEX('Scope &amp; Sequence'!$U$2:$U$132,$B$44)&amp;"")</f>
        <v>Why must two numbers written in scientific notation carry the same power of ten before they can be added?</v>
      </c>
    </row>
    <row r="8" customFormat="false" ht="15" hidden="false" customHeight="false" outlineLevel="0" collapsed="false">
      <c r="A8" s="5" t="s">
        <v>5</v>
      </c>
      <c r="B8" s="6" t="str">
        <f aca="false">IF($B$44&gt;131,"",INDEX('Scope &amp; Sequence'!$V$2:$V$132,$B$44)&amp;"")</f>
        <v>scientific notation, coefficient, common power of ten</v>
      </c>
    </row>
    <row r="9" customFormat="false" ht="15" hidden="false" customHeight="false" outlineLevel="0" collapsed="false">
      <c r="A9" s="5" t="s">
        <v>6</v>
      </c>
      <c r="B9" s="6" t="str">
        <f aca="false">IF($B$44&gt;131,"",INDEX('Scope &amp; Sequence'!$W$2:$W$132,$B$44)&amp;"")</f>
        <v>8.NSO.1.5</v>
      </c>
    </row>
    <row r="10" customFormat="false" ht="15" hidden="false" customHeight="false" outlineLevel="0" collapsed="false">
      <c r="A10" s="5" t="s">
        <v>7</v>
      </c>
      <c r="B10" s="6" t="str">
        <f aca="false">IF($B$44&gt;131,"",IF(INDEX('Scope &amp; Sequence'!$R$2:$R$132,$B$44)&amp;""="","none",INDEX('Scope &amp; Sequence'!$R$2:$R$132,$B$44)&amp;"   — due "&amp;TEXT(INDEX('Scope &amp; Sequence'!$S$2:$S$132,$B$44),"ddd d mmm")))</f>
        <v>Add and subtract numbers written in scientific notation — HUR   — due Mon 19 Oct</v>
      </c>
    </row>
    <row r="11" customFormat="false" ht="15" hidden="false" customHeight="false" outlineLevel="0" collapsed="false">
      <c r="A11" s="5" t="s">
        <v>8</v>
      </c>
      <c r="B11" s="6" t="str">
        <f aca="false">IF($B$44&gt;131,"",IFERROR(INDEX('IXL tracker'!$D$5:$D$86,MATCH(INDEX('Scope &amp; Sequence'!$A$2:$A$132,$B$44),'IXL tracker'!$G$5:$G$86,0)),"nothing due"))</f>
        <v>nothing due</v>
      </c>
    </row>
    <row r="12" customFormat="false" ht="23.85" hidden="false" customHeight="false" outlineLevel="0" collapsed="false">
      <c r="A12" s="5" t="s">
        <v>9</v>
      </c>
      <c r="B12" s="6" t="str">
        <f aca="false">IF($B$44&gt;131,"",INDEX('Scope &amp; Sequence'!$Z$2:$Z$132,$B$44)&amp;"")</f>
        <v>Devon writes (1.9 × 10²) + (6.6 × 10⁴) = 8.5 × 10⁶. Name the two mistakes he made, and give the correct sum.</v>
      </c>
    </row>
    <row r="14" customFormat="false" ht="15" hidden="false" customHeight="false" outlineLevel="0" collapsed="false">
      <c r="A14" s="4" t="s">
        <v>10</v>
      </c>
    </row>
    <row r="15" customFormat="false" ht="15" hidden="false" customHeight="false" outlineLevel="0" collapsed="false">
      <c r="A15" s="7" t="s">
        <v>11</v>
      </c>
      <c r="B15" s="8" t="str">
        <f aca="false">IF($B$44&gt;131,"—",IF(INDEX(Links!$B$2:$B$132,$B$44)&amp;""="","—",HYPERLINK(INDEX(Links!$B$2:$B$132,$B$44),INDEX('Scope &amp; Sequence'!$F$2:$F$132,$B$44)&amp;"")))</f>
        <v>open</v>
      </c>
    </row>
    <row r="16" customFormat="false" ht="15" hidden="false" customHeight="false" outlineLevel="0" collapsed="false">
      <c r="A16" s="7" t="s">
        <v>12</v>
      </c>
      <c r="B16" s="8" t="str">
        <f aca="false">IF($B$44&gt;131,"—",IF(INDEX(Links!$C$2:$C$132,$B$44)&amp;""="","—",HYPERLINK(INDEX(Links!$C$2:$C$132,$B$44),INDEX('Scope &amp; Sequence'!$G$2:$G$132,$B$44)&amp;"")))</f>
        <v>open</v>
      </c>
    </row>
    <row r="17" customFormat="false" ht="15" hidden="false" customHeight="false" outlineLevel="0" collapsed="false">
      <c r="A17" s="7" t="s">
        <v>13</v>
      </c>
      <c r="B17" s="8" t="str">
        <f aca="false">IF($B$44&gt;131,"—",IF(INDEX(Links!$D$2:$D$132,$B$44)&amp;""="","—",HYPERLINK(INDEX(Links!$D$2:$D$132,$B$44),INDEX('Scope &amp; Sequence'!$H$2:$H$132,$B$44)&amp;"")))</f>
        <v>open</v>
      </c>
    </row>
    <row r="18" customFormat="false" ht="15" hidden="false" customHeight="false" outlineLevel="0" collapsed="false">
      <c r="A18" s="7" t="s">
        <v>14</v>
      </c>
      <c r="B18" s="8" t="str">
        <f aca="false">IF($B$44&gt;131,"—",IF(INDEX(Links!$E$2:$E$132,$B$44)&amp;""="","—",HYPERLINK(INDEX(Links!$E$2:$E$132,$B$44),INDEX('Scope &amp; Sequence'!$I$2:$I$132,$B$44)&amp;"")))</f>
        <v>open</v>
      </c>
    </row>
    <row r="19" customFormat="false" ht="15" hidden="false" customHeight="false" outlineLevel="0" collapsed="false">
      <c r="A19" s="7" t="s">
        <v>15</v>
      </c>
      <c r="B19" s="8" t="str">
        <f aca="false">IF($B$44&gt;131,"—",IF(INDEX(Links!$F$2:$F$132,$B$44)&amp;""="","—",HYPERLINK(INDEX(Links!$F$2:$F$132,$B$44),INDEX('Scope &amp; Sequence'!$J$2:$J$132,$B$44)&amp;"")))</f>
        <v>open</v>
      </c>
    </row>
    <row r="20" customFormat="false" ht="15" hidden="false" customHeight="false" outlineLevel="0" collapsed="false">
      <c r="A20" s="7" t="s">
        <v>16</v>
      </c>
      <c r="B20" s="8" t="str">
        <f aca="false">IF($B$44&gt;131,"—",IF(INDEX(Links!$G$2:$G$132,$B$44)&amp;""="","—",HYPERLINK(INDEX(Links!$G$2:$G$132,$B$44),INDEX('Scope &amp; Sequence'!$K$2:$K$132,$B$44)&amp;"")))</f>
        <v>key</v>
      </c>
    </row>
    <row r="21" customFormat="false" ht="15" hidden="false" customHeight="false" outlineLevel="0" collapsed="false">
      <c r="A21" s="7" t="s">
        <v>17</v>
      </c>
      <c r="B21" s="8" t="str">
        <f aca="false">IF($B$44&gt;131,"—",IF(INDEX(Links!$H$2:$H$132,$B$44)&amp;""="","—",HYPERLINK(INDEX(Links!$H$2:$H$132,$B$44),INDEX('Scope &amp; Sequence'!$L$2:$L$132,$B$44)&amp;"")))</f>
        <v>open</v>
      </c>
    </row>
    <row r="22" customFormat="false" ht="15" hidden="false" customHeight="false" outlineLevel="0" collapsed="false">
      <c r="A22" s="7" t="s">
        <v>18</v>
      </c>
      <c r="B22" s="8" t="str">
        <f aca="false">IF($B$44&gt;131,"—",IF(INDEX(Links!$I$2:$I$132,$B$44)&amp;""="","—",HYPERLINK(INDEX(Links!$I$2:$I$132,$B$44),INDEX('Scope &amp; Sequence'!$M$2:$M$132,$B$44)&amp;"")))</f>
        <v>key</v>
      </c>
    </row>
    <row r="23" customFormat="false" ht="15" hidden="false" customHeight="false" outlineLevel="0" collapsed="false">
      <c r="A23" s="7" t="s">
        <v>19</v>
      </c>
      <c r="B23" s="8" t="str">
        <f aca="false">IF($B$44&gt;131,"—",IF(INDEX(Links!$J$2:$J$132,$B$44)&amp;""="","—",HYPERLINK(INDEX(Links!$J$2:$J$132,$B$44),INDEX('Scope &amp; Sequence'!$N$2:$N$132,$B$44)&amp;"")))</f>
        <v>open</v>
      </c>
    </row>
    <row r="24" customFormat="false" ht="15" hidden="false" customHeight="false" outlineLevel="0" collapsed="false">
      <c r="A24" s="7" t="s">
        <v>20</v>
      </c>
      <c r="B24" s="8" t="str">
        <f aca="false">IF($B$44&gt;131,"—",IF(INDEX(Links!$K$2:$K$132,$B$44)&amp;""="","—",HYPERLINK(INDEX(Links!$K$2:$K$132,$B$44),INDEX('Scope &amp; Sequence'!$O$2:$O$132,$B$44)&amp;"")))</f>
        <v>key</v>
      </c>
    </row>
    <row r="25" customFormat="false" ht="15" hidden="false" customHeight="false" outlineLevel="0" collapsed="false">
      <c r="A25" s="7" t="s">
        <v>21</v>
      </c>
      <c r="B25" s="8" t="str">
        <f aca="false">IF($B$44&gt;131,"—",IF(INDEX(Links!$L$2:$L$132,$B$44)&amp;""="","—",HYPERLINK(INDEX(Links!$L$2:$L$132,$B$44),INDEX('Scope &amp; Sequence'!$P$2:$P$132,$B$44)&amp;"")))</f>
        <v>folder</v>
      </c>
    </row>
    <row r="26" customFormat="false" ht="15" hidden="false" customHeight="false" outlineLevel="0" collapsed="false">
      <c r="A26" s="7" t="s">
        <v>22</v>
      </c>
      <c r="B26" s="8" t="str">
        <f aca="false">IF($B$44&gt;131,"—",IF(INDEX(Links!$M$2:$M$132,$B$44)&amp;""="","—",HYPERLINK(INDEX(Links!$M$2:$M$132,$B$44),INDEX('Scope &amp; Sequence'!$Q$2:$Q$132,$B$44)&amp;"")))</f>
        <v>search</v>
      </c>
    </row>
    <row r="28" customFormat="false" ht="15" hidden="false" customHeight="false" outlineLevel="0" collapsed="false">
      <c r="A28" s="4" t="s">
        <v>23</v>
      </c>
    </row>
    <row r="29" customFormat="false" ht="18" hidden="false" customHeight="true" outlineLevel="0" collapsed="false">
      <c r="A29" s="9" t="s">
        <v>24</v>
      </c>
      <c r="B29" s="9" t="s">
        <v>2</v>
      </c>
      <c r="C29" s="9" t="s">
        <v>25</v>
      </c>
    </row>
    <row r="30" customFormat="false" ht="15" hidden="false" customHeight="false" outlineLevel="0" collapsed="false">
      <c r="A30" s="10" t="n">
        <f aca="false">IF(($B$44+1)&gt;131,"",INDEX('Scope &amp; Sequence'!$A$2:$A$132,($B$44+1)))</f>
        <v>46314</v>
      </c>
      <c r="B30" s="6" t="str">
        <f aca="false">IF(($B$44+1)&gt;131,"",INDEX('Scope &amp; Sequence'!$D$2:$D$132,($B$44+1))&amp;"   "&amp;INDEX('Scope &amp; Sequence'!$E$2:$E$132,($B$44+1)))</f>
        <v>4.02+03   Multiply and divide in scientific notation</v>
      </c>
      <c r="C30" s="8" t="str">
        <f aca="false">IF(($B$44+1)&gt;131,"",IF(INDEX(Links!$B$2:$B$132,($B$44+1))&amp;""="","—",HYPERLINK(INDEX(Links!$B$2:$B$132,($B$44+1)),INDEX('Scope &amp; Sequence'!$F$2:$F$132,($B$44+1))&amp;"")))</f>
        <v>open</v>
      </c>
    </row>
    <row r="31" customFormat="false" ht="15" hidden="false" customHeight="false" outlineLevel="0" collapsed="false">
      <c r="A31" s="10" t="n">
        <f aca="false">IF(($B$44+2)&gt;131,"",INDEX('Scope &amp; Sequence'!$A$2:$A$132,($B$44+2)))</f>
        <v>46315</v>
      </c>
      <c r="B31" s="6" t="str">
        <f aca="false">IF(($B$44+2)&gt;131,"",INDEX('Scope &amp; Sequence'!$D$2:$D$132,($B$44+2))&amp;"   "&amp;INDEX('Scope &amp; Sequence'!$E$2:$E$132,($B$44+2)))</f>
        <v>4.04   Real-world scientific notation; significant digits</v>
      </c>
      <c r="C31" s="8" t="str">
        <f aca="false">IF(($B$44+2)&gt;131,"",IF(INDEX(Links!$B$2:$B$132,($B$44+2))&amp;""="","—",HYPERLINK(INDEX(Links!$B$2:$B$132,($B$44+2)),INDEX('Scope &amp; Sequence'!$F$2:$F$132,($B$44+2))&amp;"")))</f>
        <v>open</v>
      </c>
    </row>
    <row r="32" customFormat="false" ht="15" hidden="false" customHeight="false" outlineLevel="0" collapsed="false">
      <c r="A32" s="10" t="n">
        <f aca="false">IF(($B$44+3)&gt;131,"",INDEX('Scope &amp; Sequence'!$A$2:$A$132,($B$44+3)))</f>
        <v>46316</v>
      </c>
      <c r="B32" s="6" t="str">
        <f aca="false">IF(($B$44+3)&gt;131,"",INDEX('Scope &amp; Sequence'!$D$2:$D$132,($B$44+3))&amp;"   "&amp;INDEX('Scope &amp; Sequence'!$E$2:$E$132,($B$44+3)))</f>
        <v>4.05   Expressions with radicals (perfect squares to 225, cubes −125 to 125)</v>
      </c>
      <c r="C32" s="8" t="str">
        <f aca="false">IF(($B$44+3)&gt;131,"",IF(INDEX(Links!$B$2:$B$132,($B$44+3))&amp;""="","—",HYPERLINK(INDEX(Links!$B$2:$B$132,($B$44+3)),INDEX('Scope &amp; Sequence'!$F$2:$F$132,($B$44+3))&amp;"")))</f>
        <v>open</v>
      </c>
    </row>
    <row r="33" customFormat="false" ht="15" hidden="false" customHeight="false" outlineLevel="0" collapsed="false">
      <c r="A33" s="10" t="n">
        <f aca="false">IF(($B$44+4)&gt;131,"",INDEX('Scope &amp; Sequence'!$A$2:$A$132,($B$44+4)))</f>
        <v>46317</v>
      </c>
      <c r="B33" s="6" t="str">
        <f aca="false">IF(($B$44+4)&gt;131,"",INDEX('Scope &amp; Sequence'!$D$2:$D$132,($B$44+4))&amp;"   "&amp;INDEX('Scope &amp; Sequence'!$E$2:$E$132,($B$44+4)))</f>
        <v>4.06   Order of operations with exponents and radicals</v>
      </c>
      <c r="C33" s="8" t="str">
        <f aca="false">IF(($B$44+4)&gt;131,"",IF(INDEX(Links!$B$2:$B$132,($B$44+4))&amp;""="","—",HYPERLINK(INDEX(Links!$B$2:$B$132,($B$44+4)),INDEX('Scope &amp; Sequence'!$F$2:$F$132,($B$44+4))&amp;"")))</f>
        <v>open</v>
      </c>
    </row>
    <row r="34" customFormat="false" ht="15" hidden="false" customHeight="false" outlineLevel="0" collapsed="false">
      <c r="A34" s="10" t="n">
        <f aca="false">IF(($B$44+5)&gt;131,"",INDEX('Scope &amp; Sequence'!$A$2:$A$132,($B$44+5)))</f>
        <v>46318</v>
      </c>
      <c r="B34" s="6" t="str">
        <f aca="false">IF(($B$44+5)&gt;131,"",INDEX('Scope &amp; Sequence'!$D$2:$D$132,($B$44+5))&amp;"   "&amp;INDEX('Scope &amp; Sequence'!$E$2:$E$132,($B$44+5)))</f>
        <v>4.07+08   Real-world order-of-operations problems</v>
      </c>
      <c r="C34" s="8" t="str">
        <f aca="false">IF(($B$44+5)&gt;131,"",IF(INDEX(Links!$B$2:$B$132,($B$44+5))&amp;""="","—",HYPERLINK(INDEX(Links!$B$2:$B$132,($B$44+5)),INDEX('Scope &amp; Sequence'!$F$2:$F$132,($B$44+5))&amp;"")))</f>
        <v>open</v>
      </c>
    </row>
    <row r="36" customFormat="false" ht="30" hidden="false" customHeight="true" outlineLevel="0" collapsed="false">
      <c r="A36" s="11" t="s">
        <v>26</v>
      </c>
      <c r="B36" s="11"/>
      <c r="C36" s="11"/>
    </row>
    <row r="44" customFormat="false" ht="15" hidden="false" customHeight="false" outlineLevel="0" collapsed="false">
      <c r="A44" s="12" t="s">
        <v>27</v>
      </c>
      <c r="B44" s="13" t="n">
        <f aca="true">IF(TODAY()&gt;$B$45,131+1,MIN(COUNTIF('Scope &amp; Sequence'!$A$2:$A$132,"&lt;"&amp;TODAY())+1,131))</f>
        <v>17</v>
      </c>
    </row>
    <row r="45" customFormat="false" ht="15" hidden="false" customHeight="false" outlineLevel="0" collapsed="false">
      <c r="A45" s="12" t="s">
        <v>28</v>
      </c>
      <c r="B45" s="14" t="n">
        <v>46535</v>
      </c>
    </row>
  </sheetData>
  <mergeCells count="1">
    <mergeCell ref="A36:C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5"/>
    <col collapsed="false" customWidth="true" hidden="false" outlineLevel="0" max="4" min="4" style="0" width="10"/>
    <col collapsed="false" customWidth="true" hidden="false" outlineLevel="0" max="5" min="5" style="0" width="40"/>
    <col collapsed="false" customWidth="true" hidden="false" outlineLevel="0" max="15" min="6" style="0" width="11"/>
    <col collapsed="false" customWidth="true" hidden="false" outlineLevel="0" max="16" min="16" style="0" width="9"/>
    <col collapsed="false" customWidth="true" hidden="false" outlineLevel="0" max="17" min="17" style="0" width="11"/>
    <col collapsed="false" customWidth="true" hidden="false" outlineLevel="0" max="18" min="18" style="0" width="44"/>
    <col collapsed="false" customWidth="true" hidden="false" outlineLevel="0" max="19" min="19" style="0" width="11"/>
    <col collapsed="false" customWidth="true" hidden="false" outlineLevel="0" max="20" min="20" style="0" width="44"/>
    <col collapsed="false" customWidth="true" hidden="false" outlineLevel="0" max="21" min="21" style="0" width="36"/>
    <col collapsed="false" customWidth="true" hidden="false" outlineLevel="0" max="22" min="22" style="0" width="30"/>
    <col collapsed="false" customWidth="true" hidden="false" outlineLevel="0" max="23" min="23" style="0" width="16"/>
    <col collapsed="false" customWidth="true" hidden="false" outlineLevel="0" max="24" min="24" style="0" width="60"/>
    <col collapsed="false" customWidth="true" hidden="false" outlineLevel="0" max="25" min="25" style="0" width="46"/>
    <col collapsed="false" customWidth="true" hidden="false" outlineLevel="0" max="26" min="26" style="0" width="50"/>
    <col collapsed="false" customWidth="true" hidden="false" outlineLevel="0" max="27" min="27" style="0" width="30"/>
    <col collapsed="false" customWidth="true" hidden="false" outlineLevel="0" max="28" min="28" style="0" width="42"/>
  </cols>
  <sheetData>
    <row r="1" customFormat="false" ht="30" hidden="false" customHeight="true" outlineLevel="0" collapsed="false">
      <c r="A1" s="9" t="s">
        <v>24</v>
      </c>
      <c r="B1" s="9" t="s">
        <v>29</v>
      </c>
      <c r="C1" s="9" t="s">
        <v>30</v>
      </c>
      <c r="D1" s="9" t="s">
        <v>2</v>
      </c>
      <c r="E1" s="9" t="s">
        <v>31</v>
      </c>
      <c r="F1" s="9" t="s">
        <v>11</v>
      </c>
      <c r="G1" s="9" t="s">
        <v>12</v>
      </c>
      <c r="H1" s="9" t="s">
        <v>13</v>
      </c>
      <c r="I1" s="9" t="s">
        <v>14</v>
      </c>
      <c r="J1" s="9" t="s">
        <v>15</v>
      </c>
      <c r="K1" s="9" t="s">
        <v>16</v>
      </c>
      <c r="L1" s="9" t="s">
        <v>17</v>
      </c>
      <c r="M1" s="9" t="s">
        <v>18</v>
      </c>
      <c r="N1" s="9" t="s">
        <v>19</v>
      </c>
      <c r="O1" s="9" t="s">
        <v>20</v>
      </c>
      <c r="P1" s="9" t="s">
        <v>21</v>
      </c>
      <c r="Q1" s="9" t="s">
        <v>22</v>
      </c>
      <c r="R1" s="9" t="s">
        <v>32</v>
      </c>
      <c r="S1" s="9" t="s">
        <v>33</v>
      </c>
      <c r="T1" s="9" t="s">
        <v>3</v>
      </c>
      <c r="U1" s="9" t="s">
        <v>4</v>
      </c>
      <c r="V1" s="9" t="s">
        <v>5</v>
      </c>
      <c r="W1" s="9" t="s">
        <v>6</v>
      </c>
      <c r="X1" s="9" t="s">
        <v>34</v>
      </c>
      <c r="Y1" s="9" t="s">
        <v>35</v>
      </c>
      <c r="Z1" s="9" t="s">
        <v>36</v>
      </c>
      <c r="AA1" s="9" t="s">
        <v>37</v>
      </c>
      <c r="AB1" s="9" t="s">
        <v>38</v>
      </c>
    </row>
    <row r="2" customFormat="false" ht="102.2" hidden="false" customHeight="false" outlineLevel="0" collapsed="false">
      <c r="A2" s="15" t="n">
        <v>46288</v>
      </c>
      <c r="B2" s="16" t="s">
        <v>39</v>
      </c>
      <c r="C2" s="17" t="n">
        <v>3</v>
      </c>
      <c r="D2" s="18" t="s">
        <v>40</v>
      </c>
      <c r="E2" s="19" t="s">
        <v>41</v>
      </c>
      <c r="F2" s="20" t="str">
        <f aca="false">HYPERLINK(Links!$B$2,"open")</f>
        <v>open</v>
      </c>
      <c r="G2" s="20" t="str">
        <f aca="false">HYPERLINK(Links!$C$2,"open")</f>
        <v>open</v>
      </c>
      <c r="H2" s="20" t="str">
        <f aca="false">HYPERLINK(Links!$D$2,"open")</f>
        <v>open</v>
      </c>
      <c r="I2" s="20" t="str">
        <f aca="false">HYPERLINK(Links!$E$2,"open")</f>
        <v>open</v>
      </c>
      <c r="J2" s="20" t="str">
        <f aca="false">HYPERLINK(Links!$F$2,"open")</f>
        <v>open</v>
      </c>
      <c r="K2" s="20" t="str">
        <f aca="false">HYPERLINK(Links!$G$2,"key")</f>
        <v>key</v>
      </c>
      <c r="L2" s="20" t="str">
        <f aca="false">HYPERLINK(Links!$H$2,"open")</f>
        <v>open</v>
      </c>
      <c r="M2" s="20" t="str">
        <f aca="false">HYPERLINK(Links!$I$2,"key")</f>
        <v>key</v>
      </c>
      <c r="N2" s="20" t="str">
        <f aca="false">HYPERLINK(Links!$J$2,"open")</f>
        <v>open</v>
      </c>
      <c r="O2" s="20" t="str">
        <f aca="false">HYPERLINK(Links!$K$2,"key")</f>
        <v>key</v>
      </c>
      <c r="P2" s="20" t="str">
        <f aca="false">HYPERLINK(Links!$L$2,"folder")</f>
        <v>folder</v>
      </c>
      <c r="Q2" s="20" t="str">
        <f aca="false">HYPERLINK(Links!$M$2,"search")</f>
        <v>search</v>
      </c>
      <c r="R2" s="19" t="s">
        <v>42</v>
      </c>
      <c r="S2" s="21" t="n">
        <v>46289</v>
      </c>
      <c r="T2" s="19" t="s">
        <v>43</v>
      </c>
      <c r="U2" s="19" t="s">
        <v>44</v>
      </c>
      <c r="V2" s="19" t="s">
        <v>45</v>
      </c>
      <c r="W2" s="19" t="s">
        <v>46</v>
      </c>
      <c r="X2" s="19" t="s">
        <v>47</v>
      </c>
      <c r="Y2" s="19" t="s">
        <v>48</v>
      </c>
      <c r="Z2" s="19" t="s">
        <v>49</v>
      </c>
      <c r="AA2" s="19" t="s">
        <v>50</v>
      </c>
      <c r="AB2" s="19" t="s">
        <v>51</v>
      </c>
    </row>
    <row r="3" customFormat="false" ht="102.2" hidden="false" customHeight="false" outlineLevel="0" collapsed="false">
      <c r="A3" s="15" t="n">
        <v>46289</v>
      </c>
      <c r="B3" s="16" t="s">
        <v>52</v>
      </c>
      <c r="C3" s="17" t="n">
        <v>3</v>
      </c>
      <c r="D3" s="18" t="s">
        <v>53</v>
      </c>
      <c r="E3" s="19" t="s">
        <v>54</v>
      </c>
      <c r="F3" s="20" t="str">
        <f aca="false">HYPERLINK(Links!$B$3,"open")</f>
        <v>open</v>
      </c>
      <c r="G3" s="20" t="str">
        <f aca="false">HYPERLINK(Links!$C$3,"open")</f>
        <v>open</v>
      </c>
      <c r="H3" s="20" t="str">
        <f aca="false">HYPERLINK(Links!$D$3,"open")</f>
        <v>open</v>
      </c>
      <c r="I3" s="20" t="str">
        <f aca="false">HYPERLINK(Links!$E$3,"open")</f>
        <v>open</v>
      </c>
      <c r="J3" s="20" t="str">
        <f aca="false">HYPERLINK(Links!$F$3,"open")</f>
        <v>open</v>
      </c>
      <c r="K3" s="20" t="str">
        <f aca="false">HYPERLINK(Links!$G$3,"key")</f>
        <v>key</v>
      </c>
      <c r="L3" s="20" t="str">
        <f aca="false">HYPERLINK(Links!$H$3,"open")</f>
        <v>open</v>
      </c>
      <c r="M3" s="20" t="str">
        <f aca="false">HYPERLINK(Links!$I$3,"key")</f>
        <v>key</v>
      </c>
      <c r="N3" s="20" t="str">
        <f aca="false">HYPERLINK(Links!$J$3,"open")</f>
        <v>open</v>
      </c>
      <c r="O3" s="20" t="str">
        <f aca="false">HYPERLINK(Links!$K$3,"key")</f>
        <v>key</v>
      </c>
      <c r="P3" s="20" t="str">
        <f aca="false">HYPERLINK(Links!$L$3,"folder")</f>
        <v>folder</v>
      </c>
      <c r="Q3" s="20" t="str">
        <f aca="false">HYPERLINK(Links!$M$3,"search")</f>
        <v>search</v>
      </c>
      <c r="R3" s="19" t="s">
        <v>55</v>
      </c>
      <c r="S3" s="21" t="n">
        <v>46290</v>
      </c>
      <c r="T3" s="19" t="s">
        <v>56</v>
      </c>
      <c r="U3" s="19" t="s">
        <v>57</v>
      </c>
      <c r="V3" s="19" t="s">
        <v>58</v>
      </c>
      <c r="W3" s="19" t="s">
        <v>46</v>
      </c>
      <c r="X3" s="19" t="s">
        <v>47</v>
      </c>
      <c r="Y3" s="19" t="s">
        <v>59</v>
      </c>
      <c r="Z3" s="19" t="s">
        <v>60</v>
      </c>
      <c r="AA3" s="19" t="s">
        <v>61</v>
      </c>
      <c r="AB3" s="19" t="s">
        <v>62</v>
      </c>
    </row>
    <row r="4" customFormat="false" ht="102.2" hidden="false" customHeight="false" outlineLevel="0" collapsed="false">
      <c r="A4" s="15" t="n">
        <v>46290</v>
      </c>
      <c r="B4" s="16" t="s">
        <v>63</v>
      </c>
      <c r="C4" s="17" t="n">
        <v>3</v>
      </c>
      <c r="D4" s="18" t="s">
        <v>64</v>
      </c>
      <c r="E4" s="19" t="s">
        <v>65</v>
      </c>
      <c r="F4" s="20" t="str">
        <f aca="false">HYPERLINK(Links!$B$4,"open")</f>
        <v>open</v>
      </c>
      <c r="G4" s="20" t="str">
        <f aca="false">HYPERLINK(Links!$C$4,"open")</f>
        <v>open</v>
      </c>
      <c r="H4" s="20" t="str">
        <f aca="false">HYPERLINK(Links!$D$4,"open")</f>
        <v>open</v>
      </c>
      <c r="I4" s="20" t="str">
        <f aca="false">HYPERLINK(Links!$E$4,"open")</f>
        <v>open</v>
      </c>
      <c r="J4" s="20" t="str">
        <f aca="false">HYPERLINK(Links!$F$4,"open")</f>
        <v>open</v>
      </c>
      <c r="K4" s="20" t="str">
        <f aca="false">HYPERLINK(Links!$G$4,"key")</f>
        <v>key</v>
      </c>
      <c r="L4" s="20" t="str">
        <f aca="false">HYPERLINK(Links!$H$4,"open")</f>
        <v>open</v>
      </c>
      <c r="M4" s="20" t="str">
        <f aca="false">HYPERLINK(Links!$I$4,"key")</f>
        <v>key</v>
      </c>
      <c r="N4" s="20" t="str">
        <f aca="false">HYPERLINK(Links!$J$4,"open")</f>
        <v>open</v>
      </c>
      <c r="O4" s="20" t="str">
        <f aca="false">HYPERLINK(Links!$K$4,"key")</f>
        <v>key</v>
      </c>
      <c r="P4" s="20" t="str">
        <f aca="false">HYPERLINK(Links!$L$4,"folder")</f>
        <v>folder</v>
      </c>
      <c r="Q4" s="20" t="str">
        <f aca="false">HYPERLINK(Links!$M$4,"search")</f>
        <v>search</v>
      </c>
      <c r="R4" s="19" t="s">
        <v>66</v>
      </c>
      <c r="S4" s="21" t="n">
        <v>46293</v>
      </c>
      <c r="T4" s="19" t="s">
        <v>67</v>
      </c>
      <c r="U4" s="19" t="s">
        <v>68</v>
      </c>
      <c r="V4" s="19" t="s">
        <v>69</v>
      </c>
      <c r="W4" s="19" t="s">
        <v>46</v>
      </c>
      <c r="X4" s="19" t="s">
        <v>47</v>
      </c>
      <c r="Y4" s="19" t="s">
        <v>70</v>
      </c>
      <c r="Z4" s="19" t="s">
        <v>71</v>
      </c>
      <c r="AA4" s="19" t="s">
        <v>72</v>
      </c>
      <c r="AB4" s="19" t="s">
        <v>73</v>
      </c>
    </row>
    <row r="5" customFormat="false" ht="68.65" hidden="false" customHeight="false" outlineLevel="0" collapsed="false">
      <c r="A5" s="15" t="n">
        <v>46293</v>
      </c>
      <c r="B5" s="16" t="s">
        <v>74</v>
      </c>
      <c r="C5" s="17" t="n">
        <v>3</v>
      </c>
      <c r="D5" s="18" t="s">
        <v>75</v>
      </c>
      <c r="E5" s="19" t="s">
        <v>76</v>
      </c>
      <c r="F5" s="20" t="str">
        <f aca="false">HYPERLINK(Links!$B$5,"open")</f>
        <v>open</v>
      </c>
      <c r="G5" s="20" t="str">
        <f aca="false">HYPERLINK(Links!$C$5,"open")</f>
        <v>open</v>
      </c>
      <c r="H5" s="20" t="str">
        <f aca="false">HYPERLINK(Links!$D$5,"open")</f>
        <v>open</v>
      </c>
      <c r="I5" s="20" t="str">
        <f aca="false">HYPERLINK(Links!$E$5,"open")</f>
        <v>open</v>
      </c>
      <c r="J5" s="20" t="str">
        <f aca="false">HYPERLINK(Links!$F$5,"open")</f>
        <v>open</v>
      </c>
      <c r="K5" s="20" t="str">
        <f aca="false">HYPERLINK(Links!$G$5,"key")</f>
        <v>key</v>
      </c>
      <c r="L5" s="20" t="str">
        <f aca="false">HYPERLINK(Links!$H$5,"open")</f>
        <v>open</v>
      </c>
      <c r="M5" s="20" t="str">
        <f aca="false">HYPERLINK(Links!$I$5,"key")</f>
        <v>key</v>
      </c>
      <c r="N5" s="20" t="str">
        <f aca="false">HYPERLINK(Links!$J$5,"open")</f>
        <v>open</v>
      </c>
      <c r="O5" s="20" t="str">
        <f aca="false">HYPERLINK(Links!$K$5,"key")</f>
        <v>key</v>
      </c>
      <c r="P5" s="20" t="str">
        <f aca="false">HYPERLINK(Links!$L$5,"folder")</f>
        <v>folder</v>
      </c>
      <c r="Q5" s="20" t="str">
        <f aca="false">HYPERLINK(Links!$M$5,"search")</f>
        <v>search</v>
      </c>
      <c r="R5" s="19" t="s">
        <v>77</v>
      </c>
      <c r="S5" s="21" t="n">
        <v>46294</v>
      </c>
      <c r="T5" s="19" t="s">
        <v>78</v>
      </c>
      <c r="U5" s="19" t="s">
        <v>79</v>
      </c>
      <c r="V5" s="19" t="s">
        <v>80</v>
      </c>
      <c r="W5" s="19" t="s">
        <v>81</v>
      </c>
      <c r="X5" s="19" t="s">
        <v>82</v>
      </c>
      <c r="Y5" s="19" t="s">
        <v>83</v>
      </c>
      <c r="Z5" s="19" t="s">
        <v>84</v>
      </c>
      <c r="AA5" s="19" t="s">
        <v>85</v>
      </c>
      <c r="AB5" s="19" t="s">
        <v>86</v>
      </c>
    </row>
    <row r="6" customFormat="false" ht="68.65" hidden="false" customHeight="false" outlineLevel="0" collapsed="false">
      <c r="A6" s="15" t="n">
        <v>46294</v>
      </c>
      <c r="B6" s="16" t="s">
        <v>87</v>
      </c>
      <c r="C6" s="17" t="n">
        <v>3</v>
      </c>
      <c r="D6" s="18" t="s">
        <v>88</v>
      </c>
      <c r="E6" s="19" t="s">
        <v>89</v>
      </c>
      <c r="F6" s="20" t="str">
        <f aca="false">HYPERLINK(Links!$B$6,"open")</f>
        <v>open</v>
      </c>
      <c r="G6" s="20" t="str">
        <f aca="false">HYPERLINK(Links!$C$6,"open")</f>
        <v>open</v>
      </c>
      <c r="H6" s="20" t="str">
        <f aca="false">HYPERLINK(Links!$D$6,"open")</f>
        <v>open</v>
      </c>
      <c r="I6" s="20" t="str">
        <f aca="false">HYPERLINK(Links!$E$6,"open")</f>
        <v>open</v>
      </c>
      <c r="J6" s="20" t="str">
        <f aca="false">HYPERLINK(Links!$F$6,"open")</f>
        <v>open</v>
      </c>
      <c r="K6" s="20" t="str">
        <f aca="false">HYPERLINK(Links!$G$6,"key")</f>
        <v>key</v>
      </c>
      <c r="L6" s="20" t="str">
        <f aca="false">HYPERLINK(Links!$H$6,"open")</f>
        <v>open</v>
      </c>
      <c r="M6" s="20" t="str">
        <f aca="false">HYPERLINK(Links!$I$6,"key")</f>
        <v>key</v>
      </c>
      <c r="N6" s="20" t="str">
        <f aca="false">HYPERLINK(Links!$J$6,"open")</f>
        <v>open</v>
      </c>
      <c r="O6" s="20" t="str">
        <f aca="false">HYPERLINK(Links!$K$6,"key")</f>
        <v>key</v>
      </c>
      <c r="P6" s="20" t="str">
        <f aca="false">HYPERLINK(Links!$L$6,"folder")</f>
        <v>folder</v>
      </c>
      <c r="Q6" s="20" t="str">
        <f aca="false">HYPERLINK(Links!$M$6,"search")</f>
        <v>search</v>
      </c>
      <c r="R6" s="19" t="s">
        <v>90</v>
      </c>
      <c r="S6" s="21" t="n">
        <v>46295</v>
      </c>
      <c r="T6" s="19" t="s">
        <v>91</v>
      </c>
      <c r="U6" s="19" t="s">
        <v>92</v>
      </c>
      <c r="V6" s="19" t="s">
        <v>93</v>
      </c>
      <c r="W6" s="19" t="s">
        <v>81</v>
      </c>
      <c r="X6" s="19" t="s">
        <v>82</v>
      </c>
      <c r="Y6" s="19" t="s">
        <v>83</v>
      </c>
      <c r="Z6" s="19" t="s">
        <v>94</v>
      </c>
      <c r="AA6" s="19" t="s">
        <v>95</v>
      </c>
      <c r="AB6" s="19" t="s">
        <v>96</v>
      </c>
    </row>
    <row r="7" customFormat="false" ht="68.65" hidden="false" customHeight="false" outlineLevel="0" collapsed="false">
      <c r="A7" s="15" t="n">
        <v>46295</v>
      </c>
      <c r="B7" s="16" t="s">
        <v>39</v>
      </c>
      <c r="C7" s="17" t="n">
        <v>3</v>
      </c>
      <c r="D7" s="18" t="s">
        <v>97</v>
      </c>
      <c r="E7" s="19" t="s">
        <v>98</v>
      </c>
      <c r="F7" s="20" t="str">
        <f aca="false">HYPERLINK(Links!$B$7,"open")</f>
        <v>open</v>
      </c>
      <c r="G7" s="20" t="str">
        <f aca="false">HYPERLINK(Links!$C$7,"open")</f>
        <v>open</v>
      </c>
      <c r="H7" s="20" t="str">
        <f aca="false">HYPERLINK(Links!$D$7,"open")</f>
        <v>open</v>
      </c>
      <c r="I7" s="20" t="str">
        <f aca="false">HYPERLINK(Links!$E$7,"open")</f>
        <v>open</v>
      </c>
      <c r="J7" s="20" t="str">
        <f aca="false">HYPERLINK(Links!$F$7,"open")</f>
        <v>open</v>
      </c>
      <c r="K7" s="20" t="str">
        <f aca="false">HYPERLINK(Links!$G$7,"key")</f>
        <v>key</v>
      </c>
      <c r="L7" s="20" t="str">
        <f aca="false">HYPERLINK(Links!$H$7,"open")</f>
        <v>open</v>
      </c>
      <c r="M7" s="20" t="str">
        <f aca="false">HYPERLINK(Links!$I$7,"key")</f>
        <v>key</v>
      </c>
      <c r="N7" s="20" t="str">
        <f aca="false">HYPERLINK(Links!$J$7,"open")</f>
        <v>open</v>
      </c>
      <c r="O7" s="20" t="str">
        <f aca="false">HYPERLINK(Links!$K$7,"key")</f>
        <v>key</v>
      </c>
      <c r="P7" s="20" t="str">
        <f aca="false">HYPERLINK(Links!$L$7,"folder")</f>
        <v>folder</v>
      </c>
      <c r="Q7" s="20" t="str">
        <f aca="false">HYPERLINK(Links!$M$7,"search")</f>
        <v>search</v>
      </c>
      <c r="R7" s="19" t="s">
        <v>99</v>
      </c>
      <c r="S7" s="21" t="n">
        <v>46296</v>
      </c>
      <c r="T7" s="19" t="s">
        <v>100</v>
      </c>
      <c r="U7" s="19" t="s">
        <v>101</v>
      </c>
      <c r="V7" s="19" t="s">
        <v>102</v>
      </c>
      <c r="W7" s="19" t="s">
        <v>81</v>
      </c>
      <c r="X7" s="19" t="s">
        <v>82</v>
      </c>
      <c r="Y7" s="19" t="s">
        <v>103</v>
      </c>
      <c r="Z7" s="19" t="s">
        <v>104</v>
      </c>
      <c r="AA7" s="19" t="s">
        <v>105</v>
      </c>
      <c r="AB7" s="19" t="s">
        <v>106</v>
      </c>
    </row>
    <row r="8" customFormat="false" ht="23.85" hidden="false" customHeight="false" outlineLevel="0" collapsed="false">
      <c r="A8" s="22" t="n">
        <v>46296</v>
      </c>
      <c r="B8" s="23" t="s">
        <v>52</v>
      </c>
      <c r="C8" s="24" t="n">
        <v>3</v>
      </c>
      <c r="D8" s="25" t="s">
        <v>107</v>
      </c>
      <c r="E8" s="26" t="s">
        <v>108</v>
      </c>
      <c r="F8" s="23"/>
      <c r="G8" s="23"/>
      <c r="H8" s="23"/>
      <c r="I8" s="23"/>
      <c r="J8" s="23"/>
      <c r="K8" s="23"/>
      <c r="L8" s="23"/>
      <c r="M8" s="23"/>
      <c r="N8" s="23"/>
      <c r="O8" s="23"/>
      <c r="P8" s="27" t="str">
        <f aca="false">HYPERLINK(Links!$L$8,"folder")</f>
        <v>folder</v>
      </c>
      <c r="Q8" s="23"/>
      <c r="R8" s="26"/>
      <c r="S8" s="28"/>
      <c r="T8" s="23"/>
      <c r="U8" s="23"/>
      <c r="V8" s="23"/>
      <c r="W8" s="26"/>
      <c r="X8" s="26"/>
      <c r="Y8" s="23"/>
      <c r="Z8" s="23"/>
      <c r="AA8" s="23"/>
      <c r="AB8" s="26"/>
    </row>
    <row r="9" customFormat="false" ht="15" hidden="false" customHeight="false" outlineLevel="0" collapsed="false">
      <c r="A9" s="22" t="n">
        <v>46297</v>
      </c>
      <c r="B9" s="23" t="s">
        <v>63</v>
      </c>
      <c r="C9" s="24" t="n">
        <v>3</v>
      </c>
      <c r="D9" s="25" t="s">
        <v>107</v>
      </c>
      <c r="E9" s="26" t="s">
        <v>109</v>
      </c>
      <c r="F9" s="23"/>
      <c r="G9" s="23"/>
      <c r="H9" s="23"/>
      <c r="I9" s="23"/>
      <c r="J9" s="23"/>
      <c r="K9" s="23"/>
      <c r="L9" s="23"/>
      <c r="M9" s="23"/>
      <c r="N9" s="23"/>
      <c r="O9" s="23"/>
      <c r="P9" s="27" t="str">
        <f aca="false">HYPERLINK(Links!$L$9,"folder")</f>
        <v>folder</v>
      </c>
      <c r="Q9" s="23"/>
      <c r="R9" s="26"/>
      <c r="S9" s="28"/>
      <c r="T9" s="23"/>
      <c r="U9" s="23"/>
      <c r="V9" s="23"/>
      <c r="W9" s="26"/>
      <c r="X9" s="26"/>
      <c r="Y9" s="23"/>
      <c r="Z9" s="23"/>
      <c r="AA9" s="23"/>
      <c r="AB9" s="26"/>
    </row>
    <row r="10" customFormat="false" ht="68.65" hidden="false" customHeight="false" outlineLevel="0" collapsed="false">
      <c r="A10" s="15" t="n">
        <v>46300</v>
      </c>
      <c r="B10" s="16" t="s">
        <v>74</v>
      </c>
      <c r="C10" s="17" t="n">
        <v>3</v>
      </c>
      <c r="D10" s="18" t="s">
        <v>110</v>
      </c>
      <c r="E10" s="19" t="s">
        <v>111</v>
      </c>
      <c r="F10" s="20" t="str">
        <f aca="false">HYPERLINK(Links!$B$10,"open")</f>
        <v>open</v>
      </c>
      <c r="G10" s="20" t="str">
        <f aca="false">HYPERLINK(Links!$C$10,"open")</f>
        <v>open</v>
      </c>
      <c r="H10" s="20" t="str">
        <f aca="false">HYPERLINK(Links!$D$10,"open")</f>
        <v>open</v>
      </c>
      <c r="I10" s="20" t="str">
        <f aca="false">HYPERLINK(Links!$E$10,"open")</f>
        <v>open</v>
      </c>
      <c r="J10" s="20" t="str">
        <f aca="false">HYPERLINK(Links!$F$10,"open")</f>
        <v>open</v>
      </c>
      <c r="K10" s="20" t="str">
        <f aca="false">HYPERLINK(Links!$G$10,"key")</f>
        <v>key</v>
      </c>
      <c r="L10" s="20" t="str">
        <f aca="false">HYPERLINK(Links!$H$10,"open")</f>
        <v>open</v>
      </c>
      <c r="M10" s="20" t="str">
        <f aca="false">HYPERLINK(Links!$I$10,"key")</f>
        <v>key</v>
      </c>
      <c r="N10" s="20" t="str">
        <f aca="false">HYPERLINK(Links!$J$10,"open")</f>
        <v>open</v>
      </c>
      <c r="O10" s="20" t="str">
        <f aca="false">HYPERLINK(Links!$K$10,"key")</f>
        <v>key</v>
      </c>
      <c r="P10" s="20" t="str">
        <f aca="false">HYPERLINK(Links!$L$10,"folder")</f>
        <v>folder</v>
      </c>
      <c r="Q10" s="20" t="str">
        <f aca="false">HYPERLINK(Links!$M$10,"search")</f>
        <v>search</v>
      </c>
      <c r="R10" s="19" t="s">
        <v>112</v>
      </c>
      <c r="S10" s="21" t="n">
        <v>46301</v>
      </c>
      <c r="T10" s="19" t="s">
        <v>113</v>
      </c>
      <c r="U10" s="19" t="s">
        <v>114</v>
      </c>
      <c r="V10" s="19" t="s">
        <v>115</v>
      </c>
      <c r="W10" s="19" t="s">
        <v>116</v>
      </c>
      <c r="X10" s="19" t="s">
        <v>117</v>
      </c>
      <c r="Y10" s="19" t="s">
        <v>48</v>
      </c>
      <c r="Z10" s="19" t="s">
        <v>118</v>
      </c>
      <c r="AA10" s="19" t="s">
        <v>119</v>
      </c>
      <c r="AB10" s="19" t="s">
        <v>120</v>
      </c>
    </row>
    <row r="11" customFormat="false" ht="68.65" hidden="false" customHeight="false" outlineLevel="0" collapsed="false">
      <c r="A11" s="15" t="n">
        <v>46301</v>
      </c>
      <c r="B11" s="16" t="s">
        <v>87</v>
      </c>
      <c r="C11" s="17" t="n">
        <v>3</v>
      </c>
      <c r="D11" s="18" t="s">
        <v>121</v>
      </c>
      <c r="E11" s="19" t="s">
        <v>122</v>
      </c>
      <c r="F11" s="20" t="str">
        <f aca="false">HYPERLINK(Links!$B$11,"open")</f>
        <v>open</v>
      </c>
      <c r="G11" s="20" t="str">
        <f aca="false">HYPERLINK(Links!$C$11,"open")</f>
        <v>open</v>
      </c>
      <c r="H11" s="20" t="str">
        <f aca="false">HYPERLINK(Links!$D$11,"open")</f>
        <v>open</v>
      </c>
      <c r="I11" s="20" t="str">
        <f aca="false">HYPERLINK(Links!$E$11,"open")</f>
        <v>open</v>
      </c>
      <c r="J11" s="20" t="str">
        <f aca="false">HYPERLINK(Links!$F$11,"open")</f>
        <v>open</v>
      </c>
      <c r="K11" s="20" t="str">
        <f aca="false">HYPERLINK(Links!$G$11,"key")</f>
        <v>key</v>
      </c>
      <c r="L11" s="20" t="str">
        <f aca="false">HYPERLINK(Links!$H$11,"open")</f>
        <v>open</v>
      </c>
      <c r="M11" s="20" t="str">
        <f aca="false">HYPERLINK(Links!$I$11,"key")</f>
        <v>key</v>
      </c>
      <c r="N11" s="20" t="str">
        <f aca="false">HYPERLINK(Links!$J$11,"open")</f>
        <v>open</v>
      </c>
      <c r="O11" s="20" t="str">
        <f aca="false">HYPERLINK(Links!$K$11,"key")</f>
        <v>key</v>
      </c>
      <c r="P11" s="20" t="str">
        <f aca="false">HYPERLINK(Links!$L$11,"folder")</f>
        <v>folder</v>
      </c>
      <c r="Q11" s="20" t="str">
        <f aca="false">HYPERLINK(Links!$M$11,"search")</f>
        <v>search</v>
      </c>
      <c r="R11" s="19" t="s">
        <v>123</v>
      </c>
      <c r="S11" s="21" t="n">
        <v>46302</v>
      </c>
      <c r="T11" s="19" t="s">
        <v>124</v>
      </c>
      <c r="U11" s="19" t="s">
        <v>125</v>
      </c>
      <c r="V11" s="19" t="s">
        <v>126</v>
      </c>
      <c r="W11" s="19" t="s">
        <v>116</v>
      </c>
      <c r="X11" s="19" t="s">
        <v>117</v>
      </c>
      <c r="Y11" s="19" t="s">
        <v>59</v>
      </c>
      <c r="Z11" s="19" t="s">
        <v>127</v>
      </c>
      <c r="AA11" s="19" t="s">
        <v>128</v>
      </c>
      <c r="AB11" s="19" t="s">
        <v>129</v>
      </c>
    </row>
    <row r="12" customFormat="false" ht="68.65" hidden="false" customHeight="false" outlineLevel="0" collapsed="false">
      <c r="A12" s="15" t="n">
        <v>46302</v>
      </c>
      <c r="B12" s="16" t="s">
        <v>39</v>
      </c>
      <c r="C12" s="17" t="n">
        <v>3</v>
      </c>
      <c r="D12" s="18" t="s">
        <v>130</v>
      </c>
      <c r="E12" s="19" t="s">
        <v>131</v>
      </c>
      <c r="F12" s="20" t="str">
        <f aca="false">HYPERLINK(Links!$B$12,"open")</f>
        <v>open</v>
      </c>
      <c r="G12" s="20" t="str">
        <f aca="false">HYPERLINK(Links!$C$12,"open")</f>
        <v>open</v>
      </c>
      <c r="H12" s="20" t="str">
        <f aca="false">HYPERLINK(Links!$D$12,"open")</f>
        <v>open</v>
      </c>
      <c r="I12" s="20" t="str">
        <f aca="false">HYPERLINK(Links!$E$12,"open")</f>
        <v>open</v>
      </c>
      <c r="J12" s="20" t="str">
        <f aca="false">HYPERLINK(Links!$F$12,"open")</f>
        <v>open</v>
      </c>
      <c r="K12" s="20" t="str">
        <f aca="false">HYPERLINK(Links!$G$12,"key")</f>
        <v>key</v>
      </c>
      <c r="L12" s="20" t="str">
        <f aca="false">HYPERLINK(Links!$H$12,"open")</f>
        <v>open</v>
      </c>
      <c r="M12" s="20" t="str">
        <f aca="false">HYPERLINK(Links!$I$12,"key")</f>
        <v>key</v>
      </c>
      <c r="N12" s="20" t="str">
        <f aca="false">HYPERLINK(Links!$J$12,"open")</f>
        <v>open</v>
      </c>
      <c r="O12" s="20" t="str">
        <f aca="false">HYPERLINK(Links!$K$12,"key")</f>
        <v>key</v>
      </c>
      <c r="P12" s="20" t="str">
        <f aca="false">HYPERLINK(Links!$L$12,"folder")</f>
        <v>folder</v>
      </c>
      <c r="Q12" s="20" t="str">
        <f aca="false">HYPERLINK(Links!$M$12,"search")</f>
        <v>search</v>
      </c>
      <c r="R12" s="19" t="s">
        <v>132</v>
      </c>
      <c r="S12" s="21" t="n">
        <v>46304</v>
      </c>
      <c r="T12" s="19" t="s">
        <v>133</v>
      </c>
      <c r="U12" s="19" t="s">
        <v>134</v>
      </c>
      <c r="V12" s="19" t="s">
        <v>135</v>
      </c>
      <c r="W12" s="19" t="s">
        <v>136</v>
      </c>
      <c r="X12" s="19" t="s">
        <v>137</v>
      </c>
      <c r="Y12" s="19" t="s">
        <v>138</v>
      </c>
      <c r="Z12" s="19" t="s">
        <v>139</v>
      </c>
      <c r="AA12" s="19" t="s">
        <v>140</v>
      </c>
      <c r="AB12" s="19" t="s">
        <v>141</v>
      </c>
    </row>
    <row r="13" customFormat="false" ht="15" hidden="false" customHeight="false" outlineLevel="0" collapsed="false">
      <c r="A13" s="22" t="n">
        <v>46303</v>
      </c>
      <c r="B13" s="23" t="s">
        <v>52</v>
      </c>
      <c r="C13" s="24" t="n">
        <v>3</v>
      </c>
      <c r="D13" s="25" t="s">
        <v>142</v>
      </c>
      <c r="E13" s="26" t="s">
        <v>143</v>
      </c>
      <c r="F13" s="23"/>
      <c r="G13" s="23"/>
      <c r="H13" s="23"/>
      <c r="I13" s="23"/>
      <c r="J13" s="23"/>
      <c r="K13" s="23"/>
      <c r="L13" s="23"/>
      <c r="M13" s="23"/>
      <c r="N13" s="23"/>
      <c r="O13" s="23"/>
      <c r="P13" s="27" t="str">
        <f aca="false">HYPERLINK(Links!$L$13,"folder")</f>
        <v>folder</v>
      </c>
      <c r="Q13" s="23"/>
      <c r="R13" s="26"/>
      <c r="S13" s="28"/>
      <c r="T13" s="23"/>
      <c r="U13" s="23"/>
      <c r="V13" s="23"/>
      <c r="W13" s="26"/>
      <c r="X13" s="26"/>
      <c r="Y13" s="23"/>
      <c r="Z13" s="23"/>
      <c r="AA13" s="23"/>
      <c r="AB13" s="26"/>
    </row>
    <row r="14" customFormat="false" ht="68.65" hidden="false" customHeight="false" outlineLevel="0" collapsed="false">
      <c r="A14" s="15" t="n">
        <v>46304</v>
      </c>
      <c r="B14" s="16" t="s">
        <v>63</v>
      </c>
      <c r="C14" s="17" t="n">
        <v>3</v>
      </c>
      <c r="D14" s="18" t="s">
        <v>144</v>
      </c>
      <c r="E14" s="19" t="s">
        <v>145</v>
      </c>
      <c r="F14" s="20" t="str">
        <f aca="false">HYPERLINK(Links!$B$14,"open")</f>
        <v>open</v>
      </c>
      <c r="G14" s="20" t="str">
        <f aca="false">HYPERLINK(Links!$C$14,"open")</f>
        <v>open</v>
      </c>
      <c r="H14" s="20" t="str">
        <f aca="false">HYPERLINK(Links!$D$14,"open")</f>
        <v>open</v>
      </c>
      <c r="I14" s="20" t="str">
        <f aca="false">HYPERLINK(Links!$E$14,"open")</f>
        <v>open</v>
      </c>
      <c r="J14" s="20" t="str">
        <f aca="false">HYPERLINK(Links!$F$14,"open")</f>
        <v>open</v>
      </c>
      <c r="K14" s="20" t="str">
        <f aca="false">HYPERLINK(Links!$G$14,"key")</f>
        <v>key</v>
      </c>
      <c r="L14" s="20" t="str">
        <f aca="false">HYPERLINK(Links!$H$14,"open")</f>
        <v>open</v>
      </c>
      <c r="M14" s="20" t="str">
        <f aca="false">HYPERLINK(Links!$I$14,"key")</f>
        <v>key</v>
      </c>
      <c r="N14" s="20" t="str">
        <f aca="false">HYPERLINK(Links!$J$14,"open")</f>
        <v>open</v>
      </c>
      <c r="O14" s="20" t="str">
        <f aca="false">HYPERLINK(Links!$K$14,"key")</f>
        <v>key</v>
      </c>
      <c r="P14" s="20" t="str">
        <f aca="false">HYPERLINK(Links!$L$14,"folder")</f>
        <v>folder</v>
      </c>
      <c r="Q14" s="20" t="str">
        <f aca="false">HYPERLINK(Links!$M$14,"search")</f>
        <v>search</v>
      </c>
      <c r="R14" s="19" t="s">
        <v>146</v>
      </c>
      <c r="S14" s="21" t="n">
        <v>46308</v>
      </c>
      <c r="T14" s="19" t="s">
        <v>147</v>
      </c>
      <c r="U14" s="19" t="s">
        <v>148</v>
      </c>
      <c r="V14" s="19" t="s">
        <v>149</v>
      </c>
      <c r="W14" s="19" t="s">
        <v>136</v>
      </c>
      <c r="X14" s="19" t="s">
        <v>137</v>
      </c>
      <c r="Y14" s="19" t="s">
        <v>150</v>
      </c>
      <c r="Z14" s="19" t="s">
        <v>151</v>
      </c>
      <c r="AA14" s="19" t="s">
        <v>152</v>
      </c>
      <c r="AB14" s="19" t="s">
        <v>153</v>
      </c>
    </row>
    <row r="15" customFormat="false" ht="23.85" hidden="false" customHeight="false" outlineLevel="0" collapsed="false">
      <c r="A15" s="22" t="n">
        <v>46308</v>
      </c>
      <c r="B15" s="23" t="s">
        <v>87</v>
      </c>
      <c r="C15" s="24" t="n">
        <v>3</v>
      </c>
      <c r="D15" s="25" t="s">
        <v>154</v>
      </c>
      <c r="E15" s="26" t="s">
        <v>155</v>
      </c>
      <c r="F15" s="27" t="str">
        <f aca="false">HYPERLINK(Links!$B$15,"Unit Review")</f>
        <v>Unit Review</v>
      </c>
      <c r="G15" s="23"/>
      <c r="H15" s="23"/>
      <c r="I15" s="23"/>
      <c r="J15" s="23"/>
      <c r="K15" s="27" t="str">
        <f aca="false">HYPERLINK(Links!$G$15,"Review key")</f>
        <v>Review key</v>
      </c>
      <c r="L15" s="23"/>
      <c r="M15" s="23"/>
      <c r="N15" s="23"/>
      <c r="O15" s="23"/>
      <c r="P15" s="27" t="str">
        <f aca="false">HYPERLINK(Links!$L$15,"folder")</f>
        <v>folder</v>
      </c>
      <c r="Q15" s="23"/>
      <c r="R15" s="26"/>
      <c r="S15" s="28"/>
      <c r="T15" s="23"/>
      <c r="U15" s="23"/>
      <c r="V15" s="23"/>
      <c r="W15" s="26"/>
      <c r="X15" s="26"/>
      <c r="Y15" s="23"/>
      <c r="Z15" s="23"/>
      <c r="AA15" s="23"/>
      <c r="AB15" s="26"/>
    </row>
    <row r="16" customFormat="false" ht="23.85" hidden="false" customHeight="false" outlineLevel="0" collapsed="false">
      <c r="A16" s="22" t="n">
        <v>46309</v>
      </c>
      <c r="B16" s="23" t="s">
        <v>39</v>
      </c>
      <c r="C16" s="24" t="n">
        <v>3</v>
      </c>
      <c r="D16" s="25" t="s">
        <v>154</v>
      </c>
      <c r="E16" s="26" t="s">
        <v>155</v>
      </c>
      <c r="F16" s="27" t="str">
        <f aca="false">HYPERLINK(Links!$B$16,"Unit Review")</f>
        <v>Unit Review</v>
      </c>
      <c r="G16" s="23"/>
      <c r="H16" s="23"/>
      <c r="I16" s="23"/>
      <c r="J16" s="23"/>
      <c r="K16" s="27" t="str">
        <f aca="false">HYPERLINK(Links!$G$16,"Review key")</f>
        <v>Review key</v>
      </c>
      <c r="L16" s="23"/>
      <c r="M16" s="23"/>
      <c r="N16" s="23"/>
      <c r="O16" s="23"/>
      <c r="P16" s="27" t="str">
        <f aca="false">HYPERLINK(Links!$L$16,"folder")</f>
        <v>folder</v>
      </c>
      <c r="Q16" s="23"/>
      <c r="R16" s="26"/>
      <c r="S16" s="28"/>
      <c r="T16" s="23"/>
      <c r="U16" s="23"/>
      <c r="V16" s="23"/>
      <c r="W16" s="26"/>
      <c r="X16" s="26"/>
      <c r="Y16" s="23"/>
      <c r="Z16" s="23"/>
      <c r="AA16" s="23"/>
      <c r="AB16" s="26"/>
    </row>
    <row r="17" customFormat="false" ht="15" hidden="false" customHeight="false" outlineLevel="0" collapsed="false">
      <c r="A17" s="29" t="n">
        <v>46310</v>
      </c>
      <c r="B17" s="30" t="s">
        <v>52</v>
      </c>
      <c r="C17" s="31" t="n">
        <v>3</v>
      </c>
      <c r="D17" s="32" t="s">
        <v>156</v>
      </c>
      <c r="E17" s="33" t="s">
        <v>157</v>
      </c>
      <c r="F17" s="34" t="str">
        <f aca="false">HYPERLINK(Links!$B$17,"Unit Assessment")</f>
        <v>Unit Assessment</v>
      </c>
      <c r="G17" s="30"/>
      <c r="H17" s="30"/>
      <c r="I17" s="30"/>
      <c r="J17" s="30"/>
      <c r="K17" s="34" t="str">
        <f aca="false">HYPERLINK(Links!$G$17,"Assessment key")</f>
        <v>Assessment key</v>
      </c>
      <c r="L17" s="30"/>
      <c r="M17" s="30"/>
      <c r="N17" s="30"/>
      <c r="O17" s="30"/>
      <c r="P17" s="34" t="str">
        <f aca="false">HYPERLINK(Links!$L$17,"folder")</f>
        <v>folder</v>
      </c>
      <c r="Q17" s="30"/>
      <c r="R17" s="33"/>
      <c r="S17" s="35"/>
      <c r="T17" s="30"/>
      <c r="U17" s="30"/>
      <c r="V17" s="30"/>
      <c r="W17" s="33"/>
      <c r="X17" s="33"/>
      <c r="Y17" s="30"/>
      <c r="Z17" s="30"/>
      <c r="AA17" s="30"/>
      <c r="AB17" s="33"/>
    </row>
    <row r="18" customFormat="false" ht="68.65" hidden="false" customHeight="false" outlineLevel="0" collapsed="false">
      <c r="A18" s="36" t="n">
        <v>46311</v>
      </c>
      <c r="B18" s="37" t="s">
        <v>63</v>
      </c>
      <c r="C18" s="38" t="n">
        <v>4</v>
      </c>
      <c r="D18" s="39" t="s">
        <v>158</v>
      </c>
      <c r="E18" s="40" t="s">
        <v>159</v>
      </c>
      <c r="F18" s="41" t="str">
        <f aca="false">HYPERLINK(Links!$B$18,"open")</f>
        <v>open</v>
      </c>
      <c r="G18" s="41" t="str">
        <f aca="false">HYPERLINK(Links!$C$18,"open")</f>
        <v>open</v>
      </c>
      <c r="H18" s="41" t="str">
        <f aca="false">HYPERLINK(Links!$D$18,"open")</f>
        <v>open</v>
      </c>
      <c r="I18" s="41" t="str">
        <f aca="false">HYPERLINK(Links!$E$18,"open")</f>
        <v>open</v>
      </c>
      <c r="J18" s="41" t="str">
        <f aca="false">HYPERLINK(Links!$F$18,"open")</f>
        <v>open</v>
      </c>
      <c r="K18" s="41" t="str">
        <f aca="false">HYPERLINK(Links!$G$18,"key")</f>
        <v>key</v>
      </c>
      <c r="L18" s="41" t="str">
        <f aca="false">HYPERLINK(Links!$H$18,"open")</f>
        <v>open</v>
      </c>
      <c r="M18" s="41" t="str">
        <f aca="false">HYPERLINK(Links!$I$18,"key")</f>
        <v>key</v>
      </c>
      <c r="N18" s="41" t="str">
        <f aca="false">HYPERLINK(Links!$J$18,"open")</f>
        <v>open</v>
      </c>
      <c r="O18" s="41" t="str">
        <f aca="false">HYPERLINK(Links!$K$18,"key")</f>
        <v>key</v>
      </c>
      <c r="P18" s="41" t="str">
        <f aca="false">HYPERLINK(Links!$L$18,"folder")</f>
        <v>folder</v>
      </c>
      <c r="Q18" s="41" t="str">
        <f aca="false">HYPERLINK(Links!$M$18,"search")</f>
        <v>search</v>
      </c>
      <c r="R18" s="40" t="s">
        <v>160</v>
      </c>
      <c r="S18" s="42" t="n">
        <v>46314</v>
      </c>
      <c r="T18" s="40" t="s">
        <v>161</v>
      </c>
      <c r="U18" s="40" t="s">
        <v>162</v>
      </c>
      <c r="V18" s="40" t="s">
        <v>163</v>
      </c>
      <c r="W18" s="40" t="s">
        <v>164</v>
      </c>
      <c r="X18" s="40" t="s">
        <v>165</v>
      </c>
      <c r="Y18" s="40" t="s">
        <v>59</v>
      </c>
      <c r="Z18" s="40" t="s">
        <v>166</v>
      </c>
      <c r="AA18" s="40" t="s">
        <v>167</v>
      </c>
      <c r="AB18" s="40" t="s">
        <v>168</v>
      </c>
    </row>
    <row r="19" customFormat="false" ht="68.65" hidden="false" customHeight="false" outlineLevel="0" collapsed="false">
      <c r="A19" s="36" t="n">
        <v>46314</v>
      </c>
      <c r="B19" s="37" t="s">
        <v>74</v>
      </c>
      <c r="C19" s="38" t="n">
        <v>4</v>
      </c>
      <c r="D19" s="39" t="s">
        <v>169</v>
      </c>
      <c r="E19" s="40" t="s">
        <v>170</v>
      </c>
      <c r="F19" s="41" t="str">
        <f aca="false">HYPERLINK(Links!$B$19,"open")</f>
        <v>open</v>
      </c>
      <c r="G19" s="41" t="str">
        <f aca="false">HYPERLINK(Links!$C$19,"open")</f>
        <v>open</v>
      </c>
      <c r="H19" s="41" t="str">
        <f aca="false">HYPERLINK(Links!$D$19,"open")</f>
        <v>open</v>
      </c>
      <c r="I19" s="41" t="str">
        <f aca="false">HYPERLINK(Links!$E$19,"open")</f>
        <v>open</v>
      </c>
      <c r="J19" s="41" t="str">
        <f aca="false">HYPERLINK(Links!$F$19,"open")</f>
        <v>open</v>
      </c>
      <c r="K19" s="41" t="str">
        <f aca="false">HYPERLINK(Links!$G$19,"key")</f>
        <v>key</v>
      </c>
      <c r="L19" s="41" t="str">
        <f aca="false">HYPERLINK(Links!$H$19,"open")</f>
        <v>open</v>
      </c>
      <c r="M19" s="41" t="str">
        <f aca="false">HYPERLINK(Links!$I$19,"key")</f>
        <v>key</v>
      </c>
      <c r="N19" s="41" t="str">
        <f aca="false">HYPERLINK(Links!$J$19,"open")</f>
        <v>open</v>
      </c>
      <c r="O19" s="41" t="str">
        <f aca="false">HYPERLINK(Links!$K$19,"key")</f>
        <v>key</v>
      </c>
      <c r="P19" s="41" t="str">
        <f aca="false">HYPERLINK(Links!$L$19,"folder")</f>
        <v>folder</v>
      </c>
      <c r="Q19" s="41" t="str">
        <f aca="false">HYPERLINK(Links!$M$19,"search")</f>
        <v>search</v>
      </c>
      <c r="R19" s="40" t="s">
        <v>171</v>
      </c>
      <c r="S19" s="42" t="n">
        <v>46315</v>
      </c>
      <c r="T19" s="40" t="s">
        <v>172</v>
      </c>
      <c r="U19" s="40" t="s">
        <v>173</v>
      </c>
      <c r="V19" s="40" t="s">
        <v>174</v>
      </c>
      <c r="W19" s="40" t="s">
        <v>164</v>
      </c>
      <c r="X19" s="40" t="s">
        <v>165</v>
      </c>
      <c r="Y19" s="40" t="s">
        <v>48</v>
      </c>
      <c r="Z19" s="40" t="s">
        <v>175</v>
      </c>
      <c r="AA19" s="40" t="s">
        <v>176</v>
      </c>
      <c r="AB19" s="40" t="s">
        <v>177</v>
      </c>
    </row>
    <row r="20" customFormat="false" ht="68.65" hidden="false" customHeight="false" outlineLevel="0" collapsed="false">
      <c r="A20" s="36" t="n">
        <v>46315</v>
      </c>
      <c r="B20" s="37" t="s">
        <v>87</v>
      </c>
      <c r="C20" s="38" t="n">
        <v>4</v>
      </c>
      <c r="D20" s="39" t="s">
        <v>178</v>
      </c>
      <c r="E20" s="40" t="s">
        <v>179</v>
      </c>
      <c r="F20" s="41" t="str">
        <f aca="false">HYPERLINK(Links!$B$20,"open")</f>
        <v>open</v>
      </c>
      <c r="G20" s="41" t="str">
        <f aca="false">HYPERLINK(Links!$C$20,"open")</f>
        <v>open</v>
      </c>
      <c r="H20" s="41" t="str">
        <f aca="false">HYPERLINK(Links!$D$20,"open")</f>
        <v>open</v>
      </c>
      <c r="I20" s="41" t="str">
        <f aca="false">HYPERLINK(Links!$E$20,"open")</f>
        <v>open</v>
      </c>
      <c r="J20" s="41" t="str">
        <f aca="false">HYPERLINK(Links!$F$20,"open")</f>
        <v>open</v>
      </c>
      <c r="K20" s="41" t="str">
        <f aca="false">HYPERLINK(Links!$G$20,"key")</f>
        <v>key</v>
      </c>
      <c r="L20" s="41" t="str">
        <f aca="false">HYPERLINK(Links!$H$20,"open")</f>
        <v>open</v>
      </c>
      <c r="M20" s="41" t="str">
        <f aca="false">HYPERLINK(Links!$I$20,"key")</f>
        <v>key</v>
      </c>
      <c r="N20" s="41" t="str">
        <f aca="false">HYPERLINK(Links!$J$20,"open")</f>
        <v>open</v>
      </c>
      <c r="O20" s="41" t="str">
        <f aca="false">HYPERLINK(Links!$K$20,"key")</f>
        <v>key</v>
      </c>
      <c r="P20" s="41" t="str">
        <f aca="false">HYPERLINK(Links!$L$20,"folder")</f>
        <v>folder</v>
      </c>
      <c r="Q20" s="41" t="str">
        <f aca="false">HYPERLINK(Links!$M$20,"search")</f>
        <v>search</v>
      </c>
      <c r="R20" s="40" t="s">
        <v>180</v>
      </c>
      <c r="S20" s="42" t="n">
        <v>46316</v>
      </c>
      <c r="T20" s="40" t="s">
        <v>181</v>
      </c>
      <c r="U20" s="40" t="s">
        <v>182</v>
      </c>
      <c r="V20" s="40" t="s">
        <v>183</v>
      </c>
      <c r="W20" s="40" t="s">
        <v>184</v>
      </c>
      <c r="X20" s="40" t="s">
        <v>185</v>
      </c>
      <c r="Y20" s="40" t="s">
        <v>186</v>
      </c>
      <c r="Z20" s="40" t="s">
        <v>187</v>
      </c>
      <c r="AA20" s="40" t="s">
        <v>188</v>
      </c>
      <c r="AB20" s="40" t="s">
        <v>189</v>
      </c>
    </row>
    <row r="21" customFormat="false" ht="68.65" hidden="false" customHeight="false" outlineLevel="0" collapsed="false">
      <c r="A21" s="36" t="n">
        <v>46316</v>
      </c>
      <c r="B21" s="37" t="s">
        <v>39</v>
      </c>
      <c r="C21" s="38" t="n">
        <v>4</v>
      </c>
      <c r="D21" s="39" t="s">
        <v>190</v>
      </c>
      <c r="E21" s="40" t="s">
        <v>191</v>
      </c>
      <c r="F21" s="41" t="str">
        <f aca="false">HYPERLINK(Links!$B$21,"open")</f>
        <v>open</v>
      </c>
      <c r="G21" s="41" t="str">
        <f aca="false">HYPERLINK(Links!$C$21,"open")</f>
        <v>open</v>
      </c>
      <c r="H21" s="41" t="str">
        <f aca="false">HYPERLINK(Links!$D$21,"open")</f>
        <v>open</v>
      </c>
      <c r="I21" s="41" t="str">
        <f aca="false">HYPERLINK(Links!$E$21,"open")</f>
        <v>open</v>
      </c>
      <c r="J21" s="41" t="str">
        <f aca="false">HYPERLINK(Links!$F$21,"open")</f>
        <v>open</v>
      </c>
      <c r="K21" s="41" t="str">
        <f aca="false">HYPERLINK(Links!$G$21,"key")</f>
        <v>key</v>
      </c>
      <c r="L21" s="41" t="str">
        <f aca="false">HYPERLINK(Links!$H$21,"open")</f>
        <v>open</v>
      </c>
      <c r="M21" s="41" t="str">
        <f aca="false">HYPERLINK(Links!$I$21,"key")</f>
        <v>key</v>
      </c>
      <c r="N21" s="41" t="str">
        <f aca="false">HYPERLINK(Links!$J$21,"open")</f>
        <v>open</v>
      </c>
      <c r="O21" s="41" t="str">
        <f aca="false">HYPERLINK(Links!$K$21,"key")</f>
        <v>key</v>
      </c>
      <c r="P21" s="41" t="str">
        <f aca="false">HYPERLINK(Links!$L$21,"folder")</f>
        <v>folder</v>
      </c>
      <c r="Q21" s="41" t="str">
        <f aca="false">HYPERLINK(Links!$M$21,"search")</f>
        <v>search</v>
      </c>
      <c r="R21" s="40" t="s">
        <v>192</v>
      </c>
      <c r="S21" s="42" t="n">
        <v>46318</v>
      </c>
      <c r="T21" s="40" t="s">
        <v>193</v>
      </c>
      <c r="U21" s="40" t="s">
        <v>194</v>
      </c>
      <c r="V21" s="40" t="s">
        <v>195</v>
      </c>
      <c r="W21" s="40" t="s">
        <v>196</v>
      </c>
      <c r="X21" s="40" t="s">
        <v>197</v>
      </c>
      <c r="Y21" s="40" t="s">
        <v>59</v>
      </c>
      <c r="Z21" s="40" t="s">
        <v>198</v>
      </c>
      <c r="AA21" s="40" t="s">
        <v>199</v>
      </c>
      <c r="AB21" s="40" t="s">
        <v>200</v>
      </c>
    </row>
    <row r="22" customFormat="false" ht="68.65" hidden="false" customHeight="false" outlineLevel="0" collapsed="false">
      <c r="A22" s="36" t="n">
        <v>46317</v>
      </c>
      <c r="B22" s="37" t="s">
        <v>52</v>
      </c>
      <c r="C22" s="38" t="n">
        <v>4</v>
      </c>
      <c r="D22" s="39" t="s">
        <v>201</v>
      </c>
      <c r="E22" s="40" t="s">
        <v>202</v>
      </c>
      <c r="F22" s="41" t="str">
        <f aca="false">HYPERLINK(Links!$B$22,"open")</f>
        <v>open</v>
      </c>
      <c r="G22" s="41" t="str">
        <f aca="false">HYPERLINK(Links!$C$22,"open")</f>
        <v>open</v>
      </c>
      <c r="H22" s="41" t="str">
        <f aca="false">HYPERLINK(Links!$D$22,"open")</f>
        <v>open</v>
      </c>
      <c r="I22" s="41" t="str">
        <f aca="false">HYPERLINK(Links!$E$22,"open")</f>
        <v>open</v>
      </c>
      <c r="J22" s="41" t="str">
        <f aca="false">HYPERLINK(Links!$F$22,"open")</f>
        <v>open</v>
      </c>
      <c r="K22" s="41" t="str">
        <f aca="false">HYPERLINK(Links!$G$22,"key")</f>
        <v>key</v>
      </c>
      <c r="L22" s="41" t="str">
        <f aca="false">HYPERLINK(Links!$H$22,"open")</f>
        <v>open</v>
      </c>
      <c r="M22" s="41" t="str">
        <f aca="false">HYPERLINK(Links!$I$22,"key")</f>
        <v>key</v>
      </c>
      <c r="N22" s="41" t="str">
        <f aca="false">HYPERLINK(Links!$J$22,"open")</f>
        <v>open</v>
      </c>
      <c r="O22" s="41" t="str">
        <f aca="false">HYPERLINK(Links!$K$22,"key")</f>
        <v>key</v>
      </c>
      <c r="P22" s="41" t="str">
        <f aca="false">HYPERLINK(Links!$L$22,"folder")</f>
        <v>folder</v>
      </c>
      <c r="Q22" s="41" t="str">
        <f aca="false">HYPERLINK(Links!$M$22,"search")</f>
        <v>search</v>
      </c>
      <c r="R22" s="40" t="s">
        <v>192</v>
      </c>
      <c r="S22" s="42" t="n">
        <v>46318</v>
      </c>
      <c r="T22" s="40" t="s">
        <v>203</v>
      </c>
      <c r="U22" s="40" t="s">
        <v>204</v>
      </c>
      <c r="V22" s="40" t="s">
        <v>205</v>
      </c>
      <c r="W22" s="40" t="s">
        <v>196</v>
      </c>
      <c r="X22" s="40" t="s">
        <v>197</v>
      </c>
      <c r="Y22" s="40" t="s">
        <v>48</v>
      </c>
      <c r="Z22" s="40" t="s">
        <v>206</v>
      </c>
      <c r="AA22" s="40" t="s">
        <v>207</v>
      </c>
      <c r="AB22" s="40" t="s">
        <v>208</v>
      </c>
    </row>
    <row r="23" customFormat="false" ht="68.65" hidden="false" customHeight="false" outlineLevel="0" collapsed="false">
      <c r="A23" s="36" t="n">
        <v>46318</v>
      </c>
      <c r="B23" s="37" t="s">
        <v>63</v>
      </c>
      <c r="C23" s="38" t="n">
        <v>4</v>
      </c>
      <c r="D23" s="39" t="s">
        <v>209</v>
      </c>
      <c r="E23" s="40" t="s">
        <v>210</v>
      </c>
      <c r="F23" s="41" t="str">
        <f aca="false">HYPERLINK(Links!$B$23,"open")</f>
        <v>open</v>
      </c>
      <c r="G23" s="41" t="str">
        <f aca="false">HYPERLINK(Links!$C$23,"open")</f>
        <v>open</v>
      </c>
      <c r="H23" s="41" t="str">
        <f aca="false">HYPERLINK(Links!$D$23,"open")</f>
        <v>open</v>
      </c>
      <c r="I23" s="41" t="str">
        <f aca="false">HYPERLINK(Links!$E$23,"open")</f>
        <v>open</v>
      </c>
      <c r="J23" s="41" t="str">
        <f aca="false">HYPERLINK(Links!$F$23,"open")</f>
        <v>open</v>
      </c>
      <c r="K23" s="41" t="str">
        <f aca="false">HYPERLINK(Links!$G$23,"key")</f>
        <v>key</v>
      </c>
      <c r="L23" s="41" t="str">
        <f aca="false">HYPERLINK(Links!$H$23,"open")</f>
        <v>open</v>
      </c>
      <c r="M23" s="41" t="str">
        <f aca="false">HYPERLINK(Links!$I$23,"key")</f>
        <v>key</v>
      </c>
      <c r="N23" s="41" t="str">
        <f aca="false">HYPERLINK(Links!$J$23,"open")</f>
        <v>open</v>
      </c>
      <c r="O23" s="41" t="str">
        <f aca="false">HYPERLINK(Links!$K$23,"key")</f>
        <v>key</v>
      </c>
      <c r="P23" s="41" t="str">
        <f aca="false">HYPERLINK(Links!$L$23,"folder")</f>
        <v>folder</v>
      </c>
      <c r="Q23" s="41" t="str">
        <f aca="false">HYPERLINK(Links!$M$23,"search")</f>
        <v>search</v>
      </c>
      <c r="R23" s="40" t="s">
        <v>211</v>
      </c>
      <c r="S23" s="42" t="n">
        <v>46321</v>
      </c>
      <c r="T23" s="40" t="s">
        <v>212</v>
      </c>
      <c r="U23" s="40" t="s">
        <v>213</v>
      </c>
      <c r="V23" s="40" t="s">
        <v>214</v>
      </c>
      <c r="W23" s="40" t="s">
        <v>196</v>
      </c>
      <c r="X23" s="40" t="s">
        <v>197</v>
      </c>
      <c r="Y23" s="40" t="s">
        <v>215</v>
      </c>
      <c r="Z23" s="40" t="s">
        <v>216</v>
      </c>
      <c r="AA23" s="40" t="s">
        <v>217</v>
      </c>
      <c r="AB23" s="40" t="s">
        <v>218</v>
      </c>
    </row>
    <row r="24" customFormat="false" ht="15" hidden="false" customHeight="false" outlineLevel="0" collapsed="false">
      <c r="A24" s="29" t="n">
        <v>46321</v>
      </c>
      <c r="B24" s="30" t="s">
        <v>74</v>
      </c>
      <c r="C24" s="31" t="n">
        <v>4</v>
      </c>
      <c r="D24" s="32" t="s">
        <v>219</v>
      </c>
      <c r="E24" s="33" t="s">
        <v>220</v>
      </c>
      <c r="F24" s="34" t="str">
        <f aca="false">HYPERLINK(Links!$B$24,"Unit Assessment")</f>
        <v>Unit Assessment</v>
      </c>
      <c r="G24" s="30"/>
      <c r="H24" s="30"/>
      <c r="I24" s="30"/>
      <c r="J24" s="30"/>
      <c r="K24" s="34" t="str">
        <f aca="false">HYPERLINK(Links!$G$24,"Assessment key")</f>
        <v>Assessment key</v>
      </c>
      <c r="L24" s="30"/>
      <c r="M24" s="30"/>
      <c r="N24" s="30"/>
      <c r="O24" s="30"/>
      <c r="P24" s="34" t="str">
        <f aca="false">HYPERLINK(Links!$L$24,"folder")</f>
        <v>folder</v>
      </c>
      <c r="Q24" s="30"/>
      <c r="R24" s="33"/>
      <c r="S24" s="35"/>
      <c r="T24" s="30"/>
      <c r="U24" s="30"/>
      <c r="V24" s="30"/>
      <c r="W24" s="33"/>
      <c r="X24" s="33"/>
      <c r="Y24" s="30"/>
      <c r="Z24" s="30"/>
      <c r="AA24" s="30"/>
      <c r="AB24" s="33"/>
    </row>
    <row r="25" customFormat="false" ht="15" hidden="false" customHeight="false" outlineLevel="0" collapsed="false">
      <c r="A25" s="29" t="n">
        <v>46322</v>
      </c>
      <c r="B25" s="30" t="s">
        <v>87</v>
      </c>
      <c r="C25" s="31" t="n">
        <v>4</v>
      </c>
      <c r="D25" s="32" t="s">
        <v>221</v>
      </c>
      <c r="E25" s="33" t="s">
        <v>222</v>
      </c>
      <c r="F25" s="34" t="str">
        <f aca="false">HYPERLINK(Links!$B$25,"Unit Assessment")</f>
        <v>Unit Assessment</v>
      </c>
      <c r="G25" s="30"/>
      <c r="H25" s="30"/>
      <c r="I25" s="30"/>
      <c r="J25" s="30"/>
      <c r="K25" s="34" t="str">
        <f aca="false">HYPERLINK(Links!$G$25,"Assessment key")</f>
        <v>Assessment key</v>
      </c>
      <c r="L25" s="30"/>
      <c r="M25" s="30"/>
      <c r="N25" s="30"/>
      <c r="O25" s="30"/>
      <c r="P25" s="34" t="str">
        <f aca="false">HYPERLINK(Links!$L$25,"folder")</f>
        <v>folder</v>
      </c>
      <c r="Q25" s="30"/>
      <c r="R25" s="33"/>
      <c r="S25" s="35"/>
      <c r="T25" s="30"/>
      <c r="U25" s="30"/>
      <c r="V25" s="30"/>
      <c r="W25" s="33"/>
      <c r="X25" s="33"/>
      <c r="Y25" s="30"/>
      <c r="Z25" s="30"/>
      <c r="AA25" s="30"/>
      <c r="AB25" s="33"/>
    </row>
    <row r="26" customFormat="false" ht="35.05" hidden="false" customHeight="false" outlineLevel="0" collapsed="false">
      <c r="A26" s="15" t="n">
        <v>46323</v>
      </c>
      <c r="B26" s="16" t="s">
        <v>39</v>
      </c>
      <c r="C26" s="17" t="n">
        <v>5</v>
      </c>
      <c r="D26" s="18" t="s">
        <v>223</v>
      </c>
      <c r="E26" s="19" t="s">
        <v>224</v>
      </c>
      <c r="F26" s="43" t="s">
        <v>225</v>
      </c>
      <c r="G26" s="16"/>
      <c r="H26" s="16"/>
      <c r="I26" s="16"/>
      <c r="J26" s="16"/>
      <c r="K26" s="16"/>
      <c r="L26" s="16"/>
      <c r="M26" s="16"/>
      <c r="N26" s="16"/>
      <c r="O26" s="16"/>
      <c r="P26" s="16"/>
      <c r="Q26" s="20" t="str">
        <f aca="false">HYPERLINK(Links!$M$26,"search")</f>
        <v>search</v>
      </c>
      <c r="R26" s="19" t="s">
        <v>226</v>
      </c>
      <c r="S26" s="21" t="n">
        <v>46324</v>
      </c>
      <c r="T26" s="16"/>
      <c r="U26" s="16"/>
      <c r="V26" s="16"/>
      <c r="W26" s="19" t="s">
        <v>227</v>
      </c>
      <c r="X26" s="19" t="s">
        <v>228</v>
      </c>
      <c r="Y26" s="16"/>
      <c r="Z26" s="16"/>
      <c r="AA26" s="16"/>
      <c r="AB26" s="19" t="s">
        <v>229</v>
      </c>
    </row>
    <row r="27" customFormat="false" ht="35.05" hidden="false" customHeight="false" outlineLevel="0" collapsed="false">
      <c r="A27" s="15" t="n">
        <v>46324</v>
      </c>
      <c r="B27" s="16" t="s">
        <v>52</v>
      </c>
      <c r="C27" s="17" t="n">
        <v>5</v>
      </c>
      <c r="D27" s="18" t="s">
        <v>230</v>
      </c>
      <c r="E27" s="19" t="s">
        <v>231</v>
      </c>
      <c r="F27" s="43" t="s">
        <v>225</v>
      </c>
      <c r="G27" s="16"/>
      <c r="H27" s="16"/>
      <c r="I27" s="16"/>
      <c r="J27" s="16"/>
      <c r="K27" s="16"/>
      <c r="L27" s="16"/>
      <c r="M27" s="16"/>
      <c r="N27" s="16"/>
      <c r="O27" s="16"/>
      <c r="P27" s="16"/>
      <c r="Q27" s="20" t="str">
        <f aca="false">HYPERLINK(Links!$M$27,"search")</f>
        <v>search</v>
      </c>
      <c r="R27" s="19" t="s">
        <v>232</v>
      </c>
      <c r="S27" s="21" t="n">
        <v>46325</v>
      </c>
      <c r="T27" s="16"/>
      <c r="U27" s="16"/>
      <c r="V27" s="16"/>
      <c r="W27" s="19" t="s">
        <v>227</v>
      </c>
      <c r="X27" s="19" t="s">
        <v>228</v>
      </c>
      <c r="Y27" s="16"/>
      <c r="Z27" s="16"/>
      <c r="AA27" s="16"/>
      <c r="AB27" s="19" t="s">
        <v>233</v>
      </c>
    </row>
    <row r="28" customFormat="false" ht="35.05" hidden="false" customHeight="false" outlineLevel="0" collapsed="false">
      <c r="A28" s="15" t="n">
        <v>46325</v>
      </c>
      <c r="B28" s="16" t="s">
        <v>63</v>
      </c>
      <c r="C28" s="17" t="n">
        <v>5</v>
      </c>
      <c r="D28" s="18" t="s">
        <v>234</v>
      </c>
      <c r="E28" s="19" t="s">
        <v>235</v>
      </c>
      <c r="F28" s="43" t="s">
        <v>225</v>
      </c>
      <c r="G28" s="16"/>
      <c r="H28" s="16"/>
      <c r="I28" s="16"/>
      <c r="J28" s="16"/>
      <c r="K28" s="16"/>
      <c r="L28" s="16"/>
      <c r="M28" s="16"/>
      <c r="N28" s="16"/>
      <c r="O28" s="16"/>
      <c r="P28" s="16"/>
      <c r="Q28" s="20" t="str">
        <f aca="false">HYPERLINK(Links!$M$28,"search")</f>
        <v>search</v>
      </c>
      <c r="R28" s="19" t="s">
        <v>236</v>
      </c>
      <c r="S28" s="21" t="n">
        <v>46328</v>
      </c>
      <c r="T28" s="16"/>
      <c r="U28" s="16"/>
      <c r="V28" s="16"/>
      <c r="W28" s="19" t="s">
        <v>227</v>
      </c>
      <c r="X28" s="19" t="s">
        <v>228</v>
      </c>
      <c r="Y28" s="16"/>
      <c r="Z28" s="16"/>
      <c r="AA28" s="16"/>
      <c r="AB28" s="19" t="s">
        <v>237</v>
      </c>
    </row>
    <row r="29" customFormat="false" ht="35.05" hidden="false" customHeight="false" outlineLevel="0" collapsed="false">
      <c r="A29" s="15" t="n">
        <v>46328</v>
      </c>
      <c r="B29" s="16" t="s">
        <v>74</v>
      </c>
      <c r="C29" s="17" t="n">
        <v>5</v>
      </c>
      <c r="D29" s="18" t="s">
        <v>238</v>
      </c>
      <c r="E29" s="19" t="s">
        <v>239</v>
      </c>
      <c r="F29" s="43" t="s">
        <v>225</v>
      </c>
      <c r="G29" s="16"/>
      <c r="H29" s="16"/>
      <c r="I29" s="16"/>
      <c r="J29" s="16"/>
      <c r="K29" s="16"/>
      <c r="L29" s="16"/>
      <c r="M29" s="16"/>
      <c r="N29" s="16"/>
      <c r="O29" s="16"/>
      <c r="P29" s="16"/>
      <c r="Q29" s="20" t="str">
        <f aca="false">HYPERLINK(Links!$M$29,"search")</f>
        <v>search</v>
      </c>
      <c r="R29" s="19" t="s">
        <v>240</v>
      </c>
      <c r="S29" s="21" t="n">
        <v>46330</v>
      </c>
      <c r="T29" s="16"/>
      <c r="U29" s="16"/>
      <c r="V29" s="16"/>
      <c r="W29" s="19" t="s">
        <v>241</v>
      </c>
      <c r="X29" s="19" t="s">
        <v>242</v>
      </c>
      <c r="Y29" s="16"/>
      <c r="Z29" s="16"/>
      <c r="AA29" s="16"/>
      <c r="AB29" s="19" t="s">
        <v>243</v>
      </c>
    </row>
    <row r="30" customFormat="false" ht="35.05" hidden="false" customHeight="false" outlineLevel="0" collapsed="false">
      <c r="A30" s="15" t="n">
        <v>46329</v>
      </c>
      <c r="B30" s="16" t="s">
        <v>87</v>
      </c>
      <c r="C30" s="17" t="n">
        <v>5</v>
      </c>
      <c r="D30" s="18" t="s">
        <v>244</v>
      </c>
      <c r="E30" s="19" t="s">
        <v>245</v>
      </c>
      <c r="F30" s="43" t="s">
        <v>225</v>
      </c>
      <c r="G30" s="16"/>
      <c r="H30" s="16"/>
      <c r="I30" s="16"/>
      <c r="J30" s="16"/>
      <c r="K30" s="16"/>
      <c r="L30" s="16"/>
      <c r="M30" s="16"/>
      <c r="N30" s="16"/>
      <c r="O30" s="16"/>
      <c r="P30" s="16"/>
      <c r="Q30" s="20" t="str">
        <f aca="false">HYPERLINK(Links!$M$30,"search")</f>
        <v>search</v>
      </c>
      <c r="R30" s="19" t="s">
        <v>240</v>
      </c>
      <c r="S30" s="21" t="n">
        <v>46330</v>
      </c>
      <c r="T30" s="16"/>
      <c r="U30" s="16"/>
      <c r="V30" s="16"/>
      <c r="W30" s="19" t="s">
        <v>241</v>
      </c>
      <c r="X30" s="19" t="s">
        <v>242</v>
      </c>
      <c r="Y30" s="16"/>
      <c r="Z30" s="16"/>
      <c r="AA30" s="16"/>
      <c r="AB30" s="19" t="s">
        <v>246</v>
      </c>
    </row>
    <row r="31" customFormat="false" ht="57.45" hidden="false" customHeight="false" outlineLevel="0" collapsed="false">
      <c r="A31" s="15" t="n">
        <v>46330</v>
      </c>
      <c r="B31" s="16" t="s">
        <v>39</v>
      </c>
      <c r="C31" s="17" t="n">
        <v>5</v>
      </c>
      <c r="D31" s="18" t="s">
        <v>247</v>
      </c>
      <c r="E31" s="19" t="s">
        <v>248</v>
      </c>
      <c r="F31" s="43" t="s">
        <v>225</v>
      </c>
      <c r="G31" s="16"/>
      <c r="H31" s="16"/>
      <c r="I31" s="16"/>
      <c r="J31" s="16"/>
      <c r="K31" s="16"/>
      <c r="L31" s="16"/>
      <c r="M31" s="16"/>
      <c r="N31" s="16"/>
      <c r="O31" s="16"/>
      <c r="P31" s="16"/>
      <c r="Q31" s="20" t="str">
        <f aca="false">HYPERLINK(Links!$M$31,"search")</f>
        <v>search</v>
      </c>
      <c r="R31" s="19" t="s">
        <v>249</v>
      </c>
      <c r="S31" s="21" t="n">
        <v>46331</v>
      </c>
      <c r="T31" s="16"/>
      <c r="U31" s="16"/>
      <c r="V31" s="16"/>
      <c r="W31" s="19" t="s">
        <v>250</v>
      </c>
      <c r="X31" s="19" t="s">
        <v>251</v>
      </c>
      <c r="Y31" s="16"/>
      <c r="Z31" s="16"/>
      <c r="AA31" s="16"/>
      <c r="AB31" s="19" t="s">
        <v>252</v>
      </c>
    </row>
    <row r="32" customFormat="false" ht="15" hidden="false" customHeight="false" outlineLevel="0" collapsed="false">
      <c r="A32" s="29" t="n">
        <v>46331</v>
      </c>
      <c r="B32" s="30" t="s">
        <v>52</v>
      </c>
      <c r="C32" s="31" t="n">
        <v>5</v>
      </c>
      <c r="D32" s="32" t="s">
        <v>253</v>
      </c>
      <c r="E32" s="33" t="s">
        <v>254</v>
      </c>
      <c r="F32" s="44" t="s">
        <v>225</v>
      </c>
      <c r="G32" s="30"/>
      <c r="H32" s="30"/>
      <c r="I32" s="30"/>
      <c r="J32" s="30"/>
      <c r="K32" s="30"/>
      <c r="L32" s="30"/>
      <c r="M32" s="30"/>
      <c r="N32" s="30"/>
      <c r="O32" s="30"/>
      <c r="P32" s="30"/>
      <c r="Q32" s="30"/>
      <c r="R32" s="33"/>
      <c r="S32" s="35"/>
      <c r="T32" s="30"/>
      <c r="U32" s="30"/>
      <c r="V32" s="30"/>
      <c r="W32" s="33"/>
      <c r="X32" s="33"/>
      <c r="Y32" s="30"/>
      <c r="Z32" s="30"/>
      <c r="AA32" s="30"/>
      <c r="AB32" s="33"/>
    </row>
    <row r="33" customFormat="false" ht="15" hidden="false" customHeight="false" outlineLevel="0" collapsed="false">
      <c r="A33" s="29" t="n">
        <v>46332</v>
      </c>
      <c r="B33" s="30" t="s">
        <v>63</v>
      </c>
      <c r="C33" s="31" t="n">
        <v>5</v>
      </c>
      <c r="D33" s="32" t="s">
        <v>255</v>
      </c>
      <c r="E33" s="33" t="s">
        <v>256</v>
      </c>
      <c r="F33" s="44" t="s">
        <v>225</v>
      </c>
      <c r="G33" s="30"/>
      <c r="H33" s="30"/>
      <c r="I33" s="30"/>
      <c r="J33" s="30"/>
      <c r="K33" s="30"/>
      <c r="L33" s="30"/>
      <c r="M33" s="30"/>
      <c r="N33" s="30"/>
      <c r="O33" s="30"/>
      <c r="P33" s="30"/>
      <c r="Q33" s="30"/>
      <c r="R33" s="33"/>
      <c r="S33" s="35"/>
      <c r="T33" s="30"/>
      <c r="U33" s="30"/>
      <c r="V33" s="30"/>
      <c r="W33" s="33"/>
      <c r="X33" s="33"/>
      <c r="Y33" s="30"/>
      <c r="Z33" s="30"/>
      <c r="AA33" s="30"/>
      <c r="AB33" s="33"/>
    </row>
    <row r="34" customFormat="false" ht="46.25" hidden="false" customHeight="false" outlineLevel="0" collapsed="false">
      <c r="A34" s="36" t="n">
        <v>46335</v>
      </c>
      <c r="B34" s="37" t="s">
        <v>74</v>
      </c>
      <c r="C34" s="38" t="n">
        <v>6</v>
      </c>
      <c r="D34" s="39" t="s">
        <v>257</v>
      </c>
      <c r="E34" s="40" t="s">
        <v>258</v>
      </c>
      <c r="F34" s="45" t="s">
        <v>225</v>
      </c>
      <c r="G34" s="37"/>
      <c r="H34" s="37"/>
      <c r="I34" s="37"/>
      <c r="J34" s="37"/>
      <c r="K34" s="37"/>
      <c r="L34" s="37"/>
      <c r="M34" s="37"/>
      <c r="N34" s="37"/>
      <c r="O34" s="37"/>
      <c r="P34" s="37"/>
      <c r="Q34" s="41" t="str">
        <f aca="false">HYPERLINK(Links!$M$34,"search")</f>
        <v>search</v>
      </c>
      <c r="R34" s="40" t="s">
        <v>259</v>
      </c>
      <c r="S34" s="42" t="n">
        <v>46336</v>
      </c>
      <c r="T34" s="37"/>
      <c r="U34" s="37"/>
      <c r="V34" s="37"/>
      <c r="W34" s="40" t="s">
        <v>260</v>
      </c>
      <c r="X34" s="40" t="s">
        <v>261</v>
      </c>
      <c r="Y34" s="37"/>
      <c r="Z34" s="37"/>
      <c r="AA34" s="37"/>
      <c r="AB34" s="40" t="s">
        <v>262</v>
      </c>
    </row>
    <row r="35" customFormat="false" ht="23.85" hidden="false" customHeight="false" outlineLevel="0" collapsed="false">
      <c r="A35" s="36" t="n">
        <v>46336</v>
      </c>
      <c r="B35" s="37" t="s">
        <v>87</v>
      </c>
      <c r="C35" s="38" t="n">
        <v>6</v>
      </c>
      <c r="D35" s="39" t="s">
        <v>263</v>
      </c>
      <c r="E35" s="40" t="s">
        <v>264</v>
      </c>
      <c r="F35" s="45" t="s">
        <v>225</v>
      </c>
      <c r="G35" s="37"/>
      <c r="H35" s="37"/>
      <c r="I35" s="37"/>
      <c r="J35" s="37"/>
      <c r="K35" s="37"/>
      <c r="L35" s="37"/>
      <c r="M35" s="37"/>
      <c r="N35" s="37"/>
      <c r="O35" s="37"/>
      <c r="P35" s="37"/>
      <c r="Q35" s="41" t="str">
        <f aca="false">HYPERLINK(Links!$M$35,"search")</f>
        <v>search</v>
      </c>
      <c r="R35" s="40" t="s">
        <v>265</v>
      </c>
      <c r="S35" s="42" t="n">
        <v>46338</v>
      </c>
      <c r="T35" s="37"/>
      <c r="U35" s="37"/>
      <c r="V35" s="37"/>
      <c r="W35" s="40" t="s">
        <v>266</v>
      </c>
      <c r="X35" s="40" t="s">
        <v>267</v>
      </c>
      <c r="Y35" s="37"/>
      <c r="Z35" s="37"/>
      <c r="AA35" s="37"/>
      <c r="AB35" s="40" t="s">
        <v>268</v>
      </c>
    </row>
    <row r="36" customFormat="false" ht="23.85" hidden="false" customHeight="false" outlineLevel="0" collapsed="false">
      <c r="A36" s="36" t="n">
        <v>46338</v>
      </c>
      <c r="B36" s="37" t="s">
        <v>52</v>
      </c>
      <c r="C36" s="38" t="n">
        <v>6</v>
      </c>
      <c r="D36" s="39" t="s">
        <v>269</v>
      </c>
      <c r="E36" s="40" t="s">
        <v>270</v>
      </c>
      <c r="F36" s="45" t="s">
        <v>225</v>
      </c>
      <c r="G36" s="37"/>
      <c r="H36" s="37"/>
      <c r="I36" s="37"/>
      <c r="J36" s="37"/>
      <c r="K36" s="37"/>
      <c r="L36" s="37"/>
      <c r="M36" s="37"/>
      <c r="N36" s="37"/>
      <c r="O36" s="37"/>
      <c r="P36" s="37"/>
      <c r="Q36" s="41" t="str">
        <f aca="false">HYPERLINK(Links!$M$36,"search")</f>
        <v>search</v>
      </c>
      <c r="R36" s="40" t="s">
        <v>271</v>
      </c>
      <c r="S36" s="42" t="n">
        <v>46339</v>
      </c>
      <c r="T36" s="37"/>
      <c r="U36" s="37"/>
      <c r="V36" s="37"/>
      <c r="W36" s="40" t="s">
        <v>266</v>
      </c>
      <c r="X36" s="40" t="s">
        <v>267</v>
      </c>
      <c r="Y36" s="37"/>
      <c r="Z36" s="37"/>
      <c r="AA36" s="37"/>
      <c r="AB36" s="40" t="s">
        <v>272</v>
      </c>
    </row>
    <row r="37" customFormat="false" ht="35.05" hidden="false" customHeight="false" outlineLevel="0" collapsed="false">
      <c r="A37" s="36" t="n">
        <v>46339</v>
      </c>
      <c r="B37" s="37" t="s">
        <v>63</v>
      </c>
      <c r="C37" s="38" t="n">
        <v>6</v>
      </c>
      <c r="D37" s="39" t="s">
        <v>273</v>
      </c>
      <c r="E37" s="40" t="s">
        <v>274</v>
      </c>
      <c r="F37" s="45" t="s">
        <v>225</v>
      </c>
      <c r="G37" s="37"/>
      <c r="H37" s="37"/>
      <c r="I37" s="37"/>
      <c r="J37" s="37"/>
      <c r="K37" s="37"/>
      <c r="L37" s="37"/>
      <c r="M37" s="37"/>
      <c r="N37" s="37"/>
      <c r="O37" s="37"/>
      <c r="P37" s="37"/>
      <c r="Q37" s="41" t="str">
        <f aca="false">HYPERLINK(Links!$M$37,"search")</f>
        <v>search</v>
      </c>
      <c r="R37" s="40" t="s">
        <v>275</v>
      </c>
      <c r="S37" s="42" t="n">
        <v>46342</v>
      </c>
      <c r="T37" s="37"/>
      <c r="U37" s="37"/>
      <c r="V37" s="37"/>
      <c r="W37" s="40" t="s">
        <v>276</v>
      </c>
      <c r="X37" s="40" t="s">
        <v>277</v>
      </c>
      <c r="Y37" s="37"/>
      <c r="Z37" s="37"/>
      <c r="AA37" s="37"/>
      <c r="AB37" s="40" t="s">
        <v>278</v>
      </c>
    </row>
    <row r="38" customFormat="false" ht="35.05" hidden="false" customHeight="false" outlineLevel="0" collapsed="false">
      <c r="A38" s="36" t="n">
        <v>46342</v>
      </c>
      <c r="B38" s="37" t="s">
        <v>74</v>
      </c>
      <c r="C38" s="38" t="n">
        <v>6</v>
      </c>
      <c r="D38" s="39" t="s">
        <v>279</v>
      </c>
      <c r="E38" s="40" t="s">
        <v>280</v>
      </c>
      <c r="F38" s="45" t="s">
        <v>225</v>
      </c>
      <c r="G38" s="37"/>
      <c r="H38" s="37"/>
      <c r="I38" s="37"/>
      <c r="J38" s="37"/>
      <c r="K38" s="37"/>
      <c r="L38" s="37"/>
      <c r="M38" s="37"/>
      <c r="N38" s="37"/>
      <c r="O38" s="37"/>
      <c r="P38" s="37"/>
      <c r="Q38" s="41" t="str">
        <f aca="false">HYPERLINK(Links!$M$38,"search")</f>
        <v>search</v>
      </c>
      <c r="R38" s="40" t="s">
        <v>281</v>
      </c>
      <c r="S38" s="42" t="n">
        <v>46343</v>
      </c>
      <c r="T38" s="37"/>
      <c r="U38" s="37"/>
      <c r="V38" s="37"/>
      <c r="W38" s="40" t="s">
        <v>276</v>
      </c>
      <c r="X38" s="40" t="s">
        <v>277</v>
      </c>
      <c r="Y38" s="37"/>
      <c r="Z38" s="37"/>
      <c r="AA38" s="37"/>
      <c r="AB38" s="40" t="s">
        <v>282</v>
      </c>
    </row>
    <row r="39" customFormat="false" ht="57.45" hidden="false" customHeight="false" outlineLevel="0" collapsed="false">
      <c r="A39" s="36" t="n">
        <v>46343</v>
      </c>
      <c r="B39" s="37" t="s">
        <v>87</v>
      </c>
      <c r="C39" s="38" t="n">
        <v>6</v>
      </c>
      <c r="D39" s="39" t="s">
        <v>283</v>
      </c>
      <c r="E39" s="40" t="s">
        <v>284</v>
      </c>
      <c r="F39" s="45" t="s">
        <v>225</v>
      </c>
      <c r="G39" s="37"/>
      <c r="H39" s="37"/>
      <c r="I39" s="37"/>
      <c r="J39" s="37"/>
      <c r="K39" s="37"/>
      <c r="L39" s="37"/>
      <c r="M39" s="37"/>
      <c r="N39" s="37"/>
      <c r="O39" s="37"/>
      <c r="P39" s="37"/>
      <c r="Q39" s="41" t="str">
        <f aca="false">HYPERLINK(Links!$M$39,"search")</f>
        <v>search</v>
      </c>
      <c r="R39" s="40" t="s">
        <v>285</v>
      </c>
      <c r="S39" s="42" t="n">
        <v>46344</v>
      </c>
      <c r="T39" s="37"/>
      <c r="U39" s="37"/>
      <c r="V39" s="37"/>
      <c r="W39" s="40" t="s">
        <v>286</v>
      </c>
      <c r="X39" s="40" t="s">
        <v>287</v>
      </c>
      <c r="Y39" s="37"/>
      <c r="Z39" s="37"/>
      <c r="AA39" s="37"/>
      <c r="AB39" s="40" t="s">
        <v>288</v>
      </c>
    </row>
    <row r="40" customFormat="false" ht="35.05" hidden="false" customHeight="false" outlineLevel="0" collapsed="false">
      <c r="A40" s="36" t="n">
        <v>46344</v>
      </c>
      <c r="B40" s="37" t="s">
        <v>39</v>
      </c>
      <c r="C40" s="38" t="n">
        <v>6</v>
      </c>
      <c r="D40" s="39" t="s">
        <v>289</v>
      </c>
      <c r="E40" s="40" t="s">
        <v>290</v>
      </c>
      <c r="F40" s="45" t="s">
        <v>225</v>
      </c>
      <c r="G40" s="37"/>
      <c r="H40" s="37"/>
      <c r="I40" s="37"/>
      <c r="J40" s="37"/>
      <c r="K40" s="37"/>
      <c r="L40" s="37"/>
      <c r="M40" s="37"/>
      <c r="N40" s="37"/>
      <c r="O40" s="37"/>
      <c r="P40" s="37"/>
      <c r="Q40" s="41" t="str">
        <f aca="false">HYPERLINK(Links!$M$40,"search")</f>
        <v>search</v>
      </c>
      <c r="R40" s="40" t="s">
        <v>291</v>
      </c>
      <c r="S40" s="42" t="n">
        <v>46345</v>
      </c>
      <c r="T40" s="37"/>
      <c r="U40" s="37"/>
      <c r="V40" s="37"/>
      <c r="W40" s="40" t="s">
        <v>292</v>
      </c>
      <c r="X40" s="40" t="s">
        <v>293</v>
      </c>
      <c r="Y40" s="37"/>
      <c r="Z40" s="37"/>
      <c r="AA40" s="37"/>
      <c r="AB40" s="40" t="s">
        <v>294</v>
      </c>
    </row>
    <row r="41" customFormat="false" ht="46.25" hidden="false" customHeight="false" outlineLevel="0" collapsed="false">
      <c r="A41" s="36" t="n">
        <v>46345</v>
      </c>
      <c r="B41" s="37" t="s">
        <v>52</v>
      </c>
      <c r="C41" s="38" t="n">
        <v>6</v>
      </c>
      <c r="D41" s="39" t="s">
        <v>295</v>
      </c>
      <c r="E41" s="40" t="s">
        <v>296</v>
      </c>
      <c r="F41" s="45" t="s">
        <v>225</v>
      </c>
      <c r="G41" s="37"/>
      <c r="H41" s="37"/>
      <c r="I41" s="37"/>
      <c r="J41" s="37"/>
      <c r="K41" s="37"/>
      <c r="L41" s="37"/>
      <c r="M41" s="37"/>
      <c r="N41" s="37"/>
      <c r="O41" s="37"/>
      <c r="P41" s="37"/>
      <c r="Q41" s="41" t="str">
        <f aca="false">HYPERLINK(Links!$M$41,"search")</f>
        <v>search</v>
      </c>
      <c r="R41" s="40" t="s">
        <v>297</v>
      </c>
      <c r="S41" s="42" t="n">
        <v>46346</v>
      </c>
      <c r="T41" s="37"/>
      <c r="U41" s="37"/>
      <c r="V41" s="37"/>
      <c r="W41" s="40" t="s">
        <v>298</v>
      </c>
      <c r="X41" s="40" t="s">
        <v>299</v>
      </c>
      <c r="Y41" s="37"/>
      <c r="Z41" s="37"/>
      <c r="AA41" s="37"/>
      <c r="AB41" s="40" t="s">
        <v>300</v>
      </c>
    </row>
    <row r="42" customFormat="false" ht="23.85" hidden="false" customHeight="false" outlineLevel="0" collapsed="false">
      <c r="A42" s="22" t="n">
        <v>46346</v>
      </c>
      <c r="B42" s="23" t="s">
        <v>63</v>
      </c>
      <c r="C42" s="24" t="n">
        <v>6</v>
      </c>
      <c r="D42" s="25" t="s">
        <v>154</v>
      </c>
      <c r="E42" s="26" t="s">
        <v>155</v>
      </c>
      <c r="F42" s="46" t="s">
        <v>225</v>
      </c>
      <c r="G42" s="23"/>
      <c r="H42" s="23"/>
      <c r="I42" s="23"/>
      <c r="J42" s="23"/>
      <c r="K42" s="23"/>
      <c r="L42" s="23"/>
      <c r="M42" s="23"/>
      <c r="N42" s="23"/>
      <c r="O42" s="23"/>
      <c r="P42" s="23"/>
      <c r="Q42" s="23"/>
      <c r="R42" s="26"/>
      <c r="S42" s="28"/>
      <c r="T42" s="23"/>
      <c r="U42" s="23"/>
      <c r="V42" s="23"/>
      <c r="W42" s="26"/>
      <c r="X42" s="26"/>
      <c r="Y42" s="23"/>
      <c r="Z42" s="23"/>
      <c r="AA42" s="23"/>
      <c r="AB42" s="26"/>
    </row>
    <row r="43" customFormat="false" ht="15" hidden="false" customHeight="false" outlineLevel="0" collapsed="false">
      <c r="A43" s="29" t="n">
        <v>46356</v>
      </c>
      <c r="B43" s="30" t="s">
        <v>74</v>
      </c>
      <c r="C43" s="31" t="n">
        <v>6</v>
      </c>
      <c r="D43" s="32" t="s">
        <v>301</v>
      </c>
      <c r="E43" s="33" t="s">
        <v>302</v>
      </c>
      <c r="F43" s="44" t="s">
        <v>225</v>
      </c>
      <c r="G43" s="30"/>
      <c r="H43" s="30"/>
      <c r="I43" s="30"/>
      <c r="J43" s="30"/>
      <c r="K43" s="30"/>
      <c r="L43" s="30"/>
      <c r="M43" s="30"/>
      <c r="N43" s="30"/>
      <c r="O43" s="30"/>
      <c r="P43" s="30"/>
      <c r="Q43" s="30"/>
      <c r="R43" s="33"/>
      <c r="S43" s="35"/>
      <c r="T43" s="30"/>
      <c r="U43" s="30"/>
      <c r="V43" s="30"/>
      <c r="W43" s="33"/>
      <c r="X43" s="33"/>
      <c r="Y43" s="30"/>
      <c r="Z43" s="30"/>
      <c r="AA43" s="30"/>
      <c r="AB43" s="33"/>
    </row>
    <row r="44" customFormat="false" ht="15" hidden="false" customHeight="false" outlineLevel="0" collapsed="false">
      <c r="A44" s="29" t="n">
        <v>46357</v>
      </c>
      <c r="B44" s="30" t="s">
        <v>87</v>
      </c>
      <c r="C44" s="31" t="n">
        <v>6</v>
      </c>
      <c r="D44" s="32" t="s">
        <v>303</v>
      </c>
      <c r="E44" s="33" t="s">
        <v>304</v>
      </c>
      <c r="F44" s="44" t="s">
        <v>225</v>
      </c>
      <c r="G44" s="30"/>
      <c r="H44" s="30"/>
      <c r="I44" s="30"/>
      <c r="J44" s="30"/>
      <c r="K44" s="30"/>
      <c r="L44" s="30"/>
      <c r="M44" s="30"/>
      <c r="N44" s="30"/>
      <c r="O44" s="30"/>
      <c r="P44" s="30"/>
      <c r="Q44" s="30"/>
      <c r="R44" s="33"/>
      <c r="S44" s="35"/>
      <c r="T44" s="30"/>
      <c r="U44" s="30"/>
      <c r="V44" s="30"/>
      <c r="W44" s="33"/>
      <c r="X44" s="33"/>
      <c r="Y44" s="30"/>
      <c r="Z44" s="30"/>
      <c r="AA44" s="30"/>
      <c r="AB44" s="33"/>
    </row>
    <row r="45" customFormat="false" ht="23.85" hidden="false" customHeight="false" outlineLevel="0" collapsed="false">
      <c r="A45" s="22" t="n">
        <v>46358</v>
      </c>
      <c r="B45" s="23" t="s">
        <v>39</v>
      </c>
      <c r="C45" s="24" t="n">
        <v>6</v>
      </c>
      <c r="D45" s="25" t="s">
        <v>305</v>
      </c>
      <c r="E45" s="26" t="s">
        <v>306</v>
      </c>
      <c r="F45" s="46" t="s">
        <v>225</v>
      </c>
      <c r="G45" s="23"/>
      <c r="H45" s="23"/>
      <c r="I45" s="23"/>
      <c r="J45" s="23"/>
      <c r="K45" s="23"/>
      <c r="L45" s="23"/>
      <c r="M45" s="23"/>
      <c r="N45" s="23"/>
      <c r="O45" s="23"/>
      <c r="P45" s="23"/>
      <c r="Q45" s="23"/>
      <c r="R45" s="26"/>
      <c r="S45" s="28"/>
      <c r="T45" s="23"/>
      <c r="U45" s="23"/>
      <c r="V45" s="23"/>
      <c r="W45" s="26"/>
      <c r="X45" s="26"/>
      <c r="Y45" s="23"/>
      <c r="Z45" s="23"/>
      <c r="AA45" s="23"/>
      <c r="AB45" s="26"/>
    </row>
    <row r="46" customFormat="false" ht="23.85" hidden="false" customHeight="false" outlineLevel="0" collapsed="false">
      <c r="A46" s="15" t="n">
        <v>46359</v>
      </c>
      <c r="B46" s="16" t="s">
        <v>52</v>
      </c>
      <c r="C46" s="17" t="n">
        <v>7</v>
      </c>
      <c r="D46" s="18" t="s">
        <v>307</v>
      </c>
      <c r="E46" s="19" t="s">
        <v>308</v>
      </c>
      <c r="F46" s="43" t="s">
        <v>225</v>
      </c>
      <c r="G46" s="16"/>
      <c r="H46" s="16"/>
      <c r="I46" s="16"/>
      <c r="J46" s="16"/>
      <c r="K46" s="16"/>
      <c r="L46" s="16"/>
      <c r="M46" s="16"/>
      <c r="N46" s="16"/>
      <c r="O46" s="16"/>
      <c r="P46" s="16"/>
      <c r="Q46" s="20" t="str">
        <f aca="false">HYPERLINK(Links!$M$46,"search")</f>
        <v>search</v>
      </c>
      <c r="R46" s="19" t="s">
        <v>309</v>
      </c>
      <c r="S46" s="21" t="n">
        <v>46360</v>
      </c>
      <c r="T46" s="16"/>
      <c r="U46" s="16"/>
      <c r="V46" s="16"/>
      <c r="W46" s="19" t="s">
        <v>310</v>
      </c>
      <c r="X46" s="19" t="s">
        <v>311</v>
      </c>
      <c r="Y46" s="16"/>
      <c r="Z46" s="16"/>
      <c r="AA46" s="16"/>
      <c r="AB46" s="19" t="s">
        <v>312</v>
      </c>
    </row>
    <row r="47" customFormat="false" ht="46.25" hidden="false" customHeight="false" outlineLevel="0" collapsed="false">
      <c r="A47" s="15" t="n">
        <v>46360</v>
      </c>
      <c r="B47" s="16" t="s">
        <v>63</v>
      </c>
      <c r="C47" s="17" t="n">
        <v>7</v>
      </c>
      <c r="D47" s="18" t="s">
        <v>313</v>
      </c>
      <c r="E47" s="19" t="s">
        <v>314</v>
      </c>
      <c r="F47" s="43" t="s">
        <v>225</v>
      </c>
      <c r="G47" s="16"/>
      <c r="H47" s="16"/>
      <c r="I47" s="16"/>
      <c r="J47" s="16"/>
      <c r="K47" s="16"/>
      <c r="L47" s="16"/>
      <c r="M47" s="16"/>
      <c r="N47" s="16"/>
      <c r="O47" s="16"/>
      <c r="P47" s="16"/>
      <c r="Q47" s="20" t="str">
        <f aca="false">HYPERLINK(Links!$M$47,"search")</f>
        <v>search</v>
      </c>
      <c r="R47" s="19" t="s">
        <v>315</v>
      </c>
      <c r="S47" s="21" t="n">
        <v>46363</v>
      </c>
      <c r="T47" s="16"/>
      <c r="U47" s="16"/>
      <c r="V47" s="16"/>
      <c r="W47" s="19" t="s">
        <v>316</v>
      </c>
      <c r="X47" s="19" t="s">
        <v>317</v>
      </c>
      <c r="Y47" s="16"/>
      <c r="Z47" s="16"/>
      <c r="AA47" s="16"/>
      <c r="AB47" s="19" t="s">
        <v>318</v>
      </c>
    </row>
    <row r="48" customFormat="false" ht="57.45" hidden="false" customHeight="false" outlineLevel="0" collapsed="false">
      <c r="A48" s="15" t="n">
        <v>46363</v>
      </c>
      <c r="B48" s="16" t="s">
        <v>74</v>
      </c>
      <c r="C48" s="17" t="n">
        <v>7</v>
      </c>
      <c r="D48" s="18" t="s">
        <v>319</v>
      </c>
      <c r="E48" s="19" t="s">
        <v>320</v>
      </c>
      <c r="F48" s="43" t="s">
        <v>225</v>
      </c>
      <c r="G48" s="16"/>
      <c r="H48" s="16"/>
      <c r="I48" s="16"/>
      <c r="J48" s="16"/>
      <c r="K48" s="16"/>
      <c r="L48" s="16"/>
      <c r="M48" s="16"/>
      <c r="N48" s="16"/>
      <c r="O48" s="16"/>
      <c r="P48" s="16"/>
      <c r="Q48" s="20" t="str">
        <f aca="false">HYPERLINK(Links!$M$48,"search")</f>
        <v>search</v>
      </c>
      <c r="R48" s="19" t="s">
        <v>321</v>
      </c>
      <c r="S48" s="21" t="n">
        <v>46364</v>
      </c>
      <c r="T48" s="16"/>
      <c r="U48" s="16"/>
      <c r="V48" s="16"/>
      <c r="W48" s="19" t="s">
        <v>322</v>
      </c>
      <c r="X48" s="19" t="s">
        <v>323</v>
      </c>
      <c r="Y48" s="16"/>
      <c r="Z48" s="16"/>
      <c r="AA48" s="16"/>
      <c r="AB48" s="19" t="s">
        <v>324</v>
      </c>
    </row>
    <row r="49" customFormat="false" ht="46.25" hidden="false" customHeight="false" outlineLevel="0" collapsed="false">
      <c r="A49" s="15" t="n">
        <v>46364</v>
      </c>
      <c r="B49" s="16" t="s">
        <v>87</v>
      </c>
      <c r="C49" s="17" t="n">
        <v>7</v>
      </c>
      <c r="D49" s="18" t="s">
        <v>325</v>
      </c>
      <c r="E49" s="19" t="s">
        <v>326</v>
      </c>
      <c r="F49" s="43" t="s">
        <v>225</v>
      </c>
      <c r="G49" s="16"/>
      <c r="H49" s="16"/>
      <c r="I49" s="16"/>
      <c r="J49" s="16"/>
      <c r="K49" s="16"/>
      <c r="L49" s="16"/>
      <c r="M49" s="16"/>
      <c r="N49" s="16"/>
      <c r="O49" s="16"/>
      <c r="P49" s="16"/>
      <c r="Q49" s="20" t="str">
        <f aca="false">HYPERLINK(Links!$M$49,"search")</f>
        <v>search</v>
      </c>
      <c r="R49" s="19" t="s">
        <v>327</v>
      </c>
      <c r="S49" s="21" t="n">
        <v>46365</v>
      </c>
      <c r="T49" s="16"/>
      <c r="U49" s="16"/>
      <c r="V49" s="16"/>
      <c r="W49" s="19" t="s">
        <v>328</v>
      </c>
      <c r="X49" s="19" t="s">
        <v>329</v>
      </c>
      <c r="Y49" s="16"/>
      <c r="Z49" s="16"/>
      <c r="AA49" s="16"/>
      <c r="AB49" s="19" t="s">
        <v>330</v>
      </c>
    </row>
    <row r="50" customFormat="false" ht="23.85" hidden="false" customHeight="false" outlineLevel="0" collapsed="false">
      <c r="A50" s="15" t="n">
        <v>46365</v>
      </c>
      <c r="B50" s="16" t="s">
        <v>39</v>
      </c>
      <c r="C50" s="17" t="n">
        <v>7</v>
      </c>
      <c r="D50" s="18" t="s">
        <v>331</v>
      </c>
      <c r="E50" s="19" t="s">
        <v>332</v>
      </c>
      <c r="F50" s="43" t="s">
        <v>225</v>
      </c>
      <c r="G50" s="16"/>
      <c r="H50" s="16"/>
      <c r="I50" s="16"/>
      <c r="J50" s="16"/>
      <c r="K50" s="16"/>
      <c r="L50" s="16"/>
      <c r="M50" s="16"/>
      <c r="N50" s="16"/>
      <c r="O50" s="16"/>
      <c r="P50" s="16"/>
      <c r="Q50" s="20" t="str">
        <f aca="false">HYPERLINK(Links!$M$50,"search")</f>
        <v>search</v>
      </c>
      <c r="R50" s="19" t="s">
        <v>333</v>
      </c>
      <c r="S50" s="21" t="n">
        <v>46366</v>
      </c>
      <c r="T50" s="16"/>
      <c r="U50" s="16"/>
      <c r="V50" s="16"/>
      <c r="W50" s="19" t="s">
        <v>334</v>
      </c>
      <c r="X50" s="19" t="s">
        <v>335</v>
      </c>
      <c r="Y50" s="16"/>
      <c r="Z50" s="16"/>
      <c r="AA50" s="16"/>
      <c r="AB50" s="19" t="s">
        <v>336</v>
      </c>
    </row>
    <row r="51" customFormat="false" ht="15" hidden="false" customHeight="false" outlineLevel="0" collapsed="false">
      <c r="A51" s="29" t="n">
        <v>46366</v>
      </c>
      <c r="B51" s="30" t="s">
        <v>52</v>
      </c>
      <c r="C51" s="31" t="n">
        <v>7</v>
      </c>
      <c r="D51" s="32" t="s">
        <v>337</v>
      </c>
      <c r="E51" s="33" t="s">
        <v>338</v>
      </c>
      <c r="F51" s="44" t="s">
        <v>225</v>
      </c>
      <c r="G51" s="30"/>
      <c r="H51" s="30"/>
      <c r="I51" s="30"/>
      <c r="J51" s="30"/>
      <c r="K51" s="30"/>
      <c r="L51" s="30"/>
      <c r="M51" s="30"/>
      <c r="N51" s="30"/>
      <c r="O51" s="30"/>
      <c r="P51" s="30"/>
      <c r="Q51" s="30"/>
      <c r="R51" s="33"/>
      <c r="S51" s="35"/>
      <c r="T51" s="30"/>
      <c r="U51" s="30"/>
      <c r="V51" s="30"/>
      <c r="W51" s="33"/>
      <c r="X51" s="33"/>
      <c r="Y51" s="30"/>
      <c r="Z51" s="30"/>
      <c r="AA51" s="30"/>
      <c r="AB51" s="33"/>
    </row>
    <row r="52" customFormat="false" ht="15" hidden="false" customHeight="false" outlineLevel="0" collapsed="false">
      <c r="A52" s="29" t="n">
        <v>46367</v>
      </c>
      <c r="B52" s="30" t="s">
        <v>63</v>
      </c>
      <c r="C52" s="31" t="n">
        <v>7</v>
      </c>
      <c r="D52" s="32" t="s">
        <v>339</v>
      </c>
      <c r="E52" s="33" t="s">
        <v>340</v>
      </c>
      <c r="F52" s="44" t="s">
        <v>225</v>
      </c>
      <c r="G52" s="30"/>
      <c r="H52" s="30"/>
      <c r="I52" s="30"/>
      <c r="J52" s="30"/>
      <c r="K52" s="30"/>
      <c r="L52" s="30"/>
      <c r="M52" s="30"/>
      <c r="N52" s="30"/>
      <c r="O52" s="30"/>
      <c r="P52" s="30"/>
      <c r="Q52" s="30"/>
      <c r="R52" s="33"/>
      <c r="S52" s="35"/>
      <c r="T52" s="30"/>
      <c r="U52" s="30"/>
      <c r="V52" s="30"/>
      <c r="W52" s="33"/>
      <c r="X52" s="33"/>
      <c r="Y52" s="30"/>
      <c r="Z52" s="30"/>
      <c r="AA52" s="30"/>
      <c r="AB52" s="33"/>
    </row>
    <row r="53" customFormat="false" ht="303.7" hidden="false" customHeight="false" outlineLevel="0" collapsed="false">
      <c r="A53" s="22" t="n">
        <v>46370</v>
      </c>
      <c r="B53" s="23" t="s">
        <v>74</v>
      </c>
      <c r="C53" s="24"/>
      <c r="D53" s="25" t="s">
        <v>341</v>
      </c>
      <c r="E53" s="26" t="s">
        <v>342</v>
      </c>
      <c r="F53" s="23"/>
      <c r="G53" s="23"/>
      <c r="H53" s="23"/>
      <c r="I53" s="23"/>
      <c r="J53" s="23"/>
      <c r="K53" s="23"/>
      <c r="L53" s="23"/>
      <c r="M53" s="23"/>
      <c r="N53" s="23"/>
      <c r="O53" s="23"/>
      <c r="P53" s="23"/>
      <c r="Q53" s="23"/>
      <c r="R53" s="26"/>
      <c r="S53" s="28"/>
      <c r="T53" s="23"/>
      <c r="U53" s="23"/>
      <c r="V53" s="23"/>
      <c r="W53" s="26" t="s">
        <v>343</v>
      </c>
      <c r="X53" s="26" t="s">
        <v>344</v>
      </c>
      <c r="Y53" s="23"/>
      <c r="Z53" s="23"/>
      <c r="AA53" s="23"/>
      <c r="AB53" s="26"/>
    </row>
    <row r="54" customFormat="false" ht="35.05" hidden="false" customHeight="false" outlineLevel="0" collapsed="false">
      <c r="A54" s="22" t="n">
        <v>46371</v>
      </c>
      <c r="B54" s="23" t="s">
        <v>87</v>
      </c>
      <c r="C54" s="24"/>
      <c r="D54" s="25" t="s">
        <v>345</v>
      </c>
      <c r="E54" s="26" t="s">
        <v>346</v>
      </c>
      <c r="F54" s="23"/>
      <c r="G54" s="23"/>
      <c r="H54" s="23"/>
      <c r="I54" s="23"/>
      <c r="J54" s="23"/>
      <c r="K54" s="23"/>
      <c r="L54" s="23"/>
      <c r="M54" s="23"/>
      <c r="N54" s="23"/>
      <c r="O54" s="23"/>
      <c r="P54" s="23"/>
      <c r="Q54" s="23"/>
      <c r="R54" s="26"/>
      <c r="S54" s="28"/>
      <c r="T54" s="23"/>
      <c r="U54" s="23"/>
      <c r="V54" s="23"/>
      <c r="W54" s="26" t="s">
        <v>347</v>
      </c>
      <c r="X54" s="26" t="s">
        <v>348</v>
      </c>
      <c r="Y54" s="23"/>
      <c r="Z54" s="23"/>
      <c r="AA54" s="23"/>
      <c r="AB54" s="26"/>
    </row>
    <row r="55" customFormat="false" ht="46.25" hidden="false" customHeight="false" outlineLevel="0" collapsed="false">
      <c r="A55" s="22" t="n">
        <v>46372</v>
      </c>
      <c r="B55" s="23" t="s">
        <v>39</v>
      </c>
      <c r="C55" s="24"/>
      <c r="D55" s="25" t="s">
        <v>349</v>
      </c>
      <c r="E55" s="26" t="s">
        <v>350</v>
      </c>
      <c r="F55" s="23"/>
      <c r="G55" s="23"/>
      <c r="H55" s="23"/>
      <c r="I55" s="23"/>
      <c r="J55" s="23"/>
      <c r="K55" s="23"/>
      <c r="L55" s="23"/>
      <c r="M55" s="23"/>
      <c r="N55" s="23"/>
      <c r="O55" s="23"/>
      <c r="P55" s="23"/>
      <c r="Q55" s="23"/>
      <c r="R55" s="26"/>
      <c r="S55" s="28"/>
      <c r="T55" s="23"/>
      <c r="U55" s="23"/>
      <c r="V55" s="23"/>
      <c r="W55" s="26" t="s">
        <v>351</v>
      </c>
      <c r="X55" s="26" t="s">
        <v>352</v>
      </c>
      <c r="Y55" s="23"/>
      <c r="Z55" s="23"/>
      <c r="AA55" s="23"/>
      <c r="AB55" s="26"/>
    </row>
    <row r="56" customFormat="false" ht="35.05" hidden="false" customHeight="false" outlineLevel="0" collapsed="false">
      <c r="A56" s="36" t="n">
        <v>46373</v>
      </c>
      <c r="B56" s="37" t="s">
        <v>52</v>
      </c>
      <c r="C56" s="38" t="n">
        <v>8</v>
      </c>
      <c r="D56" s="39" t="s">
        <v>353</v>
      </c>
      <c r="E56" s="40" t="s">
        <v>354</v>
      </c>
      <c r="F56" s="45" t="s">
        <v>225</v>
      </c>
      <c r="G56" s="37"/>
      <c r="H56" s="37"/>
      <c r="I56" s="37"/>
      <c r="J56" s="37"/>
      <c r="K56" s="37"/>
      <c r="L56" s="37"/>
      <c r="M56" s="37"/>
      <c r="N56" s="37"/>
      <c r="O56" s="37"/>
      <c r="P56" s="37"/>
      <c r="Q56" s="41" t="str">
        <f aca="false">HYPERLINK(Links!$M$56,"search")</f>
        <v>search</v>
      </c>
      <c r="R56" s="40" t="s">
        <v>355</v>
      </c>
      <c r="S56" s="42" t="n">
        <v>46374</v>
      </c>
      <c r="T56" s="37"/>
      <c r="U56" s="37"/>
      <c r="V56" s="37"/>
      <c r="W56" s="40" t="s">
        <v>356</v>
      </c>
      <c r="X56" s="40" t="s">
        <v>357</v>
      </c>
      <c r="Y56" s="37"/>
      <c r="Z56" s="37"/>
      <c r="AA56" s="37"/>
      <c r="AB56" s="40" t="s">
        <v>358</v>
      </c>
    </row>
    <row r="57" customFormat="false" ht="35.05" hidden="false" customHeight="false" outlineLevel="0" collapsed="false">
      <c r="A57" s="36" t="n">
        <v>46374</v>
      </c>
      <c r="B57" s="37" t="s">
        <v>63</v>
      </c>
      <c r="C57" s="38" t="n">
        <v>8</v>
      </c>
      <c r="D57" s="39" t="s">
        <v>359</v>
      </c>
      <c r="E57" s="40" t="s">
        <v>360</v>
      </c>
      <c r="F57" s="45" t="s">
        <v>225</v>
      </c>
      <c r="G57" s="37"/>
      <c r="H57" s="37"/>
      <c r="I57" s="37"/>
      <c r="J57" s="37"/>
      <c r="K57" s="37"/>
      <c r="L57" s="37"/>
      <c r="M57" s="37"/>
      <c r="N57" s="37"/>
      <c r="O57" s="37"/>
      <c r="P57" s="37"/>
      <c r="Q57" s="41" t="str">
        <f aca="false">HYPERLINK(Links!$M$57,"search")</f>
        <v>search</v>
      </c>
      <c r="R57" s="40" t="s">
        <v>361</v>
      </c>
      <c r="S57" s="42" t="n">
        <v>46393</v>
      </c>
      <c r="T57" s="37"/>
      <c r="U57" s="37"/>
      <c r="V57" s="37"/>
      <c r="W57" s="40" t="s">
        <v>356</v>
      </c>
      <c r="X57" s="40" t="s">
        <v>357</v>
      </c>
      <c r="Y57" s="37"/>
      <c r="Z57" s="37"/>
      <c r="AA57" s="37"/>
      <c r="AB57" s="40" t="s">
        <v>362</v>
      </c>
    </row>
    <row r="58" customFormat="false" ht="23.85" hidden="false" customHeight="false" outlineLevel="0" collapsed="false">
      <c r="A58" s="36" t="n">
        <v>46393</v>
      </c>
      <c r="B58" s="37" t="s">
        <v>39</v>
      </c>
      <c r="C58" s="38" t="n">
        <v>8</v>
      </c>
      <c r="D58" s="39" t="s">
        <v>363</v>
      </c>
      <c r="E58" s="40" t="s">
        <v>364</v>
      </c>
      <c r="F58" s="45" t="s">
        <v>225</v>
      </c>
      <c r="G58" s="37"/>
      <c r="H58" s="37"/>
      <c r="I58" s="37"/>
      <c r="J58" s="37"/>
      <c r="K58" s="37"/>
      <c r="L58" s="37"/>
      <c r="M58" s="37"/>
      <c r="N58" s="37"/>
      <c r="O58" s="37"/>
      <c r="P58" s="37"/>
      <c r="Q58" s="41" t="str">
        <f aca="false">HYPERLINK(Links!$M$58,"search")</f>
        <v>search</v>
      </c>
      <c r="R58" s="40" t="s">
        <v>365</v>
      </c>
      <c r="S58" s="42" t="n">
        <v>46394</v>
      </c>
      <c r="T58" s="37"/>
      <c r="U58" s="37"/>
      <c r="V58" s="37"/>
      <c r="W58" s="40" t="s">
        <v>366</v>
      </c>
      <c r="X58" s="40" t="s">
        <v>367</v>
      </c>
      <c r="Y58" s="37"/>
      <c r="Z58" s="37"/>
      <c r="AA58" s="37"/>
      <c r="AB58" s="40" t="s">
        <v>368</v>
      </c>
    </row>
    <row r="59" customFormat="false" ht="23.85" hidden="false" customHeight="false" outlineLevel="0" collapsed="false">
      <c r="A59" s="36" t="n">
        <v>46394</v>
      </c>
      <c r="B59" s="37" t="s">
        <v>52</v>
      </c>
      <c r="C59" s="38" t="n">
        <v>8</v>
      </c>
      <c r="D59" s="39" t="s">
        <v>369</v>
      </c>
      <c r="E59" s="40" t="s">
        <v>370</v>
      </c>
      <c r="F59" s="45" t="s">
        <v>225</v>
      </c>
      <c r="G59" s="37"/>
      <c r="H59" s="37"/>
      <c r="I59" s="37"/>
      <c r="J59" s="37"/>
      <c r="K59" s="37"/>
      <c r="L59" s="37"/>
      <c r="M59" s="37"/>
      <c r="N59" s="37"/>
      <c r="O59" s="37"/>
      <c r="P59" s="37"/>
      <c r="Q59" s="41" t="str">
        <f aca="false">HYPERLINK(Links!$M$59,"search")</f>
        <v>search</v>
      </c>
      <c r="R59" s="40" t="s">
        <v>371</v>
      </c>
      <c r="S59" s="42" t="n">
        <v>46395</v>
      </c>
      <c r="T59" s="37"/>
      <c r="U59" s="37"/>
      <c r="V59" s="37"/>
      <c r="W59" s="40" t="s">
        <v>366</v>
      </c>
      <c r="X59" s="40" t="s">
        <v>367</v>
      </c>
      <c r="Y59" s="37"/>
      <c r="Z59" s="37"/>
      <c r="AA59" s="37"/>
      <c r="AB59" s="40" t="s">
        <v>372</v>
      </c>
    </row>
    <row r="60" customFormat="false" ht="57.45" hidden="false" customHeight="false" outlineLevel="0" collapsed="false">
      <c r="A60" s="36" t="n">
        <v>46395</v>
      </c>
      <c r="B60" s="37" t="s">
        <v>63</v>
      </c>
      <c r="C60" s="38" t="n">
        <v>8</v>
      </c>
      <c r="D60" s="39" t="s">
        <v>373</v>
      </c>
      <c r="E60" s="40" t="s">
        <v>374</v>
      </c>
      <c r="F60" s="45" t="s">
        <v>225</v>
      </c>
      <c r="G60" s="37"/>
      <c r="H60" s="37"/>
      <c r="I60" s="37"/>
      <c r="J60" s="37"/>
      <c r="K60" s="37"/>
      <c r="L60" s="37"/>
      <c r="M60" s="37"/>
      <c r="N60" s="37"/>
      <c r="O60" s="37"/>
      <c r="P60" s="37"/>
      <c r="Q60" s="41" t="str">
        <f aca="false">HYPERLINK(Links!$M$60,"search")</f>
        <v>search</v>
      </c>
      <c r="R60" s="40" t="s">
        <v>375</v>
      </c>
      <c r="S60" s="42" t="n">
        <v>46398</v>
      </c>
      <c r="T60" s="37"/>
      <c r="U60" s="37"/>
      <c r="V60" s="37"/>
      <c r="W60" s="40" t="s">
        <v>376</v>
      </c>
      <c r="X60" s="40" t="s">
        <v>377</v>
      </c>
      <c r="Y60" s="37"/>
      <c r="Z60" s="37"/>
      <c r="AA60" s="37"/>
      <c r="AB60" s="40" t="s">
        <v>378</v>
      </c>
    </row>
    <row r="61" customFormat="false" ht="57.45" hidden="false" customHeight="false" outlineLevel="0" collapsed="false">
      <c r="A61" s="15" t="n">
        <v>46398</v>
      </c>
      <c r="B61" s="16" t="s">
        <v>74</v>
      </c>
      <c r="C61" s="17" t="n">
        <v>9</v>
      </c>
      <c r="D61" s="18" t="s">
        <v>379</v>
      </c>
      <c r="E61" s="19" t="s">
        <v>380</v>
      </c>
      <c r="F61" s="43" t="s">
        <v>225</v>
      </c>
      <c r="G61" s="16"/>
      <c r="H61" s="16"/>
      <c r="I61" s="16"/>
      <c r="J61" s="16"/>
      <c r="K61" s="16"/>
      <c r="L61" s="16"/>
      <c r="M61" s="16"/>
      <c r="N61" s="16"/>
      <c r="O61" s="16"/>
      <c r="P61" s="16"/>
      <c r="Q61" s="20" t="str">
        <f aca="false">HYPERLINK(Links!$M$61,"search")</f>
        <v>search</v>
      </c>
      <c r="R61" s="19" t="s">
        <v>381</v>
      </c>
      <c r="S61" s="21" t="n">
        <v>46399</v>
      </c>
      <c r="T61" s="16"/>
      <c r="U61" s="16"/>
      <c r="V61" s="16"/>
      <c r="W61" s="19" t="s">
        <v>382</v>
      </c>
      <c r="X61" s="19" t="s">
        <v>383</v>
      </c>
      <c r="Y61" s="16"/>
      <c r="Z61" s="16"/>
      <c r="AA61" s="16"/>
      <c r="AB61" s="19" t="s">
        <v>384</v>
      </c>
    </row>
    <row r="62" customFormat="false" ht="46.25" hidden="false" customHeight="false" outlineLevel="0" collapsed="false">
      <c r="A62" s="15" t="n">
        <v>46399</v>
      </c>
      <c r="B62" s="16" t="s">
        <v>87</v>
      </c>
      <c r="C62" s="17" t="n">
        <v>9</v>
      </c>
      <c r="D62" s="18" t="s">
        <v>385</v>
      </c>
      <c r="E62" s="19" t="s">
        <v>386</v>
      </c>
      <c r="F62" s="43" t="s">
        <v>225</v>
      </c>
      <c r="G62" s="16"/>
      <c r="H62" s="16"/>
      <c r="I62" s="16"/>
      <c r="J62" s="16"/>
      <c r="K62" s="16"/>
      <c r="L62" s="16"/>
      <c r="M62" s="16"/>
      <c r="N62" s="16"/>
      <c r="O62" s="16"/>
      <c r="P62" s="16"/>
      <c r="Q62" s="20" t="str">
        <f aca="false">HYPERLINK(Links!$M$62,"search")</f>
        <v>search</v>
      </c>
      <c r="R62" s="19" t="s">
        <v>387</v>
      </c>
      <c r="S62" s="21" t="n">
        <v>46400</v>
      </c>
      <c r="T62" s="16"/>
      <c r="U62" s="16"/>
      <c r="V62" s="16"/>
      <c r="W62" s="19" t="s">
        <v>388</v>
      </c>
      <c r="X62" s="19" t="s">
        <v>389</v>
      </c>
      <c r="Y62" s="16"/>
      <c r="Z62" s="16"/>
      <c r="AA62" s="16"/>
      <c r="AB62" s="19" t="s">
        <v>390</v>
      </c>
    </row>
    <row r="63" customFormat="false" ht="23.85" hidden="false" customHeight="false" outlineLevel="0" collapsed="false">
      <c r="A63" s="22" t="n">
        <v>46400</v>
      </c>
      <c r="B63" s="23" t="s">
        <v>39</v>
      </c>
      <c r="C63" s="24" t="n">
        <v>9</v>
      </c>
      <c r="D63" s="25" t="s">
        <v>154</v>
      </c>
      <c r="E63" s="26" t="s">
        <v>155</v>
      </c>
      <c r="F63" s="46" t="s">
        <v>225</v>
      </c>
      <c r="G63" s="23"/>
      <c r="H63" s="23"/>
      <c r="I63" s="23"/>
      <c r="J63" s="23"/>
      <c r="K63" s="23"/>
      <c r="L63" s="23"/>
      <c r="M63" s="23"/>
      <c r="N63" s="23"/>
      <c r="O63" s="23"/>
      <c r="P63" s="23"/>
      <c r="Q63" s="23"/>
      <c r="R63" s="26"/>
      <c r="S63" s="28"/>
      <c r="T63" s="23"/>
      <c r="U63" s="23"/>
      <c r="V63" s="23"/>
      <c r="W63" s="26"/>
      <c r="X63" s="26"/>
      <c r="Y63" s="23"/>
      <c r="Z63" s="23"/>
      <c r="AA63" s="23"/>
      <c r="AB63" s="26"/>
    </row>
    <row r="64" customFormat="false" ht="15" hidden="false" customHeight="false" outlineLevel="0" collapsed="false">
      <c r="A64" s="22" t="n">
        <v>46401</v>
      </c>
      <c r="B64" s="23" t="s">
        <v>52</v>
      </c>
      <c r="C64" s="24" t="n">
        <v>9</v>
      </c>
      <c r="D64" s="25" t="s">
        <v>142</v>
      </c>
      <c r="E64" s="26" t="s">
        <v>143</v>
      </c>
      <c r="F64" s="46" t="s">
        <v>225</v>
      </c>
      <c r="G64" s="23"/>
      <c r="H64" s="23"/>
      <c r="I64" s="23"/>
      <c r="J64" s="23"/>
      <c r="K64" s="23"/>
      <c r="L64" s="23"/>
      <c r="M64" s="23"/>
      <c r="N64" s="23"/>
      <c r="O64" s="23"/>
      <c r="P64" s="23"/>
      <c r="Q64" s="23"/>
      <c r="R64" s="26"/>
      <c r="S64" s="28"/>
      <c r="T64" s="23"/>
      <c r="U64" s="23"/>
      <c r="V64" s="23"/>
      <c r="W64" s="26"/>
      <c r="X64" s="26"/>
      <c r="Y64" s="23"/>
      <c r="Z64" s="23"/>
      <c r="AA64" s="23"/>
      <c r="AB64" s="26"/>
    </row>
    <row r="65" customFormat="false" ht="23.85" hidden="false" customHeight="false" outlineLevel="0" collapsed="false">
      <c r="A65" s="22" t="n">
        <v>46402</v>
      </c>
      <c r="B65" s="23" t="s">
        <v>63</v>
      </c>
      <c r="C65" s="24" t="n">
        <v>9</v>
      </c>
      <c r="D65" s="25" t="s">
        <v>154</v>
      </c>
      <c r="E65" s="26" t="s">
        <v>155</v>
      </c>
      <c r="F65" s="46" t="s">
        <v>225</v>
      </c>
      <c r="G65" s="23"/>
      <c r="H65" s="23"/>
      <c r="I65" s="23"/>
      <c r="J65" s="23"/>
      <c r="K65" s="23"/>
      <c r="L65" s="23"/>
      <c r="M65" s="23"/>
      <c r="N65" s="23"/>
      <c r="O65" s="23"/>
      <c r="P65" s="23"/>
      <c r="Q65" s="23"/>
      <c r="R65" s="26"/>
      <c r="S65" s="28"/>
      <c r="T65" s="23"/>
      <c r="U65" s="23"/>
      <c r="V65" s="23"/>
      <c r="W65" s="26"/>
      <c r="X65" s="26"/>
      <c r="Y65" s="23"/>
      <c r="Z65" s="23"/>
      <c r="AA65" s="23"/>
      <c r="AB65" s="26"/>
    </row>
    <row r="66" customFormat="false" ht="23.85" hidden="false" customHeight="false" outlineLevel="0" collapsed="false">
      <c r="A66" s="22" t="n">
        <v>46406</v>
      </c>
      <c r="B66" s="23" t="s">
        <v>87</v>
      </c>
      <c r="C66" s="24" t="n">
        <v>9</v>
      </c>
      <c r="D66" s="25" t="s">
        <v>154</v>
      </c>
      <c r="E66" s="26" t="s">
        <v>155</v>
      </c>
      <c r="F66" s="46" t="s">
        <v>225</v>
      </c>
      <c r="G66" s="23"/>
      <c r="H66" s="23"/>
      <c r="I66" s="23"/>
      <c r="J66" s="23"/>
      <c r="K66" s="23"/>
      <c r="L66" s="23"/>
      <c r="M66" s="23"/>
      <c r="N66" s="23"/>
      <c r="O66" s="23"/>
      <c r="P66" s="23"/>
      <c r="Q66" s="23"/>
      <c r="R66" s="26"/>
      <c r="S66" s="28"/>
      <c r="T66" s="23"/>
      <c r="U66" s="23"/>
      <c r="V66" s="23"/>
      <c r="W66" s="26"/>
      <c r="X66" s="26"/>
      <c r="Y66" s="23"/>
      <c r="Z66" s="23"/>
      <c r="AA66" s="23"/>
      <c r="AB66" s="26"/>
    </row>
    <row r="67" customFormat="false" ht="23.85" hidden="false" customHeight="false" outlineLevel="0" collapsed="false">
      <c r="A67" s="22" t="n">
        <v>46407</v>
      </c>
      <c r="B67" s="23" t="s">
        <v>39</v>
      </c>
      <c r="C67" s="24" t="n">
        <v>9</v>
      </c>
      <c r="D67" s="25" t="s">
        <v>154</v>
      </c>
      <c r="E67" s="26" t="s">
        <v>155</v>
      </c>
      <c r="F67" s="46" t="s">
        <v>225</v>
      </c>
      <c r="G67" s="23"/>
      <c r="H67" s="23"/>
      <c r="I67" s="23"/>
      <c r="J67" s="23"/>
      <c r="K67" s="23"/>
      <c r="L67" s="23"/>
      <c r="M67" s="23"/>
      <c r="N67" s="23"/>
      <c r="O67" s="23"/>
      <c r="P67" s="23"/>
      <c r="Q67" s="23"/>
      <c r="R67" s="26"/>
      <c r="S67" s="28"/>
      <c r="T67" s="23"/>
      <c r="U67" s="23"/>
      <c r="V67" s="23"/>
      <c r="W67" s="26"/>
      <c r="X67" s="26"/>
      <c r="Y67" s="23"/>
      <c r="Z67" s="23"/>
      <c r="AA67" s="23"/>
      <c r="AB67" s="26"/>
    </row>
    <row r="68" customFormat="false" ht="15" hidden="false" customHeight="false" outlineLevel="0" collapsed="false">
      <c r="A68" s="29" t="n">
        <v>46408</v>
      </c>
      <c r="B68" s="30" t="s">
        <v>52</v>
      </c>
      <c r="C68" s="31" t="n">
        <v>9</v>
      </c>
      <c r="D68" s="32" t="s">
        <v>391</v>
      </c>
      <c r="E68" s="33" t="s">
        <v>392</v>
      </c>
      <c r="F68" s="44" t="s">
        <v>225</v>
      </c>
      <c r="G68" s="30"/>
      <c r="H68" s="30"/>
      <c r="I68" s="30"/>
      <c r="J68" s="30"/>
      <c r="K68" s="30"/>
      <c r="L68" s="30"/>
      <c r="M68" s="30"/>
      <c r="N68" s="30"/>
      <c r="O68" s="30"/>
      <c r="P68" s="30"/>
      <c r="Q68" s="30"/>
      <c r="R68" s="33"/>
      <c r="S68" s="35"/>
      <c r="T68" s="30"/>
      <c r="U68" s="30"/>
      <c r="V68" s="30"/>
      <c r="W68" s="33"/>
      <c r="X68" s="33"/>
      <c r="Y68" s="30"/>
      <c r="Z68" s="30"/>
      <c r="AA68" s="30"/>
      <c r="AB68" s="33"/>
    </row>
    <row r="69" customFormat="false" ht="15" hidden="false" customHeight="false" outlineLevel="0" collapsed="false">
      <c r="A69" s="29" t="n">
        <v>46409</v>
      </c>
      <c r="B69" s="30" t="s">
        <v>63</v>
      </c>
      <c r="C69" s="31" t="n">
        <v>9</v>
      </c>
      <c r="D69" s="32" t="s">
        <v>393</v>
      </c>
      <c r="E69" s="33" t="s">
        <v>394</v>
      </c>
      <c r="F69" s="44" t="s">
        <v>225</v>
      </c>
      <c r="G69" s="30"/>
      <c r="H69" s="30"/>
      <c r="I69" s="30"/>
      <c r="J69" s="30"/>
      <c r="K69" s="30"/>
      <c r="L69" s="30"/>
      <c r="M69" s="30"/>
      <c r="N69" s="30"/>
      <c r="O69" s="30"/>
      <c r="P69" s="30"/>
      <c r="Q69" s="30"/>
      <c r="R69" s="33"/>
      <c r="S69" s="35"/>
      <c r="T69" s="30"/>
      <c r="U69" s="30"/>
      <c r="V69" s="30"/>
      <c r="W69" s="33"/>
      <c r="X69" s="33"/>
      <c r="Y69" s="30"/>
      <c r="Z69" s="30"/>
      <c r="AA69" s="30"/>
      <c r="AB69" s="33"/>
    </row>
    <row r="70" customFormat="false" ht="68.65" hidden="false" customHeight="false" outlineLevel="0" collapsed="false">
      <c r="A70" s="36" t="n">
        <v>46412</v>
      </c>
      <c r="B70" s="37" t="s">
        <v>74</v>
      </c>
      <c r="C70" s="38" t="n">
        <v>10</v>
      </c>
      <c r="D70" s="39" t="s">
        <v>395</v>
      </c>
      <c r="E70" s="40" t="s">
        <v>396</v>
      </c>
      <c r="F70" s="45" t="s">
        <v>225</v>
      </c>
      <c r="G70" s="37"/>
      <c r="H70" s="37"/>
      <c r="I70" s="37"/>
      <c r="J70" s="37"/>
      <c r="K70" s="37"/>
      <c r="L70" s="37"/>
      <c r="M70" s="37"/>
      <c r="N70" s="37"/>
      <c r="O70" s="37"/>
      <c r="P70" s="37"/>
      <c r="Q70" s="41" t="str">
        <f aca="false">HYPERLINK(Links!$M$70,"search")</f>
        <v>search</v>
      </c>
      <c r="R70" s="40" t="s">
        <v>397</v>
      </c>
      <c r="S70" s="42" t="n">
        <v>46413</v>
      </c>
      <c r="T70" s="37"/>
      <c r="U70" s="37"/>
      <c r="V70" s="37"/>
      <c r="W70" s="40" t="s">
        <v>398</v>
      </c>
      <c r="X70" s="40" t="s">
        <v>399</v>
      </c>
      <c r="Y70" s="37"/>
      <c r="Z70" s="37"/>
      <c r="AA70" s="37"/>
      <c r="AB70" s="40" t="s">
        <v>400</v>
      </c>
    </row>
    <row r="71" customFormat="false" ht="35.05" hidden="false" customHeight="false" outlineLevel="0" collapsed="false">
      <c r="A71" s="36" t="n">
        <v>46413</v>
      </c>
      <c r="B71" s="37" t="s">
        <v>87</v>
      </c>
      <c r="C71" s="38" t="n">
        <v>10</v>
      </c>
      <c r="D71" s="39" t="s">
        <v>401</v>
      </c>
      <c r="E71" s="40" t="s">
        <v>402</v>
      </c>
      <c r="F71" s="45" t="s">
        <v>225</v>
      </c>
      <c r="G71" s="37"/>
      <c r="H71" s="37"/>
      <c r="I71" s="37"/>
      <c r="J71" s="37"/>
      <c r="K71" s="37"/>
      <c r="L71" s="37"/>
      <c r="M71" s="37"/>
      <c r="N71" s="37"/>
      <c r="O71" s="37"/>
      <c r="P71" s="37"/>
      <c r="Q71" s="41" t="str">
        <f aca="false">HYPERLINK(Links!$M$71,"search")</f>
        <v>search</v>
      </c>
      <c r="R71" s="40" t="s">
        <v>403</v>
      </c>
      <c r="S71" s="42" t="n">
        <v>46414</v>
      </c>
      <c r="T71" s="37"/>
      <c r="U71" s="37"/>
      <c r="V71" s="37"/>
      <c r="W71" s="40" t="s">
        <v>404</v>
      </c>
      <c r="X71" s="40" t="s">
        <v>405</v>
      </c>
      <c r="Y71" s="37"/>
      <c r="Z71" s="37"/>
      <c r="AA71" s="37"/>
      <c r="AB71" s="40" t="s">
        <v>406</v>
      </c>
    </row>
    <row r="72" customFormat="false" ht="68.65" hidden="false" customHeight="false" outlineLevel="0" collapsed="false">
      <c r="A72" s="36" t="n">
        <v>46414</v>
      </c>
      <c r="B72" s="37" t="s">
        <v>39</v>
      </c>
      <c r="C72" s="38" t="n">
        <v>10</v>
      </c>
      <c r="D72" s="39" t="s">
        <v>407</v>
      </c>
      <c r="E72" s="40" t="s">
        <v>408</v>
      </c>
      <c r="F72" s="45" t="s">
        <v>225</v>
      </c>
      <c r="G72" s="37"/>
      <c r="H72" s="37"/>
      <c r="I72" s="37"/>
      <c r="J72" s="37"/>
      <c r="K72" s="37"/>
      <c r="L72" s="37"/>
      <c r="M72" s="37"/>
      <c r="N72" s="37"/>
      <c r="O72" s="37"/>
      <c r="P72" s="37"/>
      <c r="Q72" s="41" t="str">
        <f aca="false">HYPERLINK(Links!$M$72,"search")</f>
        <v>search</v>
      </c>
      <c r="R72" s="40" t="s">
        <v>409</v>
      </c>
      <c r="S72" s="42" t="n">
        <v>46415</v>
      </c>
      <c r="T72" s="37"/>
      <c r="U72" s="37"/>
      <c r="V72" s="37"/>
      <c r="W72" s="40" t="s">
        <v>410</v>
      </c>
      <c r="X72" s="40" t="s">
        <v>411</v>
      </c>
      <c r="Y72" s="37"/>
      <c r="Z72" s="37"/>
      <c r="AA72" s="37"/>
      <c r="AB72" s="40" t="s">
        <v>412</v>
      </c>
    </row>
    <row r="73" customFormat="false" ht="68.65" hidden="false" customHeight="false" outlineLevel="0" collapsed="false">
      <c r="A73" s="36" t="n">
        <v>46415</v>
      </c>
      <c r="B73" s="37" t="s">
        <v>52</v>
      </c>
      <c r="C73" s="38" t="n">
        <v>10</v>
      </c>
      <c r="D73" s="39" t="s">
        <v>413</v>
      </c>
      <c r="E73" s="40" t="s">
        <v>414</v>
      </c>
      <c r="F73" s="45" t="s">
        <v>225</v>
      </c>
      <c r="G73" s="37"/>
      <c r="H73" s="37"/>
      <c r="I73" s="37"/>
      <c r="J73" s="37"/>
      <c r="K73" s="37"/>
      <c r="L73" s="37"/>
      <c r="M73" s="37"/>
      <c r="N73" s="37"/>
      <c r="O73" s="37"/>
      <c r="P73" s="37"/>
      <c r="Q73" s="41" t="str">
        <f aca="false">HYPERLINK(Links!$M$73,"search")</f>
        <v>search</v>
      </c>
      <c r="R73" s="40" t="s">
        <v>415</v>
      </c>
      <c r="S73" s="42" t="n">
        <v>46416</v>
      </c>
      <c r="T73" s="37"/>
      <c r="U73" s="37"/>
      <c r="V73" s="37"/>
      <c r="W73" s="40" t="s">
        <v>416</v>
      </c>
      <c r="X73" s="40" t="s">
        <v>417</v>
      </c>
      <c r="Y73" s="37"/>
      <c r="Z73" s="37"/>
      <c r="AA73" s="37"/>
      <c r="AB73" s="40" t="s">
        <v>418</v>
      </c>
    </row>
    <row r="74" customFormat="false" ht="57.45" hidden="false" customHeight="false" outlineLevel="0" collapsed="false">
      <c r="A74" s="36" t="n">
        <v>46416</v>
      </c>
      <c r="B74" s="37" t="s">
        <v>63</v>
      </c>
      <c r="C74" s="38" t="n">
        <v>10</v>
      </c>
      <c r="D74" s="39" t="s">
        <v>419</v>
      </c>
      <c r="E74" s="40" t="s">
        <v>420</v>
      </c>
      <c r="F74" s="45" t="s">
        <v>225</v>
      </c>
      <c r="G74" s="37"/>
      <c r="H74" s="37"/>
      <c r="I74" s="37"/>
      <c r="J74" s="37"/>
      <c r="K74" s="37"/>
      <c r="L74" s="37"/>
      <c r="M74" s="37"/>
      <c r="N74" s="37"/>
      <c r="O74" s="37"/>
      <c r="P74" s="37"/>
      <c r="Q74" s="41" t="str">
        <f aca="false">HYPERLINK(Links!$M$74,"search")</f>
        <v>search</v>
      </c>
      <c r="R74" s="40" t="s">
        <v>421</v>
      </c>
      <c r="S74" s="42" t="n">
        <v>46419</v>
      </c>
      <c r="T74" s="37"/>
      <c r="U74" s="37"/>
      <c r="V74" s="37"/>
      <c r="W74" s="40" t="s">
        <v>416</v>
      </c>
      <c r="X74" s="40" t="s">
        <v>417</v>
      </c>
      <c r="Y74" s="37"/>
      <c r="Z74" s="37"/>
      <c r="AA74" s="37"/>
      <c r="AB74" s="40" t="s">
        <v>422</v>
      </c>
    </row>
    <row r="75" customFormat="false" ht="46.25" hidden="false" customHeight="false" outlineLevel="0" collapsed="false">
      <c r="A75" s="36" t="n">
        <v>46419</v>
      </c>
      <c r="B75" s="37" t="s">
        <v>74</v>
      </c>
      <c r="C75" s="38" t="n">
        <v>10</v>
      </c>
      <c r="D75" s="39" t="s">
        <v>423</v>
      </c>
      <c r="E75" s="40" t="s">
        <v>424</v>
      </c>
      <c r="F75" s="45" t="s">
        <v>225</v>
      </c>
      <c r="G75" s="37"/>
      <c r="H75" s="37"/>
      <c r="I75" s="37"/>
      <c r="J75" s="37"/>
      <c r="K75" s="37"/>
      <c r="L75" s="37"/>
      <c r="M75" s="37"/>
      <c r="N75" s="37"/>
      <c r="O75" s="37"/>
      <c r="P75" s="37"/>
      <c r="Q75" s="41" t="str">
        <f aca="false">HYPERLINK(Links!$M$75,"search")</f>
        <v>search</v>
      </c>
      <c r="R75" s="40" t="s">
        <v>425</v>
      </c>
      <c r="S75" s="42" t="n">
        <v>46420</v>
      </c>
      <c r="T75" s="37"/>
      <c r="U75" s="37"/>
      <c r="V75" s="37"/>
      <c r="W75" s="40" t="s">
        <v>426</v>
      </c>
      <c r="X75" s="40" t="s">
        <v>427</v>
      </c>
      <c r="Y75" s="37"/>
      <c r="Z75" s="37"/>
      <c r="AA75" s="37"/>
      <c r="AB75" s="40" t="s">
        <v>428</v>
      </c>
    </row>
    <row r="76" customFormat="false" ht="46.25" hidden="false" customHeight="false" outlineLevel="0" collapsed="false">
      <c r="A76" s="36" t="n">
        <v>46420</v>
      </c>
      <c r="B76" s="37" t="s">
        <v>87</v>
      </c>
      <c r="C76" s="38" t="n">
        <v>10</v>
      </c>
      <c r="D76" s="39" t="s">
        <v>429</v>
      </c>
      <c r="E76" s="40" t="s">
        <v>430</v>
      </c>
      <c r="F76" s="45" t="s">
        <v>225</v>
      </c>
      <c r="G76" s="37"/>
      <c r="H76" s="37"/>
      <c r="I76" s="37"/>
      <c r="J76" s="37"/>
      <c r="K76" s="37"/>
      <c r="L76" s="37"/>
      <c r="M76" s="37"/>
      <c r="N76" s="37"/>
      <c r="O76" s="37"/>
      <c r="P76" s="37"/>
      <c r="Q76" s="41" t="str">
        <f aca="false">HYPERLINK(Links!$M$76,"search")</f>
        <v>search</v>
      </c>
      <c r="R76" s="40" t="s">
        <v>431</v>
      </c>
      <c r="S76" s="42" t="n">
        <v>46421</v>
      </c>
      <c r="T76" s="37"/>
      <c r="U76" s="37"/>
      <c r="V76" s="37"/>
      <c r="W76" s="40" t="s">
        <v>432</v>
      </c>
      <c r="X76" s="40" t="s">
        <v>433</v>
      </c>
      <c r="Y76" s="37"/>
      <c r="Z76" s="37"/>
      <c r="AA76" s="37"/>
      <c r="AB76" s="40" t="s">
        <v>434</v>
      </c>
    </row>
    <row r="77" customFormat="false" ht="68.65" hidden="false" customHeight="false" outlineLevel="0" collapsed="false">
      <c r="A77" s="36" t="n">
        <v>46421</v>
      </c>
      <c r="B77" s="37" t="s">
        <v>39</v>
      </c>
      <c r="C77" s="38" t="n">
        <v>10</v>
      </c>
      <c r="D77" s="39" t="s">
        <v>435</v>
      </c>
      <c r="E77" s="40" t="s">
        <v>436</v>
      </c>
      <c r="F77" s="45" t="s">
        <v>225</v>
      </c>
      <c r="G77" s="37"/>
      <c r="H77" s="37"/>
      <c r="I77" s="37"/>
      <c r="J77" s="37"/>
      <c r="K77" s="37"/>
      <c r="L77" s="37"/>
      <c r="M77" s="37"/>
      <c r="N77" s="37"/>
      <c r="O77" s="37"/>
      <c r="P77" s="37"/>
      <c r="Q77" s="41" t="str">
        <f aca="false">HYPERLINK(Links!$M$77,"search")</f>
        <v>search</v>
      </c>
      <c r="R77" s="40" t="s">
        <v>437</v>
      </c>
      <c r="S77" s="42" t="n">
        <v>46422</v>
      </c>
      <c r="T77" s="37"/>
      <c r="U77" s="37"/>
      <c r="V77" s="37"/>
      <c r="W77" s="40" t="s">
        <v>438</v>
      </c>
      <c r="X77" s="40" t="s">
        <v>439</v>
      </c>
      <c r="Y77" s="37"/>
      <c r="Z77" s="37"/>
      <c r="AA77" s="37"/>
      <c r="AB77" s="40" t="s">
        <v>440</v>
      </c>
    </row>
    <row r="78" customFormat="false" ht="15" hidden="false" customHeight="false" outlineLevel="0" collapsed="false">
      <c r="A78" s="29" t="n">
        <v>46422</v>
      </c>
      <c r="B78" s="30" t="s">
        <v>52</v>
      </c>
      <c r="C78" s="31" t="n">
        <v>10</v>
      </c>
      <c r="D78" s="32" t="s">
        <v>441</v>
      </c>
      <c r="E78" s="33" t="s">
        <v>442</v>
      </c>
      <c r="F78" s="44" t="s">
        <v>225</v>
      </c>
      <c r="G78" s="30"/>
      <c r="H78" s="30"/>
      <c r="I78" s="30"/>
      <c r="J78" s="30"/>
      <c r="K78" s="30"/>
      <c r="L78" s="30"/>
      <c r="M78" s="30"/>
      <c r="N78" s="30"/>
      <c r="O78" s="30"/>
      <c r="P78" s="30"/>
      <c r="Q78" s="30"/>
      <c r="R78" s="33"/>
      <c r="S78" s="35"/>
      <c r="T78" s="30"/>
      <c r="U78" s="30"/>
      <c r="V78" s="30"/>
      <c r="W78" s="33"/>
      <c r="X78" s="33"/>
      <c r="Y78" s="30"/>
      <c r="Z78" s="30"/>
      <c r="AA78" s="30"/>
      <c r="AB78" s="33"/>
    </row>
    <row r="79" customFormat="false" ht="15" hidden="false" customHeight="false" outlineLevel="0" collapsed="false">
      <c r="A79" s="29" t="n">
        <v>46423</v>
      </c>
      <c r="B79" s="30" t="s">
        <v>63</v>
      </c>
      <c r="C79" s="31" t="n">
        <v>10</v>
      </c>
      <c r="D79" s="32" t="s">
        <v>443</v>
      </c>
      <c r="E79" s="33" t="s">
        <v>444</v>
      </c>
      <c r="F79" s="44" t="s">
        <v>225</v>
      </c>
      <c r="G79" s="30"/>
      <c r="H79" s="30"/>
      <c r="I79" s="30"/>
      <c r="J79" s="30"/>
      <c r="K79" s="30"/>
      <c r="L79" s="30"/>
      <c r="M79" s="30"/>
      <c r="N79" s="30"/>
      <c r="O79" s="30"/>
      <c r="P79" s="30"/>
      <c r="Q79" s="30"/>
      <c r="R79" s="33"/>
      <c r="S79" s="35"/>
      <c r="T79" s="30"/>
      <c r="U79" s="30"/>
      <c r="V79" s="30"/>
      <c r="W79" s="33"/>
      <c r="X79" s="33"/>
      <c r="Y79" s="30"/>
      <c r="Z79" s="30"/>
      <c r="AA79" s="30"/>
      <c r="AB79" s="33"/>
    </row>
    <row r="80" customFormat="false" ht="35.05" hidden="false" customHeight="false" outlineLevel="0" collapsed="false">
      <c r="A80" s="15" t="n">
        <v>46426</v>
      </c>
      <c r="B80" s="16" t="s">
        <v>74</v>
      </c>
      <c r="C80" s="17" t="n">
        <v>11</v>
      </c>
      <c r="D80" s="18" t="s">
        <v>445</v>
      </c>
      <c r="E80" s="19" t="s">
        <v>446</v>
      </c>
      <c r="F80" s="43" t="s">
        <v>225</v>
      </c>
      <c r="G80" s="16"/>
      <c r="H80" s="16"/>
      <c r="I80" s="16"/>
      <c r="J80" s="16"/>
      <c r="K80" s="16"/>
      <c r="L80" s="16"/>
      <c r="M80" s="16"/>
      <c r="N80" s="16"/>
      <c r="O80" s="16"/>
      <c r="P80" s="16"/>
      <c r="Q80" s="20" t="str">
        <f aca="false">HYPERLINK(Links!$M$80,"search")</f>
        <v>search</v>
      </c>
      <c r="R80" s="19" t="s">
        <v>447</v>
      </c>
      <c r="S80" s="21" t="n">
        <v>46427</v>
      </c>
      <c r="T80" s="16"/>
      <c r="U80" s="16"/>
      <c r="V80" s="16"/>
      <c r="W80" s="19" t="s">
        <v>448</v>
      </c>
      <c r="X80" s="19" t="s">
        <v>449</v>
      </c>
      <c r="Y80" s="16"/>
      <c r="Z80" s="16"/>
      <c r="AA80" s="16"/>
      <c r="AB80" s="19" t="s">
        <v>450</v>
      </c>
    </row>
    <row r="81" customFormat="false" ht="35.05" hidden="false" customHeight="false" outlineLevel="0" collapsed="false">
      <c r="A81" s="15" t="n">
        <v>46427</v>
      </c>
      <c r="B81" s="16" t="s">
        <v>87</v>
      </c>
      <c r="C81" s="17" t="n">
        <v>11</v>
      </c>
      <c r="D81" s="18" t="s">
        <v>451</v>
      </c>
      <c r="E81" s="19" t="s">
        <v>452</v>
      </c>
      <c r="F81" s="43" t="s">
        <v>225</v>
      </c>
      <c r="G81" s="16"/>
      <c r="H81" s="16"/>
      <c r="I81" s="16"/>
      <c r="J81" s="16"/>
      <c r="K81" s="16"/>
      <c r="L81" s="16"/>
      <c r="M81" s="16"/>
      <c r="N81" s="16"/>
      <c r="O81" s="16"/>
      <c r="P81" s="16"/>
      <c r="Q81" s="20" t="str">
        <f aca="false">HYPERLINK(Links!$M$81,"search")</f>
        <v>search</v>
      </c>
      <c r="R81" s="19" t="s">
        <v>453</v>
      </c>
      <c r="S81" s="21" t="n">
        <v>46428</v>
      </c>
      <c r="T81" s="16"/>
      <c r="U81" s="16"/>
      <c r="V81" s="16"/>
      <c r="W81" s="19" t="s">
        <v>448</v>
      </c>
      <c r="X81" s="19" t="s">
        <v>449</v>
      </c>
      <c r="Y81" s="16"/>
      <c r="Z81" s="16"/>
      <c r="AA81" s="16"/>
      <c r="AB81" s="19" t="s">
        <v>454</v>
      </c>
    </row>
    <row r="82" customFormat="false" ht="35.05" hidden="false" customHeight="false" outlineLevel="0" collapsed="false">
      <c r="A82" s="15" t="n">
        <v>46428</v>
      </c>
      <c r="B82" s="16" t="s">
        <v>39</v>
      </c>
      <c r="C82" s="17" t="n">
        <v>11</v>
      </c>
      <c r="D82" s="18" t="s">
        <v>455</v>
      </c>
      <c r="E82" s="19" t="s">
        <v>456</v>
      </c>
      <c r="F82" s="43" t="s">
        <v>225</v>
      </c>
      <c r="G82" s="16"/>
      <c r="H82" s="16"/>
      <c r="I82" s="16"/>
      <c r="J82" s="16"/>
      <c r="K82" s="16"/>
      <c r="L82" s="16"/>
      <c r="M82" s="16"/>
      <c r="N82" s="16"/>
      <c r="O82" s="16"/>
      <c r="P82" s="16"/>
      <c r="Q82" s="20" t="str">
        <f aca="false">HYPERLINK(Links!$M$82,"search")</f>
        <v>search</v>
      </c>
      <c r="R82" s="19" t="s">
        <v>457</v>
      </c>
      <c r="S82" s="21" t="n">
        <v>46429</v>
      </c>
      <c r="T82" s="16"/>
      <c r="U82" s="16"/>
      <c r="V82" s="16"/>
      <c r="W82" s="19" t="s">
        <v>448</v>
      </c>
      <c r="X82" s="19" t="s">
        <v>449</v>
      </c>
      <c r="Y82" s="16"/>
      <c r="Z82" s="16"/>
      <c r="AA82" s="16"/>
      <c r="AB82" s="19" t="s">
        <v>458</v>
      </c>
    </row>
    <row r="83" customFormat="false" ht="35.05" hidden="false" customHeight="false" outlineLevel="0" collapsed="false">
      <c r="A83" s="15" t="n">
        <v>46429</v>
      </c>
      <c r="B83" s="16" t="s">
        <v>52</v>
      </c>
      <c r="C83" s="17" t="n">
        <v>11</v>
      </c>
      <c r="D83" s="18" t="s">
        <v>459</v>
      </c>
      <c r="E83" s="19" t="s">
        <v>460</v>
      </c>
      <c r="F83" s="43" t="s">
        <v>225</v>
      </c>
      <c r="G83" s="16"/>
      <c r="H83" s="16"/>
      <c r="I83" s="16"/>
      <c r="J83" s="16"/>
      <c r="K83" s="16"/>
      <c r="L83" s="16"/>
      <c r="M83" s="16"/>
      <c r="N83" s="16"/>
      <c r="O83" s="16"/>
      <c r="P83" s="16"/>
      <c r="Q83" s="20" t="str">
        <f aca="false">HYPERLINK(Links!$M$83,"search")</f>
        <v>search</v>
      </c>
      <c r="R83" s="19" t="s">
        <v>461</v>
      </c>
      <c r="S83" s="21" t="n">
        <v>46430</v>
      </c>
      <c r="T83" s="16"/>
      <c r="U83" s="16"/>
      <c r="V83" s="16"/>
      <c r="W83" s="19" t="s">
        <v>448</v>
      </c>
      <c r="X83" s="19" t="s">
        <v>449</v>
      </c>
      <c r="Y83" s="16"/>
      <c r="Z83" s="16"/>
      <c r="AA83" s="16"/>
      <c r="AB83" s="19" t="s">
        <v>462</v>
      </c>
    </row>
    <row r="84" customFormat="false" ht="79.85" hidden="false" customHeight="false" outlineLevel="0" collapsed="false">
      <c r="A84" s="15" t="n">
        <v>46430</v>
      </c>
      <c r="B84" s="16" t="s">
        <v>63</v>
      </c>
      <c r="C84" s="17" t="n">
        <v>11</v>
      </c>
      <c r="D84" s="18" t="s">
        <v>463</v>
      </c>
      <c r="E84" s="19" t="s">
        <v>464</v>
      </c>
      <c r="F84" s="43" t="s">
        <v>225</v>
      </c>
      <c r="G84" s="16"/>
      <c r="H84" s="16"/>
      <c r="I84" s="16"/>
      <c r="J84" s="16"/>
      <c r="K84" s="16"/>
      <c r="L84" s="16"/>
      <c r="M84" s="16"/>
      <c r="N84" s="16"/>
      <c r="O84" s="16"/>
      <c r="P84" s="16"/>
      <c r="Q84" s="20" t="str">
        <f aca="false">HYPERLINK(Links!$M$84,"search")</f>
        <v>search</v>
      </c>
      <c r="R84" s="19" t="s">
        <v>465</v>
      </c>
      <c r="S84" s="21" t="n">
        <v>46434</v>
      </c>
      <c r="T84" s="16"/>
      <c r="U84" s="16"/>
      <c r="V84" s="16"/>
      <c r="W84" s="19" t="s">
        <v>466</v>
      </c>
      <c r="X84" s="19" t="s">
        <v>467</v>
      </c>
      <c r="Y84" s="16"/>
      <c r="Z84" s="16"/>
      <c r="AA84" s="16"/>
      <c r="AB84" s="19" t="s">
        <v>468</v>
      </c>
    </row>
    <row r="85" customFormat="false" ht="23.85" hidden="false" customHeight="false" outlineLevel="0" collapsed="false">
      <c r="A85" s="15" t="n">
        <v>46434</v>
      </c>
      <c r="B85" s="16" t="s">
        <v>87</v>
      </c>
      <c r="C85" s="17" t="n">
        <v>11</v>
      </c>
      <c r="D85" s="18" t="s">
        <v>469</v>
      </c>
      <c r="E85" s="19" t="s">
        <v>470</v>
      </c>
      <c r="F85" s="43" t="s">
        <v>225</v>
      </c>
      <c r="G85" s="16"/>
      <c r="H85" s="16"/>
      <c r="I85" s="16"/>
      <c r="J85" s="16"/>
      <c r="K85" s="16"/>
      <c r="L85" s="16"/>
      <c r="M85" s="16"/>
      <c r="N85" s="16"/>
      <c r="O85" s="16"/>
      <c r="P85" s="16"/>
      <c r="Q85" s="20" t="str">
        <f aca="false">HYPERLINK(Links!$M$85,"search")</f>
        <v>search</v>
      </c>
      <c r="R85" s="19" t="s">
        <v>471</v>
      </c>
      <c r="S85" s="21" t="n">
        <v>46435</v>
      </c>
      <c r="T85" s="16"/>
      <c r="U85" s="16"/>
      <c r="V85" s="16"/>
      <c r="W85" s="19" t="s">
        <v>472</v>
      </c>
      <c r="X85" s="19" t="s">
        <v>473</v>
      </c>
      <c r="Y85" s="16"/>
      <c r="Z85" s="16"/>
      <c r="AA85" s="16"/>
      <c r="AB85" s="19" t="s">
        <v>474</v>
      </c>
    </row>
    <row r="86" customFormat="false" ht="23.85" hidden="false" customHeight="false" outlineLevel="0" collapsed="false">
      <c r="A86" s="15" t="n">
        <v>46435</v>
      </c>
      <c r="B86" s="16" t="s">
        <v>39</v>
      </c>
      <c r="C86" s="17" t="n">
        <v>11</v>
      </c>
      <c r="D86" s="18" t="s">
        <v>475</v>
      </c>
      <c r="E86" s="19" t="s">
        <v>476</v>
      </c>
      <c r="F86" s="43" t="s">
        <v>225</v>
      </c>
      <c r="G86" s="16"/>
      <c r="H86" s="16"/>
      <c r="I86" s="16"/>
      <c r="J86" s="16"/>
      <c r="K86" s="16"/>
      <c r="L86" s="16"/>
      <c r="M86" s="16"/>
      <c r="N86" s="16"/>
      <c r="O86" s="16"/>
      <c r="P86" s="16"/>
      <c r="Q86" s="20" t="str">
        <f aca="false">HYPERLINK(Links!$M$86,"search")</f>
        <v>search</v>
      </c>
      <c r="R86" s="19" t="s">
        <v>477</v>
      </c>
      <c r="S86" s="21" t="n">
        <v>46436</v>
      </c>
      <c r="T86" s="16"/>
      <c r="U86" s="16"/>
      <c r="V86" s="16"/>
      <c r="W86" s="19" t="s">
        <v>472</v>
      </c>
      <c r="X86" s="19" t="s">
        <v>473</v>
      </c>
      <c r="Y86" s="16"/>
      <c r="Z86" s="16"/>
      <c r="AA86" s="16"/>
      <c r="AB86" s="19" t="s">
        <v>478</v>
      </c>
    </row>
    <row r="87" customFormat="false" ht="15" hidden="false" customHeight="false" outlineLevel="0" collapsed="false">
      <c r="A87" s="29" t="n">
        <v>46436</v>
      </c>
      <c r="B87" s="30" t="s">
        <v>52</v>
      </c>
      <c r="C87" s="31" t="n">
        <v>11</v>
      </c>
      <c r="D87" s="32" t="s">
        <v>479</v>
      </c>
      <c r="E87" s="33" t="s">
        <v>480</v>
      </c>
      <c r="F87" s="44" t="s">
        <v>225</v>
      </c>
      <c r="G87" s="30"/>
      <c r="H87" s="30"/>
      <c r="I87" s="30"/>
      <c r="J87" s="30"/>
      <c r="K87" s="30"/>
      <c r="L87" s="30"/>
      <c r="M87" s="30"/>
      <c r="N87" s="30"/>
      <c r="O87" s="30"/>
      <c r="P87" s="30"/>
      <c r="Q87" s="30"/>
      <c r="R87" s="33"/>
      <c r="S87" s="35"/>
      <c r="T87" s="30"/>
      <c r="U87" s="30"/>
      <c r="V87" s="30"/>
      <c r="W87" s="33"/>
      <c r="X87" s="33"/>
      <c r="Y87" s="30"/>
      <c r="Z87" s="30"/>
      <c r="AA87" s="30"/>
      <c r="AB87" s="33"/>
    </row>
    <row r="88" customFormat="false" ht="15" hidden="false" customHeight="false" outlineLevel="0" collapsed="false">
      <c r="A88" s="29" t="n">
        <v>46437</v>
      </c>
      <c r="B88" s="30" t="s">
        <v>63</v>
      </c>
      <c r="C88" s="31" t="n">
        <v>11</v>
      </c>
      <c r="D88" s="32" t="s">
        <v>481</v>
      </c>
      <c r="E88" s="33" t="s">
        <v>482</v>
      </c>
      <c r="F88" s="44" t="s">
        <v>225</v>
      </c>
      <c r="G88" s="30"/>
      <c r="H88" s="30"/>
      <c r="I88" s="30"/>
      <c r="J88" s="30"/>
      <c r="K88" s="30"/>
      <c r="L88" s="30"/>
      <c r="M88" s="30"/>
      <c r="N88" s="30"/>
      <c r="O88" s="30"/>
      <c r="P88" s="30"/>
      <c r="Q88" s="30"/>
      <c r="R88" s="33"/>
      <c r="S88" s="35"/>
      <c r="T88" s="30"/>
      <c r="U88" s="30"/>
      <c r="V88" s="30"/>
      <c r="W88" s="33"/>
      <c r="X88" s="33"/>
      <c r="Y88" s="30"/>
      <c r="Z88" s="30"/>
      <c r="AA88" s="30"/>
      <c r="AB88" s="33"/>
    </row>
    <row r="89" customFormat="false" ht="23.85" hidden="false" customHeight="false" outlineLevel="0" collapsed="false">
      <c r="A89" s="22" t="n">
        <v>46440</v>
      </c>
      <c r="B89" s="23" t="s">
        <v>74</v>
      </c>
      <c r="C89" s="24" t="n">
        <v>11</v>
      </c>
      <c r="D89" s="25" t="s">
        <v>305</v>
      </c>
      <c r="E89" s="26" t="s">
        <v>306</v>
      </c>
      <c r="F89" s="46" t="s">
        <v>225</v>
      </c>
      <c r="G89" s="23"/>
      <c r="H89" s="23"/>
      <c r="I89" s="23"/>
      <c r="J89" s="23"/>
      <c r="K89" s="23"/>
      <c r="L89" s="23"/>
      <c r="M89" s="23"/>
      <c r="N89" s="23"/>
      <c r="O89" s="23"/>
      <c r="P89" s="23"/>
      <c r="Q89" s="23"/>
      <c r="R89" s="26"/>
      <c r="S89" s="28"/>
      <c r="T89" s="23"/>
      <c r="U89" s="23"/>
      <c r="V89" s="23"/>
      <c r="W89" s="26"/>
      <c r="X89" s="26"/>
      <c r="Y89" s="23"/>
      <c r="Z89" s="23"/>
      <c r="AA89" s="23"/>
      <c r="AB89" s="26"/>
    </row>
    <row r="90" customFormat="false" ht="35.05" hidden="false" customHeight="false" outlineLevel="0" collapsed="false">
      <c r="A90" s="36" t="n">
        <v>46441</v>
      </c>
      <c r="B90" s="37" t="s">
        <v>87</v>
      </c>
      <c r="C90" s="38" t="n">
        <v>12</v>
      </c>
      <c r="D90" s="39" t="s">
        <v>483</v>
      </c>
      <c r="E90" s="40" t="s">
        <v>484</v>
      </c>
      <c r="F90" s="45" t="s">
        <v>225</v>
      </c>
      <c r="G90" s="37"/>
      <c r="H90" s="37"/>
      <c r="I90" s="37"/>
      <c r="J90" s="37"/>
      <c r="K90" s="37"/>
      <c r="L90" s="37"/>
      <c r="M90" s="37"/>
      <c r="N90" s="37"/>
      <c r="O90" s="37"/>
      <c r="P90" s="37"/>
      <c r="Q90" s="41" t="str">
        <f aca="false">HYPERLINK(Links!$M$90,"search")</f>
        <v>search</v>
      </c>
      <c r="R90" s="40" t="s">
        <v>485</v>
      </c>
      <c r="S90" s="42" t="n">
        <v>46442</v>
      </c>
      <c r="T90" s="37"/>
      <c r="U90" s="37"/>
      <c r="V90" s="37"/>
      <c r="W90" s="40" t="s">
        <v>486</v>
      </c>
      <c r="X90" s="40" t="s">
        <v>487</v>
      </c>
      <c r="Y90" s="37"/>
      <c r="Z90" s="37"/>
      <c r="AA90" s="37"/>
      <c r="AB90" s="40" t="s">
        <v>488</v>
      </c>
    </row>
    <row r="91" customFormat="false" ht="35.05" hidden="false" customHeight="false" outlineLevel="0" collapsed="false">
      <c r="A91" s="36" t="n">
        <v>46442</v>
      </c>
      <c r="B91" s="37" t="s">
        <v>39</v>
      </c>
      <c r="C91" s="38" t="n">
        <v>12</v>
      </c>
      <c r="D91" s="39" t="s">
        <v>489</v>
      </c>
      <c r="E91" s="40" t="s">
        <v>490</v>
      </c>
      <c r="F91" s="45" t="s">
        <v>225</v>
      </c>
      <c r="G91" s="37"/>
      <c r="H91" s="37"/>
      <c r="I91" s="37"/>
      <c r="J91" s="37"/>
      <c r="K91" s="37"/>
      <c r="L91" s="37"/>
      <c r="M91" s="37"/>
      <c r="N91" s="37"/>
      <c r="O91" s="37"/>
      <c r="P91" s="37"/>
      <c r="Q91" s="41" t="str">
        <f aca="false">HYPERLINK(Links!$M$91,"search")</f>
        <v>search</v>
      </c>
      <c r="R91" s="40" t="s">
        <v>491</v>
      </c>
      <c r="S91" s="42" t="n">
        <v>46443</v>
      </c>
      <c r="T91" s="37"/>
      <c r="U91" s="37"/>
      <c r="V91" s="37"/>
      <c r="W91" s="40" t="s">
        <v>486</v>
      </c>
      <c r="X91" s="40" t="s">
        <v>487</v>
      </c>
      <c r="Y91" s="37"/>
      <c r="Z91" s="37"/>
      <c r="AA91" s="37"/>
      <c r="AB91" s="40" t="s">
        <v>492</v>
      </c>
    </row>
    <row r="92" customFormat="false" ht="35.05" hidden="false" customHeight="false" outlineLevel="0" collapsed="false">
      <c r="A92" s="36" t="n">
        <v>46443</v>
      </c>
      <c r="B92" s="37" t="s">
        <v>52</v>
      </c>
      <c r="C92" s="38" t="n">
        <v>12</v>
      </c>
      <c r="D92" s="39" t="s">
        <v>493</v>
      </c>
      <c r="E92" s="40" t="s">
        <v>494</v>
      </c>
      <c r="F92" s="45" t="s">
        <v>225</v>
      </c>
      <c r="G92" s="37"/>
      <c r="H92" s="37"/>
      <c r="I92" s="37"/>
      <c r="J92" s="37"/>
      <c r="K92" s="37"/>
      <c r="L92" s="37"/>
      <c r="M92" s="37"/>
      <c r="N92" s="37"/>
      <c r="O92" s="37"/>
      <c r="P92" s="37"/>
      <c r="Q92" s="41" t="str">
        <f aca="false">HYPERLINK(Links!$M$92,"search")</f>
        <v>search</v>
      </c>
      <c r="R92" s="40" t="s">
        <v>495</v>
      </c>
      <c r="S92" s="42" t="n">
        <v>46448</v>
      </c>
      <c r="T92" s="37"/>
      <c r="U92" s="37"/>
      <c r="V92" s="37"/>
      <c r="W92" s="40" t="s">
        <v>496</v>
      </c>
      <c r="X92" s="40" t="s">
        <v>497</v>
      </c>
      <c r="Y92" s="37"/>
      <c r="Z92" s="37"/>
      <c r="AA92" s="37"/>
      <c r="AB92" s="40" t="s">
        <v>498</v>
      </c>
    </row>
    <row r="93" customFormat="false" ht="35.05" hidden="false" customHeight="false" outlineLevel="0" collapsed="false">
      <c r="A93" s="36" t="n">
        <v>46444</v>
      </c>
      <c r="B93" s="37" t="s">
        <v>63</v>
      </c>
      <c r="C93" s="38" t="n">
        <v>12</v>
      </c>
      <c r="D93" s="39" t="s">
        <v>499</v>
      </c>
      <c r="E93" s="40" t="s">
        <v>500</v>
      </c>
      <c r="F93" s="45" t="s">
        <v>225</v>
      </c>
      <c r="G93" s="37"/>
      <c r="H93" s="37"/>
      <c r="I93" s="37"/>
      <c r="J93" s="37"/>
      <c r="K93" s="37"/>
      <c r="L93" s="37"/>
      <c r="M93" s="37"/>
      <c r="N93" s="37"/>
      <c r="O93" s="37"/>
      <c r="P93" s="37"/>
      <c r="Q93" s="41" t="str">
        <f aca="false">HYPERLINK(Links!$M$93,"search")</f>
        <v>search</v>
      </c>
      <c r="R93" s="40" t="s">
        <v>495</v>
      </c>
      <c r="S93" s="42" t="n">
        <v>46448</v>
      </c>
      <c r="T93" s="37"/>
      <c r="U93" s="37"/>
      <c r="V93" s="37"/>
      <c r="W93" s="40" t="s">
        <v>496</v>
      </c>
      <c r="X93" s="40" t="s">
        <v>497</v>
      </c>
      <c r="Y93" s="37"/>
      <c r="Z93" s="37"/>
      <c r="AA93" s="37"/>
      <c r="AB93" s="40" t="s">
        <v>501</v>
      </c>
    </row>
    <row r="94" customFormat="false" ht="15" hidden="false" customHeight="false" outlineLevel="0" collapsed="false">
      <c r="A94" s="22" t="n">
        <v>46447</v>
      </c>
      <c r="B94" s="23" t="s">
        <v>74</v>
      </c>
      <c r="C94" s="24" t="n">
        <v>12</v>
      </c>
      <c r="D94" s="25" t="s">
        <v>142</v>
      </c>
      <c r="E94" s="26" t="s">
        <v>143</v>
      </c>
      <c r="F94" s="46" t="s">
        <v>225</v>
      </c>
      <c r="G94" s="23"/>
      <c r="H94" s="23"/>
      <c r="I94" s="23"/>
      <c r="J94" s="23"/>
      <c r="K94" s="23"/>
      <c r="L94" s="23"/>
      <c r="M94" s="23"/>
      <c r="N94" s="23"/>
      <c r="O94" s="23"/>
      <c r="P94" s="23"/>
      <c r="Q94" s="23"/>
      <c r="R94" s="26"/>
      <c r="S94" s="28"/>
      <c r="T94" s="23"/>
      <c r="U94" s="23"/>
      <c r="V94" s="23"/>
      <c r="W94" s="26"/>
      <c r="X94" s="26"/>
      <c r="Y94" s="23"/>
      <c r="Z94" s="23"/>
      <c r="AA94" s="23"/>
      <c r="AB94" s="26"/>
    </row>
    <row r="95" customFormat="false" ht="35.05" hidden="false" customHeight="false" outlineLevel="0" collapsed="false">
      <c r="A95" s="36" t="n">
        <v>46448</v>
      </c>
      <c r="B95" s="37" t="s">
        <v>87</v>
      </c>
      <c r="C95" s="38" t="n">
        <v>12</v>
      </c>
      <c r="D95" s="39" t="s">
        <v>502</v>
      </c>
      <c r="E95" s="40" t="s">
        <v>503</v>
      </c>
      <c r="F95" s="45" t="s">
        <v>225</v>
      </c>
      <c r="G95" s="37"/>
      <c r="H95" s="37"/>
      <c r="I95" s="37"/>
      <c r="J95" s="37"/>
      <c r="K95" s="37"/>
      <c r="L95" s="37"/>
      <c r="M95" s="37"/>
      <c r="N95" s="37"/>
      <c r="O95" s="37"/>
      <c r="P95" s="37"/>
      <c r="Q95" s="41" t="str">
        <f aca="false">HYPERLINK(Links!$M$95,"search")</f>
        <v>search</v>
      </c>
      <c r="R95" s="40" t="s">
        <v>504</v>
      </c>
      <c r="S95" s="42" t="n">
        <v>46449</v>
      </c>
      <c r="T95" s="37"/>
      <c r="U95" s="37"/>
      <c r="V95" s="37"/>
      <c r="W95" s="40" t="s">
        <v>505</v>
      </c>
      <c r="X95" s="40" t="s">
        <v>506</v>
      </c>
      <c r="Y95" s="37"/>
      <c r="Z95" s="37"/>
      <c r="AA95" s="37"/>
      <c r="AB95" s="40" t="s">
        <v>507</v>
      </c>
    </row>
    <row r="96" customFormat="false" ht="68.65" hidden="false" customHeight="false" outlineLevel="0" collapsed="false">
      <c r="A96" s="36" t="n">
        <v>46449</v>
      </c>
      <c r="B96" s="37" t="s">
        <v>39</v>
      </c>
      <c r="C96" s="38" t="n">
        <v>12</v>
      </c>
      <c r="D96" s="39" t="s">
        <v>508</v>
      </c>
      <c r="E96" s="40" t="s">
        <v>509</v>
      </c>
      <c r="F96" s="45" t="s">
        <v>225</v>
      </c>
      <c r="G96" s="37"/>
      <c r="H96" s="37"/>
      <c r="I96" s="37"/>
      <c r="J96" s="37"/>
      <c r="K96" s="37"/>
      <c r="L96" s="37"/>
      <c r="M96" s="37"/>
      <c r="N96" s="37"/>
      <c r="O96" s="37"/>
      <c r="P96" s="37"/>
      <c r="Q96" s="41" t="str">
        <f aca="false">HYPERLINK(Links!$M$96,"search")</f>
        <v>search</v>
      </c>
      <c r="R96" s="40" t="s">
        <v>510</v>
      </c>
      <c r="S96" s="42" t="n">
        <v>46450</v>
      </c>
      <c r="T96" s="37"/>
      <c r="U96" s="37"/>
      <c r="V96" s="37"/>
      <c r="W96" s="40" t="s">
        <v>511</v>
      </c>
      <c r="X96" s="40" t="s">
        <v>512</v>
      </c>
      <c r="Y96" s="37"/>
      <c r="Z96" s="37"/>
      <c r="AA96" s="37"/>
      <c r="AB96" s="40" t="s">
        <v>513</v>
      </c>
    </row>
    <row r="97" customFormat="false" ht="23.85" hidden="false" customHeight="false" outlineLevel="0" collapsed="false">
      <c r="A97" s="22" t="n">
        <v>46450</v>
      </c>
      <c r="B97" s="23" t="s">
        <v>52</v>
      </c>
      <c r="C97" s="24" t="n">
        <v>12</v>
      </c>
      <c r="D97" s="25" t="s">
        <v>154</v>
      </c>
      <c r="E97" s="26" t="s">
        <v>155</v>
      </c>
      <c r="F97" s="46" t="s">
        <v>225</v>
      </c>
      <c r="G97" s="23"/>
      <c r="H97" s="23"/>
      <c r="I97" s="23"/>
      <c r="J97" s="23"/>
      <c r="K97" s="23"/>
      <c r="L97" s="23"/>
      <c r="M97" s="23"/>
      <c r="N97" s="23"/>
      <c r="O97" s="23"/>
      <c r="P97" s="23"/>
      <c r="Q97" s="23"/>
      <c r="R97" s="26"/>
      <c r="S97" s="28"/>
      <c r="T97" s="23"/>
      <c r="U97" s="23"/>
      <c r="V97" s="23"/>
      <c r="W97" s="26"/>
      <c r="X97" s="26"/>
      <c r="Y97" s="23"/>
      <c r="Z97" s="23"/>
      <c r="AA97" s="23"/>
      <c r="AB97" s="26"/>
    </row>
    <row r="98" customFormat="false" ht="15" hidden="false" customHeight="false" outlineLevel="0" collapsed="false">
      <c r="A98" s="29" t="n">
        <v>46454</v>
      </c>
      <c r="B98" s="30" t="s">
        <v>74</v>
      </c>
      <c r="C98" s="31" t="n">
        <v>12</v>
      </c>
      <c r="D98" s="32" t="s">
        <v>514</v>
      </c>
      <c r="E98" s="33" t="s">
        <v>515</v>
      </c>
      <c r="F98" s="44" t="s">
        <v>225</v>
      </c>
      <c r="G98" s="30"/>
      <c r="H98" s="30"/>
      <c r="I98" s="30"/>
      <c r="J98" s="30"/>
      <c r="K98" s="30"/>
      <c r="L98" s="30"/>
      <c r="M98" s="30"/>
      <c r="N98" s="30"/>
      <c r="O98" s="30"/>
      <c r="P98" s="30"/>
      <c r="Q98" s="30"/>
      <c r="R98" s="33"/>
      <c r="S98" s="35"/>
      <c r="T98" s="30"/>
      <c r="U98" s="30"/>
      <c r="V98" s="30"/>
      <c r="W98" s="33"/>
      <c r="X98" s="33"/>
      <c r="Y98" s="30"/>
      <c r="Z98" s="30"/>
      <c r="AA98" s="30"/>
      <c r="AB98" s="33"/>
    </row>
    <row r="99" customFormat="false" ht="15" hidden="false" customHeight="false" outlineLevel="0" collapsed="false">
      <c r="A99" s="29" t="n">
        <v>46455</v>
      </c>
      <c r="B99" s="30" t="s">
        <v>87</v>
      </c>
      <c r="C99" s="31" t="n">
        <v>12</v>
      </c>
      <c r="D99" s="32" t="s">
        <v>516</v>
      </c>
      <c r="E99" s="33" t="s">
        <v>517</v>
      </c>
      <c r="F99" s="44" t="s">
        <v>225</v>
      </c>
      <c r="G99" s="30"/>
      <c r="H99" s="30"/>
      <c r="I99" s="30"/>
      <c r="J99" s="30"/>
      <c r="K99" s="30"/>
      <c r="L99" s="30"/>
      <c r="M99" s="30"/>
      <c r="N99" s="30"/>
      <c r="O99" s="30"/>
      <c r="P99" s="30"/>
      <c r="Q99" s="30"/>
      <c r="R99" s="33"/>
      <c r="S99" s="35"/>
      <c r="T99" s="30"/>
      <c r="U99" s="30"/>
      <c r="V99" s="30"/>
      <c r="W99" s="33"/>
      <c r="X99" s="33"/>
      <c r="Y99" s="30"/>
      <c r="Z99" s="30"/>
      <c r="AA99" s="30"/>
      <c r="AB99" s="33"/>
    </row>
    <row r="100" customFormat="false" ht="23.85" hidden="false" customHeight="false" outlineLevel="0" collapsed="false">
      <c r="A100" s="22" t="n">
        <v>46456</v>
      </c>
      <c r="B100" s="23" t="s">
        <v>39</v>
      </c>
      <c r="C100" s="24" t="n">
        <v>12</v>
      </c>
      <c r="D100" s="25" t="s">
        <v>305</v>
      </c>
      <c r="E100" s="26" t="s">
        <v>306</v>
      </c>
      <c r="F100" s="46" t="s">
        <v>225</v>
      </c>
      <c r="G100" s="23"/>
      <c r="H100" s="23"/>
      <c r="I100" s="23"/>
      <c r="J100" s="23"/>
      <c r="K100" s="23"/>
      <c r="L100" s="23"/>
      <c r="M100" s="23"/>
      <c r="N100" s="23"/>
      <c r="O100" s="23"/>
      <c r="P100" s="23"/>
      <c r="Q100" s="23"/>
      <c r="R100" s="26"/>
      <c r="S100" s="28"/>
      <c r="T100" s="23"/>
      <c r="U100" s="23"/>
      <c r="V100" s="23"/>
      <c r="W100" s="26"/>
      <c r="X100" s="26"/>
      <c r="Y100" s="23"/>
      <c r="Z100" s="23"/>
      <c r="AA100" s="23"/>
      <c r="AB100" s="26"/>
    </row>
    <row r="101" customFormat="false" ht="57.45" hidden="false" customHeight="false" outlineLevel="0" collapsed="false">
      <c r="A101" s="15" t="n">
        <v>46457</v>
      </c>
      <c r="B101" s="16" t="s">
        <v>52</v>
      </c>
      <c r="C101" s="17" t="n">
        <v>13</v>
      </c>
      <c r="D101" s="18" t="s">
        <v>518</v>
      </c>
      <c r="E101" s="19" t="s">
        <v>519</v>
      </c>
      <c r="F101" s="43" t="s">
        <v>225</v>
      </c>
      <c r="G101" s="16"/>
      <c r="H101" s="16"/>
      <c r="I101" s="16"/>
      <c r="J101" s="16"/>
      <c r="K101" s="16"/>
      <c r="L101" s="16"/>
      <c r="M101" s="16"/>
      <c r="N101" s="16"/>
      <c r="O101" s="16"/>
      <c r="P101" s="16"/>
      <c r="Q101" s="20" t="str">
        <f aca="false">HYPERLINK(Links!$M$101,"search")</f>
        <v>search</v>
      </c>
      <c r="R101" s="19" t="s">
        <v>520</v>
      </c>
      <c r="S101" s="21" t="n">
        <v>46458</v>
      </c>
      <c r="T101" s="16"/>
      <c r="U101" s="16"/>
      <c r="V101" s="16"/>
      <c r="W101" s="19" t="s">
        <v>521</v>
      </c>
      <c r="X101" s="19" t="s">
        <v>522</v>
      </c>
      <c r="Y101" s="16"/>
      <c r="Z101" s="16"/>
      <c r="AA101" s="16"/>
      <c r="AB101" s="19" t="s">
        <v>523</v>
      </c>
    </row>
    <row r="102" customFormat="false" ht="23.85" hidden="false" customHeight="false" outlineLevel="0" collapsed="false">
      <c r="A102" s="15" t="n">
        <v>46458</v>
      </c>
      <c r="B102" s="16" t="s">
        <v>63</v>
      </c>
      <c r="C102" s="17" t="n">
        <v>13</v>
      </c>
      <c r="D102" s="18" t="s">
        <v>524</v>
      </c>
      <c r="E102" s="19" t="s">
        <v>525</v>
      </c>
      <c r="F102" s="43" t="s">
        <v>225</v>
      </c>
      <c r="G102" s="16"/>
      <c r="H102" s="16"/>
      <c r="I102" s="16"/>
      <c r="J102" s="16"/>
      <c r="K102" s="16"/>
      <c r="L102" s="16"/>
      <c r="M102" s="16"/>
      <c r="N102" s="16"/>
      <c r="O102" s="16"/>
      <c r="P102" s="16"/>
      <c r="Q102" s="20" t="str">
        <f aca="false">HYPERLINK(Links!$M$102,"search")</f>
        <v>search</v>
      </c>
      <c r="R102" s="19" t="s">
        <v>526</v>
      </c>
      <c r="S102" s="21" t="n">
        <v>46461</v>
      </c>
      <c r="T102" s="16"/>
      <c r="U102" s="16"/>
      <c r="V102" s="16"/>
      <c r="W102" s="19" t="s">
        <v>527</v>
      </c>
      <c r="X102" s="19" t="s">
        <v>528</v>
      </c>
      <c r="Y102" s="16"/>
      <c r="Z102" s="16"/>
      <c r="AA102" s="16"/>
      <c r="AB102" s="19" t="s">
        <v>529</v>
      </c>
    </row>
    <row r="103" customFormat="false" ht="57.45" hidden="false" customHeight="false" outlineLevel="0" collapsed="false">
      <c r="A103" s="15" t="n">
        <v>46461</v>
      </c>
      <c r="B103" s="16" t="s">
        <v>74</v>
      </c>
      <c r="C103" s="17" t="n">
        <v>13</v>
      </c>
      <c r="D103" s="18" t="s">
        <v>530</v>
      </c>
      <c r="E103" s="19" t="s">
        <v>531</v>
      </c>
      <c r="F103" s="43" t="s">
        <v>225</v>
      </c>
      <c r="G103" s="16"/>
      <c r="H103" s="16"/>
      <c r="I103" s="16"/>
      <c r="J103" s="16"/>
      <c r="K103" s="16"/>
      <c r="L103" s="16"/>
      <c r="M103" s="16"/>
      <c r="N103" s="16"/>
      <c r="O103" s="16"/>
      <c r="P103" s="16"/>
      <c r="Q103" s="20" t="str">
        <f aca="false">HYPERLINK(Links!$M$103,"search")</f>
        <v>search</v>
      </c>
      <c r="R103" s="19" t="s">
        <v>532</v>
      </c>
      <c r="S103" s="21" t="n">
        <v>46462</v>
      </c>
      <c r="T103" s="16"/>
      <c r="U103" s="16"/>
      <c r="V103" s="16"/>
      <c r="W103" s="19" t="s">
        <v>533</v>
      </c>
      <c r="X103" s="19" t="s">
        <v>534</v>
      </c>
      <c r="Y103" s="16"/>
      <c r="Z103" s="16"/>
      <c r="AA103" s="16"/>
      <c r="AB103" s="19" t="s">
        <v>535</v>
      </c>
    </row>
    <row r="104" customFormat="false" ht="57.45" hidden="false" customHeight="false" outlineLevel="0" collapsed="false">
      <c r="A104" s="15" t="n">
        <v>46462</v>
      </c>
      <c r="B104" s="16" t="s">
        <v>87</v>
      </c>
      <c r="C104" s="17" t="n">
        <v>13</v>
      </c>
      <c r="D104" s="18" t="s">
        <v>536</v>
      </c>
      <c r="E104" s="19" t="s">
        <v>537</v>
      </c>
      <c r="F104" s="43" t="s">
        <v>225</v>
      </c>
      <c r="G104" s="16"/>
      <c r="H104" s="16"/>
      <c r="I104" s="16"/>
      <c r="J104" s="16"/>
      <c r="K104" s="16"/>
      <c r="L104" s="16"/>
      <c r="M104" s="16"/>
      <c r="N104" s="16"/>
      <c r="O104" s="16"/>
      <c r="P104" s="16"/>
      <c r="Q104" s="20" t="str">
        <f aca="false">HYPERLINK(Links!$M$104,"search")</f>
        <v>search</v>
      </c>
      <c r="R104" s="19" t="s">
        <v>538</v>
      </c>
      <c r="S104" s="21" t="n">
        <v>46463</v>
      </c>
      <c r="T104" s="16"/>
      <c r="U104" s="16"/>
      <c r="V104" s="16"/>
      <c r="W104" s="19" t="s">
        <v>539</v>
      </c>
      <c r="X104" s="19" t="s">
        <v>540</v>
      </c>
      <c r="Y104" s="16"/>
      <c r="Z104" s="16"/>
      <c r="AA104" s="16"/>
      <c r="AB104" s="19" t="s">
        <v>541</v>
      </c>
    </row>
    <row r="105" customFormat="false" ht="68.65" hidden="false" customHeight="false" outlineLevel="0" collapsed="false">
      <c r="A105" s="15" t="n">
        <v>46463</v>
      </c>
      <c r="B105" s="16" t="s">
        <v>39</v>
      </c>
      <c r="C105" s="17" t="n">
        <v>13</v>
      </c>
      <c r="D105" s="18" t="s">
        <v>542</v>
      </c>
      <c r="E105" s="19" t="s">
        <v>543</v>
      </c>
      <c r="F105" s="43" t="s">
        <v>225</v>
      </c>
      <c r="G105" s="16"/>
      <c r="H105" s="16"/>
      <c r="I105" s="16"/>
      <c r="J105" s="16"/>
      <c r="K105" s="16"/>
      <c r="L105" s="16"/>
      <c r="M105" s="16"/>
      <c r="N105" s="16"/>
      <c r="O105" s="16"/>
      <c r="P105" s="16"/>
      <c r="Q105" s="20" t="str">
        <f aca="false">HYPERLINK(Links!$M$105,"search")</f>
        <v>search</v>
      </c>
      <c r="R105" s="19" t="s">
        <v>544</v>
      </c>
      <c r="S105" s="21" t="n">
        <v>46464</v>
      </c>
      <c r="T105" s="16"/>
      <c r="U105" s="16"/>
      <c r="V105" s="16"/>
      <c r="W105" s="19" t="s">
        <v>545</v>
      </c>
      <c r="X105" s="19" t="s">
        <v>546</v>
      </c>
      <c r="Y105" s="16"/>
      <c r="Z105" s="16"/>
      <c r="AA105" s="16"/>
      <c r="AB105" s="19" t="s">
        <v>547</v>
      </c>
    </row>
    <row r="106" customFormat="false" ht="23.85" hidden="false" customHeight="false" outlineLevel="0" collapsed="false">
      <c r="A106" s="15" t="n">
        <v>46464</v>
      </c>
      <c r="B106" s="16" t="s">
        <v>52</v>
      </c>
      <c r="C106" s="17" t="n">
        <v>13</v>
      </c>
      <c r="D106" s="18" t="s">
        <v>548</v>
      </c>
      <c r="E106" s="19" t="s">
        <v>549</v>
      </c>
      <c r="F106" s="43" t="s">
        <v>225</v>
      </c>
      <c r="G106" s="16"/>
      <c r="H106" s="16"/>
      <c r="I106" s="16"/>
      <c r="J106" s="16"/>
      <c r="K106" s="16"/>
      <c r="L106" s="16"/>
      <c r="M106" s="16"/>
      <c r="N106" s="16"/>
      <c r="O106" s="16"/>
      <c r="P106" s="16"/>
      <c r="Q106" s="20" t="str">
        <f aca="false">HYPERLINK(Links!$M$106,"search")</f>
        <v>search</v>
      </c>
      <c r="R106" s="19" t="s">
        <v>550</v>
      </c>
      <c r="S106" s="21" t="n">
        <v>46465</v>
      </c>
      <c r="T106" s="16"/>
      <c r="U106" s="16"/>
      <c r="V106" s="16"/>
      <c r="W106" s="19" t="s">
        <v>551</v>
      </c>
      <c r="X106" s="19" t="s">
        <v>552</v>
      </c>
      <c r="Y106" s="16"/>
      <c r="Z106" s="16"/>
      <c r="AA106" s="16"/>
      <c r="AB106" s="19" t="s">
        <v>553</v>
      </c>
    </row>
    <row r="107" customFormat="false" ht="35.05" hidden="false" customHeight="false" outlineLevel="0" collapsed="false">
      <c r="A107" s="15" t="n">
        <v>46465</v>
      </c>
      <c r="B107" s="16" t="s">
        <v>63</v>
      </c>
      <c r="C107" s="17" t="n">
        <v>13</v>
      </c>
      <c r="D107" s="18" t="s">
        <v>554</v>
      </c>
      <c r="E107" s="19" t="s">
        <v>555</v>
      </c>
      <c r="F107" s="43" t="s">
        <v>225</v>
      </c>
      <c r="G107" s="16"/>
      <c r="H107" s="16"/>
      <c r="I107" s="16"/>
      <c r="J107" s="16"/>
      <c r="K107" s="16"/>
      <c r="L107" s="16"/>
      <c r="M107" s="16"/>
      <c r="N107" s="16"/>
      <c r="O107" s="16"/>
      <c r="P107" s="16"/>
      <c r="Q107" s="20" t="str">
        <f aca="false">HYPERLINK(Links!$M$107,"search")</f>
        <v>search</v>
      </c>
      <c r="R107" s="19" t="s">
        <v>556</v>
      </c>
      <c r="S107" s="21" t="n">
        <v>46475</v>
      </c>
      <c r="T107" s="16"/>
      <c r="U107" s="16"/>
      <c r="V107" s="16"/>
      <c r="W107" s="19" t="s">
        <v>557</v>
      </c>
      <c r="X107" s="19" t="s">
        <v>558</v>
      </c>
      <c r="Y107" s="16"/>
      <c r="Z107" s="16"/>
      <c r="AA107" s="16"/>
      <c r="AB107" s="19" t="s">
        <v>559</v>
      </c>
    </row>
    <row r="108" customFormat="false" ht="15" hidden="false" customHeight="false" outlineLevel="0" collapsed="false">
      <c r="A108" s="29" t="n">
        <v>46475</v>
      </c>
      <c r="B108" s="30" t="s">
        <v>74</v>
      </c>
      <c r="C108" s="31" t="n">
        <v>13</v>
      </c>
      <c r="D108" s="32" t="s">
        <v>560</v>
      </c>
      <c r="E108" s="33" t="s">
        <v>561</v>
      </c>
      <c r="F108" s="44" t="s">
        <v>225</v>
      </c>
      <c r="G108" s="30"/>
      <c r="H108" s="30"/>
      <c r="I108" s="30"/>
      <c r="J108" s="30"/>
      <c r="K108" s="30"/>
      <c r="L108" s="30"/>
      <c r="M108" s="30"/>
      <c r="N108" s="30"/>
      <c r="O108" s="30"/>
      <c r="P108" s="30"/>
      <c r="Q108" s="30"/>
      <c r="R108" s="33"/>
      <c r="S108" s="35"/>
      <c r="T108" s="30"/>
      <c r="U108" s="30"/>
      <c r="V108" s="30"/>
      <c r="W108" s="33"/>
      <c r="X108" s="33"/>
      <c r="Y108" s="30"/>
      <c r="Z108" s="30"/>
      <c r="AA108" s="30"/>
      <c r="AB108" s="33"/>
    </row>
    <row r="109" customFormat="false" ht="15" hidden="false" customHeight="false" outlineLevel="0" collapsed="false">
      <c r="A109" s="29" t="n">
        <v>46476</v>
      </c>
      <c r="B109" s="30" t="s">
        <v>87</v>
      </c>
      <c r="C109" s="31" t="n">
        <v>13</v>
      </c>
      <c r="D109" s="32" t="s">
        <v>562</v>
      </c>
      <c r="E109" s="33" t="s">
        <v>563</v>
      </c>
      <c r="F109" s="44" t="s">
        <v>225</v>
      </c>
      <c r="G109" s="30"/>
      <c r="H109" s="30"/>
      <c r="I109" s="30"/>
      <c r="J109" s="30"/>
      <c r="K109" s="30"/>
      <c r="L109" s="30"/>
      <c r="M109" s="30"/>
      <c r="N109" s="30"/>
      <c r="O109" s="30"/>
      <c r="P109" s="30"/>
      <c r="Q109" s="30"/>
      <c r="R109" s="33"/>
      <c r="S109" s="35"/>
      <c r="T109" s="30"/>
      <c r="U109" s="30"/>
      <c r="V109" s="30"/>
      <c r="W109" s="33"/>
      <c r="X109" s="33"/>
      <c r="Y109" s="30"/>
      <c r="Z109" s="30"/>
      <c r="AA109" s="30"/>
      <c r="AB109" s="33"/>
    </row>
    <row r="110" customFormat="false" ht="68.65" hidden="false" customHeight="false" outlineLevel="0" collapsed="false">
      <c r="A110" s="36" t="n">
        <v>46477</v>
      </c>
      <c r="B110" s="37" t="s">
        <v>39</v>
      </c>
      <c r="C110" s="38" t="n">
        <v>14</v>
      </c>
      <c r="D110" s="39" t="s">
        <v>564</v>
      </c>
      <c r="E110" s="40" t="s">
        <v>565</v>
      </c>
      <c r="F110" s="45" t="s">
        <v>225</v>
      </c>
      <c r="G110" s="37"/>
      <c r="H110" s="37"/>
      <c r="I110" s="37"/>
      <c r="J110" s="37"/>
      <c r="K110" s="37"/>
      <c r="L110" s="37"/>
      <c r="M110" s="37"/>
      <c r="N110" s="37"/>
      <c r="O110" s="37"/>
      <c r="P110" s="37"/>
      <c r="Q110" s="41" t="str">
        <f aca="false">HYPERLINK(Links!$M$110,"search")</f>
        <v>search</v>
      </c>
      <c r="R110" s="40" t="s">
        <v>566</v>
      </c>
      <c r="S110" s="42" t="n">
        <v>46478</v>
      </c>
      <c r="T110" s="37"/>
      <c r="U110" s="37"/>
      <c r="V110" s="37"/>
      <c r="W110" s="40" t="s">
        <v>116</v>
      </c>
      <c r="X110" s="40" t="s">
        <v>117</v>
      </c>
      <c r="Y110" s="37"/>
      <c r="Z110" s="37"/>
      <c r="AA110" s="37"/>
      <c r="AB110" s="40" t="s">
        <v>567</v>
      </c>
    </row>
    <row r="111" customFormat="false" ht="35.05" hidden="false" customHeight="false" outlineLevel="0" collapsed="false">
      <c r="A111" s="36" t="n">
        <v>46478</v>
      </c>
      <c r="B111" s="37" t="s">
        <v>52</v>
      </c>
      <c r="C111" s="38" t="n">
        <v>14</v>
      </c>
      <c r="D111" s="39" t="s">
        <v>568</v>
      </c>
      <c r="E111" s="40" t="s">
        <v>569</v>
      </c>
      <c r="F111" s="45" t="s">
        <v>225</v>
      </c>
      <c r="G111" s="37"/>
      <c r="H111" s="37"/>
      <c r="I111" s="37"/>
      <c r="J111" s="37"/>
      <c r="K111" s="37"/>
      <c r="L111" s="37"/>
      <c r="M111" s="37"/>
      <c r="N111" s="37"/>
      <c r="O111" s="37"/>
      <c r="P111" s="37"/>
      <c r="Q111" s="41" t="str">
        <f aca="false">HYPERLINK(Links!$M$111,"search")</f>
        <v>search</v>
      </c>
      <c r="R111" s="40" t="s">
        <v>570</v>
      </c>
      <c r="S111" s="42" t="n">
        <v>46479</v>
      </c>
      <c r="T111" s="37"/>
      <c r="U111" s="37"/>
      <c r="V111" s="37"/>
      <c r="W111" s="40" t="s">
        <v>571</v>
      </c>
      <c r="X111" s="40" t="s">
        <v>572</v>
      </c>
      <c r="Y111" s="37"/>
      <c r="Z111" s="37"/>
      <c r="AA111" s="37"/>
      <c r="AB111" s="40" t="s">
        <v>573</v>
      </c>
    </row>
    <row r="112" customFormat="false" ht="35.05" hidden="false" customHeight="false" outlineLevel="0" collapsed="false">
      <c r="A112" s="36" t="n">
        <v>46479</v>
      </c>
      <c r="B112" s="37" t="s">
        <v>63</v>
      </c>
      <c r="C112" s="38" t="n">
        <v>14</v>
      </c>
      <c r="D112" s="39" t="s">
        <v>574</v>
      </c>
      <c r="E112" s="40" t="s">
        <v>575</v>
      </c>
      <c r="F112" s="45" t="s">
        <v>225</v>
      </c>
      <c r="G112" s="37"/>
      <c r="H112" s="37"/>
      <c r="I112" s="37"/>
      <c r="J112" s="37"/>
      <c r="K112" s="37"/>
      <c r="L112" s="37"/>
      <c r="M112" s="37"/>
      <c r="N112" s="37"/>
      <c r="O112" s="37"/>
      <c r="P112" s="37"/>
      <c r="Q112" s="41" t="str">
        <f aca="false">HYPERLINK(Links!$M$112,"search")</f>
        <v>search</v>
      </c>
      <c r="R112" s="40" t="s">
        <v>576</v>
      </c>
      <c r="S112" s="42" t="n">
        <v>46482</v>
      </c>
      <c r="T112" s="37"/>
      <c r="U112" s="37"/>
      <c r="V112" s="37"/>
      <c r="W112" s="40" t="s">
        <v>577</v>
      </c>
      <c r="X112" s="40" t="s">
        <v>578</v>
      </c>
      <c r="Y112" s="37"/>
      <c r="Z112" s="37"/>
      <c r="AA112" s="37"/>
      <c r="AB112" s="40" t="s">
        <v>579</v>
      </c>
    </row>
    <row r="113" customFormat="false" ht="15" hidden="false" customHeight="false" outlineLevel="0" collapsed="false">
      <c r="A113" s="29" t="n">
        <v>46482</v>
      </c>
      <c r="B113" s="30" t="s">
        <v>74</v>
      </c>
      <c r="C113" s="31" t="n">
        <v>14</v>
      </c>
      <c r="D113" s="32" t="s">
        <v>580</v>
      </c>
      <c r="E113" s="33" t="s">
        <v>581</v>
      </c>
      <c r="F113" s="44" t="s">
        <v>225</v>
      </c>
      <c r="G113" s="30"/>
      <c r="H113" s="30"/>
      <c r="I113" s="30"/>
      <c r="J113" s="30"/>
      <c r="K113" s="30"/>
      <c r="L113" s="30"/>
      <c r="M113" s="30"/>
      <c r="N113" s="30"/>
      <c r="O113" s="30"/>
      <c r="P113" s="30"/>
      <c r="Q113" s="30"/>
      <c r="R113" s="33"/>
      <c r="S113" s="35"/>
      <c r="T113" s="30"/>
      <c r="U113" s="30"/>
      <c r="V113" s="30"/>
      <c r="W113" s="33"/>
      <c r="X113" s="33"/>
      <c r="Y113" s="30"/>
      <c r="Z113" s="30"/>
      <c r="AA113" s="30"/>
      <c r="AB113" s="33"/>
    </row>
    <row r="114" customFormat="false" ht="15" hidden="false" customHeight="false" outlineLevel="0" collapsed="false">
      <c r="A114" s="29" t="n">
        <v>46483</v>
      </c>
      <c r="B114" s="30" t="s">
        <v>87</v>
      </c>
      <c r="C114" s="31" t="n">
        <v>14</v>
      </c>
      <c r="D114" s="32" t="s">
        <v>582</v>
      </c>
      <c r="E114" s="33" t="s">
        <v>583</v>
      </c>
      <c r="F114" s="44" t="s">
        <v>225</v>
      </c>
      <c r="G114" s="30"/>
      <c r="H114" s="30"/>
      <c r="I114" s="30"/>
      <c r="J114" s="30"/>
      <c r="K114" s="30"/>
      <c r="L114" s="30"/>
      <c r="M114" s="30"/>
      <c r="N114" s="30"/>
      <c r="O114" s="30"/>
      <c r="P114" s="30"/>
      <c r="Q114" s="30"/>
      <c r="R114" s="33"/>
      <c r="S114" s="35"/>
      <c r="T114" s="30"/>
      <c r="U114" s="30"/>
      <c r="V114" s="30"/>
      <c r="W114" s="33"/>
      <c r="X114" s="33"/>
      <c r="Y114" s="30"/>
      <c r="Z114" s="30"/>
      <c r="AA114" s="30"/>
      <c r="AB114" s="33"/>
    </row>
    <row r="115" customFormat="false" ht="23.85" hidden="false" customHeight="false" outlineLevel="0" collapsed="false">
      <c r="A115" s="15" t="n">
        <v>46484</v>
      </c>
      <c r="B115" s="16" t="s">
        <v>39</v>
      </c>
      <c r="C115" s="17" t="n">
        <v>15</v>
      </c>
      <c r="D115" s="18" t="s">
        <v>584</v>
      </c>
      <c r="E115" s="19" t="s">
        <v>585</v>
      </c>
      <c r="F115" s="43" t="s">
        <v>225</v>
      </c>
      <c r="G115" s="16"/>
      <c r="H115" s="16"/>
      <c r="I115" s="16"/>
      <c r="J115" s="16"/>
      <c r="K115" s="16"/>
      <c r="L115" s="16"/>
      <c r="M115" s="16"/>
      <c r="N115" s="16"/>
      <c r="O115" s="16"/>
      <c r="P115" s="16"/>
      <c r="Q115" s="20" t="str">
        <f aca="false">HYPERLINK(Links!$M$115,"search")</f>
        <v>search</v>
      </c>
      <c r="R115" s="19" t="s">
        <v>586</v>
      </c>
      <c r="S115" s="21" t="n">
        <v>46485</v>
      </c>
      <c r="T115" s="16"/>
      <c r="U115" s="16"/>
      <c r="V115" s="16"/>
      <c r="W115" s="19" t="s">
        <v>587</v>
      </c>
      <c r="X115" s="19" t="s">
        <v>588</v>
      </c>
      <c r="Y115" s="16"/>
      <c r="Z115" s="16"/>
      <c r="AA115" s="16"/>
      <c r="AB115" s="19" t="s">
        <v>589</v>
      </c>
    </row>
    <row r="116" customFormat="false" ht="46.25" hidden="false" customHeight="false" outlineLevel="0" collapsed="false">
      <c r="A116" s="15" t="n">
        <v>46485</v>
      </c>
      <c r="B116" s="16" t="s">
        <v>52</v>
      </c>
      <c r="C116" s="17" t="n">
        <v>15</v>
      </c>
      <c r="D116" s="18" t="s">
        <v>590</v>
      </c>
      <c r="E116" s="19" t="s">
        <v>591</v>
      </c>
      <c r="F116" s="43" t="s">
        <v>225</v>
      </c>
      <c r="G116" s="16"/>
      <c r="H116" s="16"/>
      <c r="I116" s="16"/>
      <c r="J116" s="16"/>
      <c r="K116" s="16"/>
      <c r="L116" s="16"/>
      <c r="M116" s="16"/>
      <c r="N116" s="16"/>
      <c r="O116" s="16"/>
      <c r="P116" s="16"/>
      <c r="Q116" s="20" t="str">
        <f aca="false">HYPERLINK(Links!$M$116,"search")</f>
        <v>search</v>
      </c>
      <c r="R116" s="19" t="s">
        <v>592</v>
      </c>
      <c r="S116" s="21" t="n">
        <v>46486</v>
      </c>
      <c r="T116" s="16"/>
      <c r="U116" s="16"/>
      <c r="V116" s="16"/>
      <c r="W116" s="19" t="s">
        <v>587</v>
      </c>
      <c r="X116" s="19" t="s">
        <v>588</v>
      </c>
      <c r="Y116" s="16"/>
      <c r="Z116" s="16"/>
      <c r="AA116" s="16"/>
      <c r="AB116" s="19" t="s">
        <v>593</v>
      </c>
    </row>
    <row r="117" customFormat="false" ht="35.05" hidden="false" customHeight="false" outlineLevel="0" collapsed="false">
      <c r="A117" s="15" t="n">
        <v>46486</v>
      </c>
      <c r="B117" s="16" t="s">
        <v>63</v>
      </c>
      <c r="C117" s="17" t="n">
        <v>15</v>
      </c>
      <c r="D117" s="18" t="s">
        <v>594</v>
      </c>
      <c r="E117" s="19" t="s">
        <v>595</v>
      </c>
      <c r="F117" s="43" t="s">
        <v>225</v>
      </c>
      <c r="G117" s="16"/>
      <c r="H117" s="16"/>
      <c r="I117" s="16"/>
      <c r="J117" s="16"/>
      <c r="K117" s="16"/>
      <c r="L117" s="16"/>
      <c r="M117" s="16"/>
      <c r="N117" s="16"/>
      <c r="O117" s="16"/>
      <c r="P117" s="16"/>
      <c r="Q117" s="20" t="str">
        <f aca="false">HYPERLINK(Links!$M$117,"search")</f>
        <v>search</v>
      </c>
      <c r="R117" s="19" t="s">
        <v>596</v>
      </c>
      <c r="S117" s="21" t="n">
        <v>46489</v>
      </c>
      <c r="T117" s="16"/>
      <c r="U117" s="16"/>
      <c r="V117" s="16"/>
      <c r="W117" s="19" t="s">
        <v>597</v>
      </c>
      <c r="X117" s="19" t="s">
        <v>598</v>
      </c>
      <c r="Y117" s="16"/>
      <c r="Z117" s="16"/>
      <c r="AA117" s="16"/>
      <c r="AB117" s="19" t="s">
        <v>599</v>
      </c>
    </row>
    <row r="118" customFormat="false" ht="23.85" hidden="false" customHeight="false" outlineLevel="0" collapsed="false">
      <c r="A118" s="15" t="n">
        <v>46489</v>
      </c>
      <c r="B118" s="16" t="s">
        <v>74</v>
      </c>
      <c r="C118" s="17" t="n">
        <v>15</v>
      </c>
      <c r="D118" s="18" t="s">
        <v>600</v>
      </c>
      <c r="E118" s="19" t="s">
        <v>601</v>
      </c>
      <c r="F118" s="43" t="s">
        <v>225</v>
      </c>
      <c r="G118" s="16"/>
      <c r="H118" s="16"/>
      <c r="I118" s="16"/>
      <c r="J118" s="16"/>
      <c r="K118" s="16"/>
      <c r="L118" s="16"/>
      <c r="M118" s="16"/>
      <c r="N118" s="16"/>
      <c r="O118" s="16"/>
      <c r="P118" s="16"/>
      <c r="Q118" s="20" t="str">
        <f aca="false">HYPERLINK(Links!$M$118,"search")</f>
        <v>search</v>
      </c>
      <c r="R118" s="19" t="s">
        <v>602</v>
      </c>
      <c r="S118" s="21" t="n">
        <v>46490</v>
      </c>
      <c r="T118" s="16"/>
      <c r="U118" s="16"/>
      <c r="V118" s="16"/>
      <c r="W118" s="19" t="s">
        <v>597</v>
      </c>
      <c r="X118" s="19" t="s">
        <v>598</v>
      </c>
      <c r="Y118" s="16"/>
      <c r="Z118" s="16"/>
      <c r="AA118" s="16"/>
      <c r="AB118" s="19" t="s">
        <v>603</v>
      </c>
    </row>
    <row r="119" customFormat="false" ht="23.85" hidden="false" customHeight="false" outlineLevel="0" collapsed="false">
      <c r="A119" s="15" t="n">
        <v>46490</v>
      </c>
      <c r="B119" s="16" t="s">
        <v>87</v>
      </c>
      <c r="C119" s="17" t="n">
        <v>15</v>
      </c>
      <c r="D119" s="18" t="s">
        <v>604</v>
      </c>
      <c r="E119" s="19" t="s">
        <v>605</v>
      </c>
      <c r="F119" s="43" t="s">
        <v>225</v>
      </c>
      <c r="G119" s="16"/>
      <c r="H119" s="16"/>
      <c r="I119" s="16"/>
      <c r="J119" s="16"/>
      <c r="K119" s="16"/>
      <c r="L119" s="16"/>
      <c r="M119" s="16"/>
      <c r="N119" s="16"/>
      <c r="O119" s="16"/>
      <c r="P119" s="16"/>
      <c r="Q119" s="20" t="str">
        <f aca="false">HYPERLINK(Links!$M$119,"search")</f>
        <v>search</v>
      </c>
      <c r="R119" s="19" t="s">
        <v>606</v>
      </c>
      <c r="S119" s="21" t="n">
        <v>46491</v>
      </c>
      <c r="T119" s="16"/>
      <c r="U119" s="16"/>
      <c r="V119" s="16"/>
      <c r="W119" s="19" t="s">
        <v>597</v>
      </c>
      <c r="X119" s="19" t="s">
        <v>598</v>
      </c>
      <c r="Y119" s="16"/>
      <c r="Z119" s="16"/>
      <c r="AA119" s="16"/>
      <c r="AB119" s="19" t="s">
        <v>607</v>
      </c>
    </row>
    <row r="120" customFormat="false" ht="57.45" hidden="false" customHeight="false" outlineLevel="0" collapsed="false">
      <c r="A120" s="15" t="n">
        <v>46491</v>
      </c>
      <c r="B120" s="16" t="s">
        <v>39</v>
      </c>
      <c r="C120" s="17" t="n">
        <v>15</v>
      </c>
      <c r="D120" s="18" t="s">
        <v>608</v>
      </c>
      <c r="E120" s="19" t="s">
        <v>609</v>
      </c>
      <c r="F120" s="43" t="s">
        <v>225</v>
      </c>
      <c r="G120" s="16"/>
      <c r="H120" s="16"/>
      <c r="I120" s="16"/>
      <c r="J120" s="16"/>
      <c r="K120" s="16"/>
      <c r="L120" s="16"/>
      <c r="M120" s="16"/>
      <c r="N120" s="16"/>
      <c r="O120" s="16"/>
      <c r="P120" s="16"/>
      <c r="Q120" s="20" t="str">
        <f aca="false">HYPERLINK(Links!$M$120,"search")</f>
        <v>search</v>
      </c>
      <c r="R120" s="19" t="s">
        <v>610</v>
      </c>
      <c r="S120" s="21" t="n">
        <v>46492</v>
      </c>
      <c r="T120" s="16"/>
      <c r="U120" s="16"/>
      <c r="V120" s="16"/>
      <c r="W120" s="19" t="s">
        <v>611</v>
      </c>
      <c r="X120" s="19" t="s">
        <v>612</v>
      </c>
      <c r="Y120" s="16"/>
      <c r="Z120" s="16"/>
      <c r="AA120" s="16"/>
      <c r="AB120" s="19" t="s">
        <v>613</v>
      </c>
    </row>
    <row r="121" customFormat="false" ht="23.85" hidden="false" customHeight="false" outlineLevel="0" collapsed="false">
      <c r="A121" s="15" t="n">
        <v>46492</v>
      </c>
      <c r="B121" s="16" t="s">
        <v>52</v>
      </c>
      <c r="C121" s="17" t="n">
        <v>15</v>
      </c>
      <c r="D121" s="18" t="s">
        <v>614</v>
      </c>
      <c r="E121" s="19" t="s">
        <v>615</v>
      </c>
      <c r="F121" s="43" t="s">
        <v>225</v>
      </c>
      <c r="G121" s="16"/>
      <c r="H121" s="16"/>
      <c r="I121" s="16"/>
      <c r="J121" s="16"/>
      <c r="K121" s="16"/>
      <c r="L121" s="16"/>
      <c r="M121" s="16"/>
      <c r="N121" s="16"/>
      <c r="O121" s="16"/>
      <c r="P121" s="16"/>
      <c r="Q121" s="20" t="str">
        <f aca="false">HYPERLINK(Links!$M$121,"search")</f>
        <v>search</v>
      </c>
      <c r="R121" s="19" t="s">
        <v>616</v>
      </c>
      <c r="S121" s="21" t="n">
        <v>46496</v>
      </c>
      <c r="T121" s="16"/>
      <c r="U121" s="16"/>
      <c r="V121" s="16"/>
      <c r="W121" s="19" t="s">
        <v>617</v>
      </c>
      <c r="X121" s="19" t="s">
        <v>618</v>
      </c>
      <c r="Y121" s="16"/>
      <c r="Z121" s="16"/>
      <c r="AA121" s="16"/>
      <c r="AB121" s="19" t="s">
        <v>619</v>
      </c>
    </row>
    <row r="122" customFormat="false" ht="46.25" hidden="false" customHeight="false" outlineLevel="0" collapsed="false">
      <c r="A122" s="15" t="n">
        <v>46496</v>
      </c>
      <c r="B122" s="16" t="s">
        <v>74</v>
      </c>
      <c r="C122" s="17" t="n">
        <v>15</v>
      </c>
      <c r="D122" s="18" t="s">
        <v>620</v>
      </c>
      <c r="E122" s="19" t="s">
        <v>621</v>
      </c>
      <c r="F122" s="43" t="s">
        <v>225</v>
      </c>
      <c r="G122" s="16"/>
      <c r="H122" s="16"/>
      <c r="I122" s="16"/>
      <c r="J122" s="16"/>
      <c r="K122" s="16"/>
      <c r="L122" s="16"/>
      <c r="M122" s="16"/>
      <c r="N122" s="16"/>
      <c r="O122" s="16"/>
      <c r="P122" s="16"/>
      <c r="Q122" s="20" t="str">
        <f aca="false">HYPERLINK(Links!$M$122,"search")</f>
        <v>search</v>
      </c>
      <c r="R122" s="19" t="s">
        <v>622</v>
      </c>
      <c r="S122" s="21" t="n">
        <v>46497</v>
      </c>
      <c r="T122" s="16"/>
      <c r="U122" s="16"/>
      <c r="V122" s="16"/>
      <c r="W122" s="19" t="s">
        <v>597</v>
      </c>
      <c r="X122" s="19" t="s">
        <v>598</v>
      </c>
      <c r="Y122" s="16"/>
      <c r="Z122" s="16"/>
      <c r="AA122" s="16"/>
      <c r="AB122" s="19" t="s">
        <v>623</v>
      </c>
    </row>
    <row r="123" customFormat="false" ht="91" hidden="false" customHeight="false" outlineLevel="0" collapsed="false">
      <c r="A123" s="36" t="n">
        <v>46497</v>
      </c>
      <c r="B123" s="37" t="s">
        <v>87</v>
      </c>
      <c r="C123" s="38" t="n">
        <v>16</v>
      </c>
      <c r="D123" s="39" t="s">
        <v>624</v>
      </c>
      <c r="E123" s="40" t="s">
        <v>625</v>
      </c>
      <c r="F123" s="45" t="s">
        <v>225</v>
      </c>
      <c r="G123" s="37"/>
      <c r="H123" s="37"/>
      <c r="I123" s="37"/>
      <c r="J123" s="37"/>
      <c r="K123" s="37"/>
      <c r="L123" s="37"/>
      <c r="M123" s="37"/>
      <c r="N123" s="37"/>
      <c r="O123" s="37"/>
      <c r="P123" s="37"/>
      <c r="Q123" s="41" t="str">
        <f aca="false">HYPERLINK(Links!$M$123,"search")</f>
        <v>search</v>
      </c>
      <c r="R123" s="40" t="s">
        <v>626</v>
      </c>
      <c r="S123" s="42" t="n">
        <v>46498</v>
      </c>
      <c r="T123" s="37"/>
      <c r="U123" s="37"/>
      <c r="V123" s="37"/>
      <c r="W123" s="40" t="s">
        <v>627</v>
      </c>
      <c r="X123" s="40" t="s">
        <v>628</v>
      </c>
      <c r="Y123" s="37"/>
      <c r="Z123" s="37"/>
      <c r="AA123" s="37"/>
      <c r="AB123" s="40" t="s">
        <v>629</v>
      </c>
    </row>
    <row r="124" customFormat="false" ht="23.85" hidden="false" customHeight="false" outlineLevel="0" collapsed="false">
      <c r="A124" s="36" t="n">
        <v>46498</v>
      </c>
      <c r="B124" s="37" t="s">
        <v>39</v>
      </c>
      <c r="C124" s="38" t="n">
        <v>16</v>
      </c>
      <c r="D124" s="39" t="s">
        <v>630</v>
      </c>
      <c r="E124" s="40" t="s">
        <v>631</v>
      </c>
      <c r="F124" s="45" t="s">
        <v>225</v>
      </c>
      <c r="G124" s="37"/>
      <c r="H124" s="37"/>
      <c r="I124" s="37"/>
      <c r="J124" s="37"/>
      <c r="K124" s="37"/>
      <c r="L124" s="37"/>
      <c r="M124" s="37"/>
      <c r="N124" s="37"/>
      <c r="O124" s="37"/>
      <c r="P124" s="37"/>
      <c r="Q124" s="41" t="str">
        <f aca="false">HYPERLINK(Links!$M$124,"search")</f>
        <v>search</v>
      </c>
      <c r="R124" s="40" t="s">
        <v>632</v>
      </c>
      <c r="S124" s="42" t="n">
        <v>46499</v>
      </c>
      <c r="T124" s="37"/>
      <c r="U124" s="37"/>
      <c r="V124" s="37"/>
      <c r="W124" s="40" t="s">
        <v>633</v>
      </c>
      <c r="X124" s="40" t="s">
        <v>634</v>
      </c>
      <c r="Y124" s="37"/>
      <c r="Z124" s="37"/>
      <c r="AA124" s="37"/>
      <c r="AB124" s="40" t="s">
        <v>635</v>
      </c>
    </row>
    <row r="125" customFormat="false" ht="15" hidden="false" customHeight="false" outlineLevel="0" collapsed="false">
      <c r="A125" s="29" t="n">
        <v>46499</v>
      </c>
      <c r="B125" s="30" t="s">
        <v>52</v>
      </c>
      <c r="C125" s="31" t="n">
        <v>16</v>
      </c>
      <c r="D125" s="32" t="s">
        <v>636</v>
      </c>
      <c r="E125" s="33" t="s">
        <v>637</v>
      </c>
      <c r="F125" s="44" t="s">
        <v>225</v>
      </c>
      <c r="G125" s="30"/>
      <c r="H125" s="30"/>
      <c r="I125" s="30"/>
      <c r="J125" s="30"/>
      <c r="K125" s="30"/>
      <c r="L125" s="30"/>
      <c r="M125" s="30"/>
      <c r="N125" s="30"/>
      <c r="O125" s="30"/>
      <c r="P125" s="30"/>
      <c r="Q125" s="30"/>
      <c r="R125" s="33"/>
      <c r="S125" s="35"/>
      <c r="T125" s="30"/>
      <c r="U125" s="30"/>
      <c r="V125" s="30"/>
      <c r="W125" s="33"/>
      <c r="X125" s="33"/>
      <c r="Y125" s="30"/>
      <c r="Z125" s="30"/>
      <c r="AA125" s="30"/>
      <c r="AB125" s="33"/>
    </row>
    <row r="126" customFormat="false" ht="15" hidden="false" customHeight="false" outlineLevel="0" collapsed="false">
      <c r="A126" s="29" t="n">
        <v>46500</v>
      </c>
      <c r="B126" s="30" t="s">
        <v>63</v>
      </c>
      <c r="C126" s="31" t="n">
        <v>16</v>
      </c>
      <c r="D126" s="32" t="s">
        <v>638</v>
      </c>
      <c r="E126" s="33" t="s">
        <v>639</v>
      </c>
      <c r="F126" s="44" t="s">
        <v>225</v>
      </c>
      <c r="G126" s="30"/>
      <c r="H126" s="30"/>
      <c r="I126" s="30"/>
      <c r="J126" s="30"/>
      <c r="K126" s="30"/>
      <c r="L126" s="30"/>
      <c r="M126" s="30"/>
      <c r="N126" s="30"/>
      <c r="O126" s="30"/>
      <c r="P126" s="30"/>
      <c r="Q126" s="30"/>
      <c r="R126" s="33"/>
      <c r="S126" s="35"/>
      <c r="T126" s="30"/>
      <c r="U126" s="30"/>
      <c r="V126" s="30"/>
      <c r="W126" s="33"/>
      <c r="X126" s="33"/>
      <c r="Y126" s="30"/>
      <c r="Z126" s="30"/>
      <c r="AA126" s="30"/>
      <c r="AB126" s="33"/>
    </row>
    <row r="127" customFormat="false" ht="57.45" hidden="false" customHeight="false" outlineLevel="0" collapsed="false">
      <c r="A127" s="15" t="n">
        <v>46503</v>
      </c>
      <c r="B127" s="16" t="s">
        <v>74</v>
      </c>
      <c r="C127" s="17" t="n">
        <v>17</v>
      </c>
      <c r="D127" s="18" t="s">
        <v>640</v>
      </c>
      <c r="E127" s="19" t="s">
        <v>641</v>
      </c>
      <c r="F127" s="43" t="s">
        <v>225</v>
      </c>
      <c r="G127" s="16"/>
      <c r="H127" s="16"/>
      <c r="I127" s="16"/>
      <c r="J127" s="16"/>
      <c r="K127" s="16"/>
      <c r="L127" s="16"/>
      <c r="M127" s="16"/>
      <c r="N127" s="16"/>
      <c r="O127" s="16"/>
      <c r="P127" s="16"/>
      <c r="Q127" s="20" t="str">
        <f aca="false">HYPERLINK(Links!$M$127,"search")</f>
        <v>search</v>
      </c>
      <c r="R127" s="19" t="s">
        <v>642</v>
      </c>
      <c r="S127" s="21" t="n">
        <v>46504</v>
      </c>
      <c r="T127" s="16"/>
      <c r="U127" s="16"/>
      <c r="V127" s="16"/>
      <c r="W127" s="19" t="s">
        <v>643</v>
      </c>
      <c r="X127" s="19" t="s">
        <v>644</v>
      </c>
      <c r="Y127" s="16"/>
      <c r="Z127" s="16"/>
      <c r="AA127" s="16"/>
      <c r="AB127" s="19" t="s">
        <v>645</v>
      </c>
    </row>
    <row r="128" customFormat="false" ht="35.05" hidden="false" customHeight="false" outlineLevel="0" collapsed="false">
      <c r="A128" s="15" t="n">
        <v>46504</v>
      </c>
      <c r="B128" s="16" t="s">
        <v>87</v>
      </c>
      <c r="C128" s="17" t="n">
        <v>17</v>
      </c>
      <c r="D128" s="18" t="s">
        <v>646</v>
      </c>
      <c r="E128" s="19" t="s">
        <v>647</v>
      </c>
      <c r="F128" s="43" t="s">
        <v>225</v>
      </c>
      <c r="G128" s="16"/>
      <c r="H128" s="16"/>
      <c r="I128" s="16"/>
      <c r="J128" s="16"/>
      <c r="K128" s="16"/>
      <c r="L128" s="16"/>
      <c r="M128" s="16"/>
      <c r="N128" s="16"/>
      <c r="O128" s="16"/>
      <c r="P128" s="16"/>
      <c r="Q128" s="20" t="str">
        <f aca="false">HYPERLINK(Links!$M$128,"search")</f>
        <v>search</v>
      </c>
      <c r="R128" s="19" t="s">
        <v>648</v>
      </c>
      <c r="S128" s="21" t="n">
        <v>46505</v>
      </c>
      <c r="T128" s="16"/>
      <c r="U128" s="16"/>
      <c r="V128" s="16"/>
      <c r="W128" s="19" t="s">
        <v>649</v>
      </c>
      <c r="X128" s="19" t="s">
        <v>650</v>
      </c>
      <c r="Y128" s="16"/>
      <c r="Z128" s="16"/>
      <c r="AA128" s="16"/>
      <c r="AB128" s="19" t="s">
        <v>651</v>
      </c>
    </row>
    <row r="129" customFormat="false" ht="23.85" hidden="false" customHeight="false" outlineLevel="0" collapsed="false">
      <c r="A129" s="22" t="n">
        <v>46505</v>
      </c>
      <c r="B129" s="23" t="s">
        <v>39</v>
      </c>
      <c r="C129" s="24" t="n">
        <v>17</v>
      </c>
      <c r="D129" s="25" t="s">
        <v>154</v>
      </c>
      <c r="E129" s="26" t="s">
        <v>155</v>
      </c>
      <c r="F129" s="46" t="s">
        <v>225</v>
      </c>
      <c r="G129" s="23"/>
      <c r="H129" s="23"/>
      <c r="I129" s="23"/>
      <c r="J129" s="23"/>
      <c r="K129" s="23"/>
      <c r="L129" s="23"/>
      <c r="M129" s="23"/>
      <c r="N129" s="23"/>
      <c r="O129" s="23"/>
      <c r="P129" s="23"/>
      <c r="Q129" s="23"/>
      <c r="R129" s="26"/>
      <c r="S129" s="28"/>
      <c r="T129" s="23"/>
      <c r="U129" s="23"/>
      <c r="V129" s="23"/>
      <c r="W129" s="26"/>
      <c r="X129" s="26"/>
      <c r="Y129" s="23"/>
      <c r="Z129" s="23"/>
      <c r="AA129" s="23"/>
      <c r="AB129" s="26"/>
    </row>
    <row r="130" customFormat="false" ht="15" hidden="false" customHeight="false" outlineLevel="0" collapsed="false">
      <c r="A130" s="29" t="n">
        <v>46506</v>
      </c>
      <c r="B130" s="30" t="s">
        <v>52</v>
      </c>
      <c r="C130" s="31" t="n">
        <v>17</v>
      </c>
      <c r="D130" s="32" t="s">
        <v>652</v>
      </c>
      <c r="E130" s="33" t="s">
        <v>653</v>
      </c>
      <c r="F130" s="44" t="s">
        <v>225</v>
      </c>
      <c r="G130" s="30"/>
      <c r="H130" s="30"/>
      <c r="I130" s="30"/>
      <c r="J130" s="30"/>
      <c r="K130" s="30"/>
      <c r="L130" s="30"/>
      <c r="M130" s="30"/>
      <c r="N130" s="30"/>
      <c r="O130" s="30"/>
      <c r="P130" s="30"/>
      <c r="Q130" s="30"/>
      <c r="R130" s="33"/>
      <c r="S130" s="35"/>
      <c r="T130" s="30"/>
      <c r="U130" s="30"/>
      <c r="V130" s="30"/>
      <c r="W130" s="33"/>
      <c r="X130" s="33"/>
      <c r="Y130" s="30"/>
      <c r="Z130" s="30"/>
      <c r="AA130" s="30"/>
      <c r="AB130" s="33"/>
    </row>
    <row r="131" customFormat="false" ht="15" hidden="false" customHeight="false" outlineLevel="0" collapsed="false">
      <c r="A131" s="29" t="n">
        <v>46507</v>
      </c>
      <c r="B131" s="30" t="s">
        <v>63</v>
      </c>
      <c r="C131" s="31" t="n">
        <v>17</v>
      </c>
      <c r="D131" s="32" t="s">
        <v>654</v>
      </c>
      <c r="E131" s="33" t="s">
        <v>655</v>
      </c>
      <c r="F131" s="44" t="s">
        <v>225</v>
      </c>
      <c r="G131" s="30"/>
      <c r="H131" s="30"/>
      <c r="I131" s="30"/>
      <c r="J131" s="30"/>
      <c r="K131" s="30"/>
      <c r="L131" s="30"/>
      <c r="M131" s="30"/>
      <c r="N131" s="30"/>
      <c r="O131" s="30"/>
      <c r="P131" s="30"/>
      <c r="Q131" s="30"/>
      <c r="R131" s="33"/>
      <c r="S131" s="35"/>
      <c r="T131" s="30"/>
      <c r="U131" s="30"/>
      <c r="V131" s="30"/>
      <c r="W131" s="33"/>
      <c r="X131" s="33"/>
      <c r="Y131" s="30"/>
      <c r="Z131" s="30"/>
      <c r="AA131" s="30"/>
      <c r="AB131" s="33"/>
    </row>
    <row r="132" customFormat="false" ht="91" hidden="false" customHeight="false" outlineLevel="0" collapsed="false">
      <c r="A132" s="22" t="n">
        <v>46510</v>
      </c>
      <c r="B132" s="23" t="s">
        <v>74</v>
      </c>
      <c r="C132" s="24"/>
      <c r="D132" s="25" t="s">
        <v>656</v>
      </c>
      <c r="E132" s="26" t="s">
        <v>657</v>
      </c>
      <c r="F132" s="23"/>
      <c r="G132" s="23"/>
      <c r="H132" s="23"/>
      <c r="I132" s="23"/>
      <c r="J132" s="23"/>
      <c r="K132" s="23"/>
      <c r="L132" s="23"/>
      <c r="M132" s="23"/>
      <c r="N132" s="23"/>
      <c r="O132" s="23"/>
      <c r="P132" s="23"/>
      <c r="Q132" s="23"/>
      <c r="R132" s="26"/>
      <c r="S132" s="28"/>
      <c r="T132" s="23"/>
      <c r="U132" s="23"/>
      <c r="V132" s="23"/>
      <c r="W132" s="26" t="s">
        <v>658</v>
      </c>
      <c r="X132" s="26" t="s">
        <v>659</v>
      </c>
      <c r="Y132" s="23"/>
      <c r="Z132" s="23"/>
      <c r="AA132" s="23"/>
      <c r="AB132" s="26"/>
    </row>
  </sheetData>
  <autoFilter ref="A1:AB1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40"/>
    <col collapsed="false" customWidth="true" hidden="false" outlineLevel="0" max="4" min="4" style="0" width="60"/>
    <col collapsed="false" customWidth="true" hidden="false" outlineLevel="0" max="5" min="5" style="0" width="18"/>
    <col collapsed="false" customWidth="true" hidden="false" outlineLevel="0" max="6" min="6" style="0" width="10"/>
    <col collapsed="false" customWidth="true" hidden="false" outlineLevel="0" max="9" min="7" style="0" width="12"/>
    <col collapsed="false" customWidth="true" hidden="false" outlineLevel="0" max="10" min="10" style="0" width="18"/>
    <col collapsed="false" customWidth="true" hidden="false" outlineLevel="0" max="11" min="11" style="0" width="30"/>
  </cols>
  <sheetData>
    <row r="1" customFormat="false" ht="17.35" hidden="false" customHeight="false" outlineLevel="0" collapsed="false">
      <c r="A1" s="1" t="s">
        <v>660</v>
      </c>
    </row>
    <row r="2" customFormat="false" ht="42" hidden="false" customHeight="true" outlineLevel="0" collapsed="false">
      <c r="A2" s="11" t="s">
        <v>661</v>
      </c>
      <c r="B2" s="11"/>
      <c r="C2" s="11"/>
      <c r="D2" s="11"/>
      <c r="E2" s="11"/>
      <c r="F2" s="11"/>
      <c r="G2" s="11"/>
      <c r="H2" s="11"/>
      <c r="I2" s="11"/>
      <c r="J2" s="11"/>
      <c r="K2" s="11"/>
    </row>
    <row r="4" customFormat="false" ht="30" hidden="false" customHeight="true" outlineLevel="0" collapsed="false">
      <c r="A4" s="9" t="s">
        <v>662</v>
      </c>
      <c r="B4" s="9" t="s">
        <v>663</v>
      </c>
      <c r="C4" s="9" t="s">
        <v>664</v>
      </c>
      <c r="D4" s="9" t="s">
        <v>665</v>
      </c>
      <c r="E4" s="9" t="s">
        <v>666</v>
      </c>
      <c r="F4" s="9" t="s">
        <v>667</v>
      </c>
      <c r="G4" s="9" t="s">
        <v>668</v>
      </c>
      <c r="H4" s="9" t="s">
        <v>669</v>
      </c>
      <c r="I4" s="9" t="s">
        <v>670</v>
      </c>
      <c r="J4" s="9" t="s">
        <v>671</v>
      </c>
      <c r="K4" s="9" t="s">
        <v>672</v>
      </c>
    </row>
    <row r="5" customFormat="false" ht="23.85" hidden="false" customHeight="false" outlineLevel="0" collapsed="false">
      <c r="A5" s="47" t="n">
        <v>1</v>
      </c>
      <c r="B5" s="48" t="n">
        <v>46288</v>
      </c>
      <c r="C5" s="49" t="s">
        <v>673</v>
      </c>
      <c r="D5" s="6" t="s">
        <v>674</v>
      </c>
      <c r="E5" s="7" t="s">
        <v>675</v>
      </c>
      <c r="F5" s="47" t="n">
        <v>67</v>
      </c>
      <c r="G5" s="48" t="n">
        <v>46289</v>
      </c>
      <c r="H5" s="50"/>
      <c r="I5" s="50"/>
      <c r="J5" s="7" t="str">
        <f aca="true">IF(I5="✓","done",IF(TODAY()&lt;B5,"upcoming",IF(TODAY()&lt;G5,"open","due — check scores")))</f>
        <v>due — check scores</v>
      </c>
      <c r="K5" s="51"/>
    </row>
    <row r="6" customFormat="false" ht="23.85" hidden="false" customHeight="false" outlineLevel="0" collapsed="false">
      <c r="A6" s="47" t="n">
        <v>2</v>
      </c>
      <c r="B6" s="48" t="n">
        <v>46289</v>
      </c>
      <c r="C6" s="49" t="s">
        <v>676</v>
      </c>
      <c r="D6" s="6" t="s">
        <v>677</v>
      </c>
      <c r="E6" s="7" t="s">
        <v>678</v>
      </c>
      <c r="F6" s="47" t="n">
        <v>67</v>
      </c>
      <c r="G6" s="48" t="n">
        <v>46290</v>
      </c>
      <c r="H6" s="50"/>
      <c r="I6" s="50"/>
      <c r="J6" s="7" t="str">
        <f aca="true">IF(I6="✓","done",IF(TODAY()&lt;B6,"upcoming",IF(TODAY()&lt;G6,"open","due — check scores")))</f>
        <v>due — check scores</v>
      </c>
      <c r="K6" s="51"/>
    </row>
    <row r="7" customFormat="false" ht="15" hidden="false" customHeight="false" outlineLevel="0" collapsed="false">
      <c r="A7" s="47" t="n">
        <v>3</v>
      </c>
      <c r="B7" s="48" t="n">
        <v>46290</v>
      </c>
      <c r="C7" s="49" t="s">
        <v>679</v>
      </c>
      <c r="D7" s="6" t="s">
        <v>680</v>
      </c>
      <c r="E7" s="7" t="s">
        <v>681</v>
      </c>
      <c r="F7" s="47" t="n">
        <v>67</v>
      </c>
      <c r="G7" s="48" t="n">
        <v>46293</v>
      </c>
      <c r="H7" s="50"/>
      <c r="I7" s="50"/>
      <c r="J7" s="7" t="str">
        <f aca="true">IF(I7="✓","done",IF(TODAY()&lt;B7,"upcoming",IF(TODAY()&lt;G7,"open","due — check scores")))</f>
        <v>due — check scores</v>
      </c>
      <c r="K7" s="51"/>
    </row>
    <row r="8" customFormat="false" ht="23.85" hidden="false" customHeight="false" outlineLevel="0" collapsed="false">
      <c r="A8" s="47" t="n">
        <v>4</v>
      </c>
      <c r="B8" s="48" t="n">
        <v>46293</v>
      </c>
      <c r="C8" s="49" t="s">
        <v>682</v>
      </c>
      <c r="D8" s="6" t="s">
        <v>683</v>
      </c>
      <c r="E8" s="7" t="s">
        <v>684</v>
      </c>
      <c r="F8" s="47" t="n">
        <v>67</v>
      </c>
      <c r="G8" s="48" t="n">
        <v>46294</v>
      </c>
      <c r="H8" s="50"/>
      <c r="I8" s="50"/>
      <c r="J8" s="7" t="str">
        <f aca="true">IF(I8="✓","done",IF(TODAY()&lt;B8,"upcoming",IF(TODAY()&lt;G8,"open","due — check scores")))</f>
        <v>due — check scores</v>
      </c>
      <c r="K8" s="51"/>
    </row>
    <row r="9" customFormat="false" ht="15" hidden="false" customHeight="false" outlineLevel="0" collapsed="false">
      <c r="A9" s="47" t="n">
        <v>5</v>
      </c>
      <c r="B9" s="48" t="n">
        <v>46294</v>
      </c>
      <c r="C9" s="49" t="s">
        <v>685</v>
      </c>
      <c r="D9" s="6" t="s">
        <v>686</v>
      </c>
      <c r="E9" s="7" t="s">
        <v>687</v>
      </c>
      <c r="F9" s="47" t="n">
        <v>67</v>
      </c>
      <c r="G9" s="48" t="n">
        <v>46295</v>
      </c>
      <c r="H9" s="50"/>
      <c r="I9" s="50"/>
      <c r="J9" s="7" t="str">
        <f aca="true">IF(I9="✓","done",IF(TODAY()&lt;B9,"upcoming",IF(TODAY()&lt;G9,"open","due — check scores")))</f>
        <v>due — check scores</v>
      </c>
      <c r="K9" s="51"/>
    </row>
    <row r="10" customFormat="false" ht="23.85" hidden="false" customHeight="false" outlineLevel="0" collapsed="false">
      <c r="A10" s="47" t="n">
        <v>6</v>
      </c>
      <c r="B10" s="48" t="n">
        <v>46295</v>
      </c>
      <c r="C10" s="49" t="s">
        <v>688</v>
      </c>
      <c r="D10" s="6" t="s">
        <v>689</v>
      </c>
      <c r="E10" s="7" t="s">
        <v>690</v>
      </c>
      <c r="F10" s="47" t="n">
        <v>67</v>
      </c>
      <c r="G10" s="48" t="n">
        <v>46296</v>
      </c>
      <c r="H10" s="50"/>
      <c r="I10" s="50"/>
      <c r="J10" s="7" t="str">
        <f aca="true">IF(I10="✓","done",IF(TODAY()&lt;B10,"upcoming",IF(TODAY()&lt;G10,"open","due — check scores")))</f>
        <v>due — check scores</v>
      </c>
      <c r="K10" s="51"/>
    </row>
    <row r="11" customFormat="false" ht="23.85" hidden="false" customHeight="false" outlineLevel="0" collapsed="false">
      <c r="A11" s="47" t="n">
        <v>7</v>
      </c>
      <c r="B11" s="48" t="n">
        <v>46300</v>
      </c>
      <c r="C11" s="49" t="s">
        <v>691</v>
      </c>
      <c r="D11" s="6" t="s">
        <v>692</v>
      </c>
      <c r="E11" s="7" t="s">
        <v>693</v>
      </c>
      <c r="F11" s="47" t="n">
        <v>67</v>
      </c>
      <c r="G11" s="48" t="n">
        <v>46301</v>
      </c>
      <c r="H11" s="50"/>
      <c r="I11" s="50"/>
      <c r="J11" s="7" t="str">
        <f aca="true">IF(I11="✓","done",IF(TODAY()&lt;B11,"upcoming",IF(TODAY()&lt;G11,"open","due — check scores")))</f>
        <v>due — check scores</v>
      </c>
      <c r="K11" s="51"/>
    </row>
    <row r="12" customFormat="false" ht="23.85" hidden="false" customHeight="false" outlineLevel="0" collapsed="false">
      <c r="A12" s="47" t="n">
        <v>8</v>
      </c>
      <c r="B12" s="48" t="n">
        <v>46301</v>
      </c>
      <c r="C12" s="49" t="s">
        <v>694</v>
      </c>
      <c r="D12" s="6" t="s">
        <v>695</v>
      </c>
      <c r="E12" s="7" t="s">
        <v>696</v>
      </c>
      <c r="F12" s="47" t="n">
        <v>67</v>
      </c>
      <c r="G12" s="48" t="n">
        <v>46302</v>
      </c>
      <c r="H12" s="50"/>
      <c r="I12" s="50"/>
      <c r="J12" s="7" t="str">
        <f aca="true">IF(I12="✓","done",IF(TODAY()&lt;B12,"upcoming",IF(TODAY()&lt;G12,"open","due — check scores")))</f>
        <v>due — check scores</v>
      </c>
      <c r="K12" s="51"/>
    </row>
    <row r="13" customFormat="false" ht="23.85" hidden="false" customHeight="false" outlineLevel="0" collapsed="false">
      <c r="A13" s="47" t="n">
        <v>9</v>
      </c>
      <c r="B13" s="48" t="n">
        <v>46302</v>
      </c>
      <c r="C13" s="49" t="s">
        <v>697</v>
      </c>
      <c r="D13" s="6" t="s">
        <v>698</v>
      </c>
      <c r="E13" s="7" t="s">
        <v>699</v>
      </c>
      <c r="F13" s="47" t="n">
        <v>67</v>
      </c>
      <c r="G13" s="48" t="n">
        <v>46304</v>
      </c>
      <c r="H13" s="50"/>
      <c r="I13" s="50"/>
      <c r="J13" s="7" t="str">
        <f aca="true">IF(I13="✓","done",IF(TODAY()&lt;B13,"upcoming",IF(TODAY()&lt;G13,"open","due — check scores")))</f>
        <v>due — check scores</v>
      </c>
      <c r="K13" s="51"/>
    </row>
    <row r="14" customFormat="false" ht="35.05" hidden="false" customHeight="false" outlineLevel="0" collapsed="false">
      <c r="A14" s="47" t="n">
        <v>10</v>
      </c>
      <c r="B14" s="48" t="n">
        <v>46304</v>
      </c>
      <c r="C14" s="49" t="s">
        <v>700</v>
      </c>
      <c r="D14" s="6" t="s">
        <v>701</v>
      </c>
      <c r="E14" s="7" t="s">
        <v>702</v>
      </c>
      <c r="F14" s="47" t="n">
        <v>67</v>
      </c>
      <c r="G14" s="48" t="n">
        <v>46308</v>
      </c>
      <c r="H14" s="50"/>
      <c r="I14" s="50"/>
      <c r="J14" s="7" t="str">
        <f aca="true">IF(I14="✓","done",IF(TODAY()&lt;B14,"upcoming",IF(TODAY()&lt;G14,"open","due — check scores")))</f>
        <v>due — check scores</v>
      </c>
      <c r="K14" s="51"/>
    </row>
    <row r="15" customFormat="false" ht="15" hidden="false" customHeight="false" outlineLevel="0" collapsed="false">
      <c r="A15" s="47" t="n">
        <v>11</v>
      </c>
      <c r="B15" s="48" t="n">
        <v>46311</v>
      </c>
      <c r="C15" s="49" t="s">
        <v>703</v>
      </c>
      <c r="D15" s="6" t="s">
        <v>704</v>
      </c>
      <c r="E15" s="7" t="s">
        <v>705</v>
      </c>
      <c r="F15" s="47" t="n">
        <v>67</v>
      </c>
      <c r="G15" s="48" t="n">
        <v>46314</v>
      </c>
      <c r="H15" s="50"/>
      <c r="I15" s="50"/>
      <c r="J15" s="7" t="str">
        <f aca="true">IF(I15="✓","done",IF(TODAY()&lt;B15,"upcoming",IF(TODAY()&lt;G15,"open","due — check scores")))</f>
        <v>open</v>
      </c>
      <c r="K15" s="51"/>
    </row>
    <row r="16" customFormat="false" ht="23.85" hidden="false" customHeight="false" outlineLevel="0" collapsed="false">
      <c r="A16" s="47" t="n">
        <v>12</v>
      </c>
      <c r="B16" s="48" t="n">
        <v>46314</v>
      </c>
      <c r="C16" s="49" t="s">
        <v>706</v>
      </c>
      <c r="D16" s="6" t="s">
        <v>707</v>
      </c>
      <c r="E16" s="7" t="s">
        <v>708</v>
      </c>
      <c r="F16" s="47" t="n">
        <v>67</v>
      </c>
      <c r="G16" s="48" t="n">
        <v>46315</v>
      </c>
      <c r="H16" s="50"/>
      <c r="I16" s="50"/>
      <c r="J16" s="7" t="str">
        <f aca="true">IF(I16="✓","done",IF(TODAY()&lt;B16,"upcoming",IF(TODAY()&lt;G16,"open","due — check scores")))</f>
        <v>upcoming</v>
      </c>
      <c r="K16" s="51"/>
    </row>
    <row r="17" customFormat="false" ht="23.85" hidden="false" customHeight="false" outlineLevel="0" collapsed="false">
      <c r="A17" s="47" t="n">
        <v>13</v>
      </c>
      <c r="B17" s="48" t="n">
        <v>46315</v>
      </c>
      <c r="C17" s="49" t="s">
        <v>709</v>
      </c>
      <c r="D17" s="6" t="s">
        <v>710</v>
      </c>
      <c r="E17" s="7" t="s">
        <v>711</v>
      </c>
      <c r="F17" s="47" t="n">
        <v>67</v>
      </c>
      <c r="G17" s="48" t="n">
        <v>46316</v>
      </c>
      <c r="H17" s="50"/>
      <c r="I17" s="50"/>
      <c r="J17" s="7" t="str">
        <f aca="true">IF(I17="✓","done",IF(TODAY()&lt;B17,"upcoming",IF(TODAY()&lt;G17,"open","due — check scores")))</f>
        <v>upcoming</v>
      </c>
      <c r="K17" s="51"/>
    </row>
    <row r="18" customFormat="false" ht="15" hidden="false" customHeight="false" outlineLevel="0" collapsed="false">
      <c r="A18" s="47" t="n">
        <v>14</v>
      </c>
      <c r="B18" s="48" t="n">
        <v>46316</v>
      </c>
      <c r="C18" s="49" t="s">
        <v>712</v>
      </c>
      <c r="D18" s="6" t="s">
        <v>713</v>
      </c>
      <c r="E18" s="7" t="s">
        <v>714</v>
      </c>
      <c r="F18" s="47" t="n">
        <v>67</v>
      </c>
      <c r="G18" s="48" t="n">
        <v>46318</v>
      </c>
      <c r="H18" s="50"/>
      <c r="I18" s="50"/>
      <c r="J18" s="7" t="str">
        <f aca="true">IF(I18="✓","done",IF(TODAY()&lt;B18,"upcoming",IF(TODAY()&lt;G18,"open","due — check scores")))</f>
        <v>upcoming</v>
      </c>
      <c r="K18" s="51"/>
    </row>
    <row r="19" customFormat="false" ht="15" hidden="false" customHeight="false" outlineLevel="0" collapsed="false">
      <c r="A19" s="47" t="n">
        <v>15</v>
      </c>
      <c r="B19" s="48" t="n">
        <v>46318</v>
      </c>
      <c r="C19" s="49" t="s">
        <v>715</v>
      </c>
      <c r="D19" s="6" t="s">
        <v>716</v>
      </c>
      <c r="E19" s="7" t="s">
        <v>717</v>
      </c>
      <c r="F19" s="47" t="n">
        <v>67</v>
      </c>
      <c r="G19" s="48" t="n">
        <v>46321</v>
      </c>
      <c r="H19" s="50"/>
      <c r="I19" s="50"/>
      <c r="J19" s="7" t="str">
        <f aca="true">IF(I19="✓","done",IF(TODAY()&lt;B19,"upcoming",IF(TODAY()&lt;G19,"open","due — check scores")))</f>
        <v>upcoming</v>
      </c>
      <c r="K19" s="51"/>
    </row>
    <row r="20" customFormat="false" ht="23.85" hidden="false" customHeight="false" outlineLevel="0" collapsed="false">
      <c r="A20" s="47" t="n">
        <v>16</v>
      </c>
      <c r="B20" s="48" t="n">
        <v>46323</v>
      </c>
      <c r="C20" s="49" t="s">
        <v>718</v>
      </c>
      <c r="D20" s="6" t="s">
        <v>719</v>
      </c>
      <c r="E20" s="7" t="s">
        <v>720</v>
      </c>
      <c r="F20" s="47" t="n">
        <v>67</v>
      </c>
      <c r="G20" s="48" t="n">
        <v>46324</v>
      </c>
      <c r="H20" s="50"/>
      <c r="I20" s="50"/>
      <c r="J20" s="7" t="str">
        <f aca="true">IF(I20="✓","done",IF(TODAY()&lt;B20,"upcoming",IF(TODAY()&lt;G20,"open","due — check scores")))</f>
        <v>upcoming</v>
      </c>
      <c r="K20" s="51"/>
    </row>
    <row r="21" customFormat="false" ht="23.85" hidden="false" customHeight="false" outlineLevel="0" collapsed="false">
      <c r="A21" s="47" t="n">
        <v>17</v>
      </c>
      <c r="B21" s="48" t="n">
        <v>46324</v>
      </c>
      <c r="C21" s="49" t="s">
        <v>721</v>
      </c>
      <c r="D21" s="6" t="s">
        <v>722</v>
      </c>
      <c r="E21" s="7" t="s">
        <v>723</v>
      </c>
      <c r="F21" s="47" t="n">
        <v>67</v>
      </c>
      <c r="G21" s="48" t="n">
        <v>46325</v>
      </c>
      <c r="H21" s="50"/>
      <c r="I21" s="50"/>
      <c r="J21" s="7" t="str">
        <f aca="true">IF(I21="✓","done",IF(TODAY()&lt;B21,"upcoming",IF(TODAY()&lt;G21,"open","due — check scores")))</f>
        <v>upcoming</v>
      </c>
      <c r="K21" s="51"/>
    </row>
    <row r="22" customFormat="false" ht="23.85" hidden="false" customHeight="false" outlineLevel="0" collapsed="false">
      <c r="A22" s="47" t="n">
        <v>18</v>
      </c>
      <c r="B22" s="48" t="n">
        <v>46325</v>
      </c>
      <c r="C22" s="49" t="s">
        <v>724</v>
      </c>
      <c r="D22" s="6" t="s">
        <v>725</v>
      </c>
      <c r="E22" s="7" t="s">
        <v>726</v>
      </c>
      <c r="F22" s="47" t="n">
        <v>67</v>
      </c>
      <c r="G22" s="48" t="n">
        <v>46328</v>
      </c>
      <c r="H22" s="50"/>
      <c r="I22" s="50"/>
      <c r="J22" s="7" t="str">
        <f aca="true">IF(I22="✓","done",IF(TODAY()&lt;B22,"upcoming",IF(TODAY()&lt;G22,"open","due — check scores")))</f>
        <v>upcoming</v>
      </c>
      <c r="K22" s="51"/>
    </row>
    <row r="23" customFormat="false" ht="23.85" hidden="false" customHeight="false" outlineLevel="0" collapsed="false">
      <c r="A23" s="47" t="n">
        <v>19</v>
      </c>
      <c r="B23" s="48" t="n">
        <v>46328</v>
      </c>
      <c r="C23" s="49" t="s">
        <v>727</v>
      </c>
      <c r="D23" s="6" t="s">
        <v>728</v>
      </c>
      <c r="E23" s="7" t="s">
        <v>729</v>
      </c>
      <c r="F23" s="47" t="n">
        <v>67</v>
      </c>
      <c r="G23" s="48" t="n">
        <v>46330</v>
      </c>
      <c r="H23" s="50"/>
      <c r="I23" s="50"/>
      <c r="J23" s="7" t="str">
        <f aca="true">IF(I23="✓","done",IF(TODAY()&lt;B23,"upcoming",IF(TODAY()&lt;G23,"open","due — check scores")))</f>
        <v>upcoming</v>
      </c>
      <c r="K23" s="51"/>
    </row>
    <row r="24" customFormat="false" ht="23.85" hidden="false" customHeight="false" outlineLevel="0" collapsed="false">
      <c r="A24" s="47" t="n">
        <v>20</v>
      </c>
      <c r="B24" s="48" t="n">
        <v>46330</v>
      </c>
      <c r="C24" s="49" t="s">
        <v>730</v>
      </c>
      <c r="D24" s="6" t="s">
        <v>731</v>
      </c>
      <c r="E24" s="7" t="s">
        <v>732</v>
      </c>
      <c r="F24" s="47" t="n">
        <v>67</v>
      </c>
      <c r="G24" s="48" t="n">
        <v>46331</v>
      </c>
      <c r="H24" s="50"/>
      <c r="I24" s="50"/>
      <c r="J24" s="7" t="str">
        <f aca="true">IF(I24="✓","done",IF(TODAY()&lt;B24,"upcoming",IF(TODAY()&lt;G24,"open","due — check scores")))</f>
        <v>upcoming</v>
      </c>
      <c r="K24" s="51"/>
    </row>
    <row r="25" customFormat="false" ht="23.85" hidden="false" customHeight="false" outlineLevel="0" collapsed="false">
      <c r="A25" s="47" t="n">
        <v>21</v>
      </c>
      <c r="B25" s="48" t="n">
        <v>46335</v>
      </c>
      <c r="C25" s="49" t="s">
        <v>733</v>
      </c>
      <c r="D25" s="6" t="s">
        <v>734</v>
      </c>
      <c r="E25" s="7" t="s">
        <v>735</v>
      </c>
      <c r="F25" s="47" t="n">
        <v>67</v>
      </c>
      <c r="G25" s="48" t="n">
        <v>46336</v>
      </c>
      <c r="H25" s="50"/>
      <c r="I25" s="50"/>
      <c r="J25" s="7" t="str">
        <f aca="true">IF(I25="✓","done",IF(TODAY()&lt;B25,"upcoming",IF(TODAY()&lt;G25,"open","due — check scores")))</f>
        <v>upcoming</v>
      </c>
      <c r="K25" s="51"/>
    </row>
    <row r="26" customFormat="false" ht="15" hidden="false" customHeight="false" outlineLevel="0" collapsed="false">
      <c r="A26" s="47" t="n">
        <v>22</v>
      </c>
      <c r="B26" s="48" t="n">
        <v>46336</v>
      </c>
      <c r="C26" s="49" t="s">
        <v>736</v>
      </c>
      <c r="D26" s="6" t="s">
        <v>737</v>
      </c>
      <c r="E26" s="7" t="s">
        <v>738</v>
      </c>
      <c r="F26" s="47" t="n">
        <v>67</v>
      </c>
      <c r="G26" s="48" t="n">
        <v>46338</v>
      </c>
      <c r="H26" s="50"/>
      <c r="I26" s="50"/>
      <c r="J26" s="7" t="str">
        <f aca="true">IF(I26="✓","done",IF(TODAY()&lt;B26,"upcoming",IF(TODAY()&lt;G26,"open","due — check scores")))</f>
        <v>upcoming</v>
      </c>
      <c r="K26" s="51"/>
    </row>
    <row r="27" customFormat="false" ht="15" hidden="false" customHeight="false" outlineLevel="0" collapsed="false">
      <c r="A27" s="47" t="n">
        <v>23</v>
      </c>
      <c r="B27" s="48" t="n">
        <v>46338</v>
      </c>
      <c r="C27" s="49" t="s">
        <v>739</v>
      </c>
      <c r="D27" s="6" t="s">
        <v>740</v>
      </c>
      <c r="E27" s="7" t="s">
        <v>741</v>
      </c>
      <c r="F27" s="47" t="n">
        <v>67</v>
      </c>
      <c r="G27" s="48" t="n">
        <v>46339</v>
      </c>
      <c r="H27" s="50"/>
      <c r="I27" s="50"/>
      <c r="J27" s="7" t="str">
        <f aca="true">IF(I27="✓","done",IF(TODAY()&lt;B27,"upcoming",IF(TODAY()&lt;G27,"open","due — check scores")))</f>
        <v>upcoming</v>
      </c>
      <c r="K27" s="51"/>
    </row>
    <row r="28" customFormat="false" ht="23.85" hidden="false" customHeight="false" outlineLevel="0" collapsed="false">
      <c r="A28" s="47" t="n">
        <v>24</v>
      </c>
      <c r="B28" s="48" t="n">
        <v>46339</v>
      </c>
      <c r="C28" s="49" t="s">
        <v>742</v>
      </c>
      <c r="D28" s="6" t="s">
        <v>743</v>
      </c>
      <c r="E28" s="7" t="s">
        <v>744</v>
      </c>
      <c r="F28" s="47" t="n">
        <v>67</v>
      </c>
      <c r="G28" s="48" t="n">
        <v>46342</v>
      </c>
      <c r="H28" s="50"/>
      <c r="I28" s="50"/>
      <c r="J28" s="7" t="str">
        <f aca="true">IF(I28="✓","done",IF(TODAY()&lt;B28,"upcoming",IF(TODAY()&lt;G28,"open","due — check scores")))</f>
        <v>upcoming</v>
      </c>
      <c r="K28" s="51"/>
    </row>
    <row r="29" customFormat="false" ht="15" hidden="false" customHeight="false" outlineLevel="0" collapsed="false">
      <c r="A29" s="47" t="n">
        <v>25</v>
      </c>
      <c r="B29" s="48" t="n">
        <v>46342</v>
      </c>
      <c r="C29" s="49" t="s">
        <v>745</v>
      </c>
      <c r="D29" s="6" t="s">
        <v>746</v>
      </c>
      <c r="E29" s="7" t="s">
        <v>747</v>
      </c>
      <c r="F29" s="47" t="n">
        <v>67</v>
      </c>
      <c r="G29" s="48" t="n">
        <v>46343</v>
      </c>
      <c r="H29" s="50"/>
      <c r="I29" s="50"/>
      <c r="J29" s="7" t="str">
        <f aca="true">IF(I29="✓","done",IF(TODAY()&lt;B29,"upcoming",IF(TODAY()&lt;G29,"open","due — check scores")))</f>
        <v>upcoming</v>
      </c>
      <c r="K29" s="51"/>
    </row>
    <row r="30" customFormat="false" ht="46.25" hidden="false" customHeight="false" outlineLevel="0" collapsed="false">
      <c r="A30" s="47" t="n">
        <v>26</v>
      </c>
      <c r="B30" s="48" t="n">
        <v>46343</v>
      </c>
      <c r="C30" s="49" t="s">
        <v>748</v>
      </c>
      <c r="D30" s="6" t="s">
        <v>749</v>
      </c>
      <c r="E30" s="7" t="s">
        <v>750</v>
      </c>
      <c r="F30" s="47" t="n">
        <v>67</v>
      </c>
      <c r="G30" s="48" t="n">
        <v>46344</v>
      </c>
      <c r="H30" s="50"/>
      <c r="I30" s="50"/>
      <c r="J30" s="7" t="str">
        <f aca="true">IF(I30="✓","done",IF(TODAY()&lt;B30,"upcoming",IF(TODAY()&lt;G30,"open","due — check scores")))</f>
        <v>upcoming</v>
      </c>
      <c r="K30" s="51"/>
    </row>
    <row r="31" customFormat="false" ht="23.85" hidden="false" customHeight="false" outlineLevel="0" collapsed="false">
      <c r="A31" s="47" t="n">
        <v>27</v>
      </c>
      <c r="B31" s="48" t="n">
        <v>46344</v>
      </c>
      <c r="C31" s="49" t="s">
        <v>751</v>
      </c>
      <c r="D31" s="6" t="s">
        <v>752</v>
      </c>
      <c r="E31" s="7" t="s">
        <v>753</v>
      </c>
      <c r="F31" s="47" t="n">
        <v>67</v>
      </c>
      <c r="G31" s="48" t="n">
        <v>46345</v>
      </c>
      <c r="H31" s="50"/>
      <c r="I31" s="50"/>
      <c r="J31" s="7" t="str">
        <f aca="true">IF(I31="✓","done",IF(TODAY()&lt;B31,"upcoming",IF(TODAY()&lt;G31,"open","due — check scores")))</f>
        <v>upcoming</v>
      </c>
      <c r="K31" s="51"/>
    </row>
    <row r="32" customFormat="false" ht="23.85" hidden="false" customHeight="false" outlineLevel="0" collapsed="false">
      <c r="A32" s="47" t="n">
        <v>28</v>
      </c>
      <c r="B32" s="48" t="n">
        <v>46345</v>
      </c>
      <c r="C32" s="49" t="s">
        <v>754</v>
      </c>
      <c r="D32" s="6" t="s">
        <v>755</v>
      </c>
      <c r="E32" s="7" t="s">
        <v>756</v>
      </c>
      <c r="F32" s="47" t="n">
        <v>67</v>
      </c>
      <c r="G32" s="48" t="n">
        <v>46346</v>
      </c>
      <c r="H32" s="50"/>
      <c r="I32" s="50"/>
      <c r="J32" s="7" t="str">
        <f aca="true">IF(I32="✓","done",IF(TODAY()&lt;B32,"upcoming",IF(TODAY()&lt;G32,"open","due — check scores")))</f>
        <v>upcoming</v>
      </c>
      <c r="K32" s="51"/>
    </row>
    <row r="33" customFormat="false" ht="15" hidden="false" customHeight="false" outlineLevel="0" collapsed="false">
      <c r="A33" s="47" t="n">
        <v>29</v>
      </c>
      <c r="B33" s="48" t="n">
        <v>46359</v>
      </c>
      <c r="C33" s="49" t="s">
        <v>757</v>
      </c>
      <c r="D33" s="6" t="s">
        <v>758</v>
      </c>
      <c r="E33" s="7" t="s">
        <v>759</v>
      </c>
      <c r="F33" s="47" t="n">
        <v>67</v>
      </c>
      <c r="G33" s="48" t="n">
        <v>46360</v>
      </c>
      <c r="H33" s="50"/>
      <c r="I33" s="50"/>
      <c r="J33" s="7" t="str">
        <f aca="true">IF(I33="✓","done",IF(TODAY()&lt;B33,"upcoming",IF(TODAY()&lt;G33,"open","due — check scores")))</f>
        <v>upcoming</v>
      </c>
      <c r="K33" s="51"/>
    </row>
    <row r="34" customFormat="false" ht="35.05" hidden="false" customHeight="false" outlineLevel="0" collapsed="false">
      <c r="A34" s="47" t="n">
        <v>30</v>
      </c>
      <c r="B34" s="48" t="n">
        <v>46360</v>
      </c>
      <c r="C34" s="49" t="s">
        <v>760</v>
      </c>
      <c r="D34" s="6" t="s">
        <v>761</v>
      </c>
      <c r="E34" s="7" t="s">
        <v>762</v>
      </c>
      <c r="F34" s="47" t="n">
        <v>67</v>
      </c>
      <c r="G34" s="48" t="n">
        <v>46363</v>
      </c>
      <c r="H34" s="50"/>
      <c r="I34" s="50"/>
      <c r="J34" s="7" t="str">
        <f aca="true">IF(I34="✓","done",IF(TODAY()&lt;B34,"upcoming",IF(TODAY()&lt;G34,"open","due — check scores")))</f>
        <v>upcoming</v>
      </c>
      <c r="K34" s="51"/>
    </row>
    <row r="35" customFormat="false" ht="23.85" hidden="false" customHeight="false" outlineLevel="0" collapsed="false">
      <c r="A35" s="47" t="n">
        <v>31</v>
      </c>
      <c r="B35" s="48" t="n">
        <v>46363</v>
      </c>
      <c r="C35" s="49" t="s">
        <v>763</v>
      </c>
      <c r="D35" s="6" t="s">
        <v>764</v>
      </c>
      <c r="E35" s="7" t="s">
        <v>765</v>
      </c>
      <c r="F35" s="47" t="n">
        <v>67</v>
      </c>
      <c r="G35" s="48" t="n">
        <v>46364</v>
      </c>
      <c r="H35" s="50"/>
      <c r="I35" s="50"/>
      <c r="J35" s="7" t="str">
        <f aca="true">IF(I35="✓","done",IF(TODAY()&lt;B35,"upcoming",IF(TODAY()&lt;G35,"open","due — check scores")))</f>
        <v>upcoming</v>
      </c>
      <c r="K35" s="51"/>
    </row>
    <row r="36" customFormat="false" ht="35.05" hidden="false" customHeight="false" outlineLevel="0" collapsed="false">
      <c r="A36" s="47" t="n">
        <v>32</v>
      </c>
      <c r="B36" s="48" t="n">
        <v>46364</v>
      </c>
      <c r="C36" s="49" t="s">
        <v>766</v>
      </c>
      <c r="D36" s="6" t="s">
        <v>767</v>
      </c>
      <c r="E36" s="7" t="s">
        <v>768</v>
      </c>
      <c r="F36" s="47" t="n">
        <v>67</v>
      </c>
      <c r="G36" s="48" t="n">
        <v>46365</v>
      </c>
      <c r="H36" s="50"/>
      <c r="I36" s="50"/>
      <c r="J36" s="7" t="str">
        <f aca="true">IF(I36="✓","done",IF(TODAY()&lt;B36,"upcoming",IF(TODAY()&lt;G36,"open","due — check scores")))</f>
        <v>upcoming</v>
      </c>
      <c r="K36" s="51"/>
    </row>
    <row r="37" customFormat="false" ht="15" hidden="false" customHeight="false" outlineLevel="0" collapsed="false">
      <c r="A37" s="47" t="n">
        <v>33</v>
      </c>
      <c r="B37" s="48" t="n">
        <v>46365</v>
      </c>
      <c r="C37" s="49" t="s">
        <v>769</v>
      </c>
      <c r="D37" s="6" t="s">
        <v>770</v>
      </c>
      <c r="E37" s="7" t="s">
        <v>771</v>
      </c>
      <c r="F37" s="47" t="n">
        <v>67</v>
      </c>
      <c r="G37" s="48" t="n">
        <v>46366</v>
      </c>
      <c r="H37" s="50"/>
      <c r="I37" s="50"/>
      <c r="J37" s="7" t="str">
        <f aca="true">IF(I37="✓","done",IF(TODAY()&lt;B37,"upcoming",IF(TODAY()&lt;G37,"open","due — check scores")))</f>
        <v>upcoming</v>
      </c>
      <c r="K37" s="51"/>
    </row>
    <row r="38" customFormat="false" ht="23.85" hidden="false" customHeight="false" outlineLevel="0" collapsed="false">
      <c r="A38" s="47" t="n">
        <v>34</v>
      </c>
      <c r="B38" s="48" t="n">
        <v>46373</v>
      </c>
      <c r="C38" s="49" t="s">
        <v>772</v>
      </c>
      <c r="D38" s="6" t="s">
        <v>773</v>
      </c>
      <c r="E38" s="7" t="s">
        <v>774</v>
      </c>
      <c r="F38" s="47" t="n">
        <v>67</v>
      </c>
      <c r="G38" s="48" t="n">
        <v>46374</v>
      </c>
      <c r="H38" s="50"/>
      <c r="I38" s="50"/>
      <c r="J38" s="7" t="str">
        <f aca="true">IF(I38="✓","done",IF(TODAY()&lt;B38,"upcoming",IF(TODAY()&lt;G38,"open","due — check scores")))</f>
        <v>upcoming</v>
      </c>
      <c r="K38" s="51"/>
    </row>
    <row r="39" customFormat="false" ht="15" hidden="false" customHeight="false" outlineLevel="0" collapsed="false">
      <c r="A39" s="47" t="n">
        <v>35</v>
      </c>
      <c r="B39" s="48" t="n">
        <v>46374</v>
      </c>
      <c r="C39" s="49" t="s">
        <v>775</v>
      </c>
      <c r="D39" s="6" t="s">
        <v>776</v>
      </c>
      <c r="E39" s="7" t="s">
        <v>777</v>
      </c>
      <c r="F39" s="47" t="n">
        <v>67</v>
      </c>
      <c r="G39" s="48" t="n">
        <v>46393</v>
      </c>
      <c r="H39" s="50"/>
      <c r="I39" s="50"/>
      <c r="J39" s="7" t="str">
        <f aca="true">IF(I39="✓","done",IF(TODAY()&lt;B39,"upcoming",IF(TODAY()&lt;G39,"open","due — check scores")))</f>
        <v>upcoming</v>
      </c>
      <c r="K39" s="51"/>
    </row>
    <row r="40" customFormat="false" ht="15" hidden="false" customHeight="false" outlineLevel="0" collapsed="false">
      <c r="A40" s="47" t="n">
        <v>36</v>
      </c>
      <c r="B40" s="48" t="n">
        <v>46393</v>
      </c>
      <c r="C40" s="49" t="s">
        <v>778</v>
      </c>
      <c r="D40" s="6" t="s">
        <v>779</v>
      </c>
      <c r="E40" s="7" t="s">
        <v>780</v>
      </c>
      <c r="F40" s="47" t="n">
        <v>67</v>
      </c>
      <c r="G40" s="48" t="n">
        <v>46394</v>
      </c>
      <c r="H40" s="50"/>
      <c r="I40" s="50"/>
      <c r="J40" s="7" t="str">
        <f aca="true">IF(I40="✓","done",IF(TODAY()&lt;B40,"upcoming",IF(TODAY()&lt;G40,"open","due — check scores")))</f>
        <v>upcoming</v>
      </c>
      <c r="K40" s="51"/>
    </row>
    <row r="41" customFormat="false" ht="15" hidden="false" customHeight="false" outlineLevel="0" collapsed="false">
      <c r="A41" s="47" t="n">
        <v>37</v>
      </c>
      <c r="B41" s="48" t="n">
        <v>46394</v>
      </c>
      <c r="C41" s="49" t="s">
        <v>781</v>
      </c>
      <c r="D41" s="6" t="s">
        <v>782</v>
      </c>
      <c r="E41" s="7" t="s">
        <v>783</v>
      </c>
      <c r="F41" s="47" t="n">
        <v>67</v>
      </c>
      <c r="G41" s="48" t="n">
        <v>46395</v>
      </c>
      <c r="H41" s="50"/>
      <c r="I41" s="50"/>
      <c r="J41" s="7" t="str">
        <f aca="true">IF(I41="✓","done",IF(TODAY()&lt;B41,"upcoming",IF(TODAY()&lt;G41,"open","due — check scores")))</f>
        <v>upcoming</v>
      </c>
      <c r="K41" s="51"/>
    </row>
    <row r="42" customFormat="false" ht="23.85" hidden="false" customHeight="false" outlineLevel="0" collapsed="false">
      <c r="A42" s="47" t="n">
        <v>38</v>
      </c>
      <c r="B42" s="48" t="n">
        <v>46395</v>
      </c>
      <c r="C42" s="49" t="s">
        <v>784</v>
      </c>
      <c r="D42" s="6" t="s">
        <v>785</v>
      </c>
      <c r="E42" s="7" t="s">
        <v>786</v>
      </c>
      <c r="F42" s="47" t="n">
        <v>67</v>
      </c>
      <c r="G42" s="48" t="n">
        <v>46398</v>
      </c>
      <c r="H42" s="50"/>
      <c r="I42" s="50"/>
      <c r="J42" s="7" t="str">
        <f aca="true">IF(I42="✓","done",IF(TODAY()&lt;B42,"upcoming",IF(TODAY()&lt;G42,"open","due — check scores")))</f>
        <v>upcoming</v>
      </c>
      <c r="K42" s="51"/>
    </row>
    <row r="43" customFormat="false" ht="23.85" hidden="false" customHeight="false" outlineLevel="0" collapsed="false">
      <c r="A43" s="47" t="n">
        <v>39</v>
      </c>
      <c r="B43" s="48" t="n">
        <v>46398</v>
      </c>
      <c r="C43" s="49" t="s">
        <v>787</v>
      </c>
      <c r="D43" s="6" t="s">
        <v>788</v>
      </c>
      <c r="E43" s="7" t="s">
        <v>789</v>
      </c>
      <c r="F43" s="47" t="n">
        <v>67</v>
      </c>
      <c r="G43" s="48" t="n">
        <v>46399</v>
      </c>
      <c r="H43" s="50"/>
      <c r="I43" s="50"/>
      <c r="J43" s="7" t="str">
        <f aca="true">IF(I43="✓","done",IF(TODAY()&lt;B43,"upcoming",IF(TODAY()&lt;G43,"open","due — check scores")))</f>
        <v>upcoming</v>
      </c>
      <c r="K43" s="51"/>
    </row>
    <row r="44" customFormat="false" ht="15" hidden="false" customHeight="false" outlineLevel="0" collapsed="false">
      <c r="A44" s="47" t="n">
        <v>40</v>
      </c>
      <c r="B44" s="48" t="n">
        <v>46399</v>
      </c>
      <c r="C44" s="49" t="s">
        <v>790</v>
      </c>
      <c r="D44" s="6" t="s">
        <v>791</v>
      </c>
      <c r="E44" s="7" t="s">
        <v>792</v>
      </c>
      <c r="F44" s="47" t="n">
        <v>67</v>
      </c>
      <c r="G44" s="48" t="n">
        <v>46400</v>
      </c>
      <c r="H44" s="50"/>
      <c r="I44" s="50"/>
      <c r="J44" s="7" t="str">
        <f aca="true">IF(I44="✓","done",IF(TODAY()&lt;B44,"upcoming",IF(TODAY()&lt;G44,"open","due — check scores")))</f>
        <v>upcoming</v>
      </c>
      <c r="K44" s="51"/>
    </row>
    <row r="45" customFormat="false" ht="57.45" hidden="false" customHeight="false" outlineLevel="0" collapsed="false">
      <c r="A45" s="47" t="n">
        <v>41</v>
      </c>
      <c r="B45" s="48" t="n">
        <v>46412</v>
      </c>
      <c r="C45" s="49" t="s">
        <v>793</v>
      </c>
      <c r="D45" s="6" t="s">
        <v>794</v>
      </c>
      <c r="E45" s="7" t="s">
        <v>795</v>
      </c>
      <c r="F45" s="47" t="n">
        <v>67</v>
      </c>
      <c r="G45" s="48" t="n">
        <v>46413</v>
      </c>
      <c r="H45" s="50"/>
      <c r="I45" s="50"/>
      <c r="J45" s="7" t="str">
        <f aca="true">IF(I45="✓","done",IF(TODAY()&lt;B45,"upcoming",IF(TODAY()&lt;G45,"open","due — check scores")))</f>
        <v>upcoming</v>
      </c>
      <c r="K45" s="51"/>
    </row>
    <row r="46" customFormat="false" ht="23.85" hidden="false" customHeight="false" outlineLevel="0" collapsed="false">
      <c r="A46" s="47" t="n">
        <v>42</v>
      </c>
      <c r="B46" s="48" t="n">
        <v>46413</v>
      </c>
      <c r="C46" s="49" t="s">
        <v>796</v>
      </c>
      <c r="D46" s="6" t="s">
        <v>797</v>
      </c>
      <c r="E46" s="7" t="s">
        <v>798</v>
      </c>
      <c r="F46" s="47" t="n">
        <v>67</v>
      </c>
      <c r="G46" s="48" t="n">
        <v>46414</v>
      </c>
      <c r="H46" s="50"/>
      <c r="I46" s="50"/>
      <c r="J46" s="7" t="str">
        <f aca="true">IF(I46="✓","done",IF(TODAY()&lt;B46,"upcoming",IF(TODAY()&lt;G46,"open","due — check scores")))</f>
        <v>upcoming</v>
      </c>
      <c r="K46" s="51"/>
    </row>
    <row r="47" customFormat="false" ht="23.85" hidden="false" customHeight="false" outlineLevel="0" collapsed="false">
      <c r="A47" s="47" t="n">
        <v>43</v>
      </c>
      <c r="B47" s="48" t="n">
        <v>46414</v>
      </c>
      <c r="C47" s="49" t="s">
        <v>799</v>
      </c>
      <c r="D47" s="6" t="s">
        <v>800</v>
      </c>
      <c r="E47" s="7" t="s">
        <v>801</v>
      </c>
      <c r="F47" s="47" t="n">
        <v>67</v>
      </c>
      <c r="G47" s="48" t="n">
        <v>46415</v>
      </c>
      <c r="H47" s="50"/>
      <c r="I47" s="50"/>
      <c r="J47" s="7" t="str">
        <f aca="true">IF(I47="✓","done",IF(TODAY()&lt;B47,"upcoming",IF(TODAY()&lt;G47,"open","due — check scores")))</f>
        <v>upcoming</v>
      </c>
      <c r="K47" s="51"/>
    </row>
    <row r="48" customFormat="false" ht="46.25" hidden="false" customHeight="false" outlineLevel="0" collapsed="false">
      <c r="A48" s="47" t="n">
        <v>44</v>
      </c>
      <c r="B48" s="48" t="n">
        <v>46415</v>
      </c>
      <c r="C48" s="49" t="s">
        <v>802</v>
      </c>
      <c r="D48" s="6" t="s">
        <v>803</v>
      </c>
      <c r="E48" s="7" t="s">
        <v>804</v>
      </c>
      <c r="F48" s="47" t="n">
        <v>67</v>
      </c>
      <c r="G48" s="48" t="n">
        <v>46416</v>
      </c>
      <c r="H48" s="50"/>
      <c r="I48" s="50"/>
      <c r="J48" s="7" t="str">
        <f aca="true">IF(I48="✓","done",IF(TODAY()&lt;B48,"upcoming",IF(TODAY()&lt;G48,"open","due — check scores")))</f>
        <v>upcoming</v>
      </c>
      <c r="K48" s="51"/>
    </row>
    <row r="49" customFormat="false" ht="35.05" hidden="false" customHeight="false" outlineLevel="0" collapsed="false">
      <c r="A49" s="47" t="n">
        <v>45</v>
      </c>
      <c r="B49" s="48" t="n">
        <v>46416</v>
      </c>
      <c r="C49" s="49" t="s">
        <v>805</v>
      </c>
      <c r="D49" s="6" t="s">
        <v>806</v>
      </c>
      <c r="E49" s="7" t="s">
        <v>807</v>
      </c>
      <c r="F49" s="47" t="n">
        <v>67</v>
      </c>
      <c r="G49" s="48" t="n">
        <v>46419</v>
      </c>
      <c r="H49" s="50"/>
      <c r="I49" s="50"/>
      <c r="J49" s="7" t="str">
        <f aca="true">IF(I49="✓","done",IF(TODAY()&lt;B49,"upcoming",IF(TODAY()&lt;G49,"open","due — check scores")))</f>
        <v>upcoming</v>
      </c>
      <c r="K49" s="51"/>
    </row>
    <row r="50" customFormat="false" ht="23.85" hidden="false" customHeight="false" outlineLevel="0" collapsed="false">
      <c r="A50" s="47" t="n">
        <v>46</v>
      </c>
      <c r="B50" s="48" t="n">
        <v>46419</v>
      </c>
      <c r="C50" s="49" t="s">
        <v>808</v>
      </c>
      <c r="D50" s="6" t="s">
        <v>809</v>
      </c>
      <c r="E50" s="7" t="s">
        <v>810</v>
      </c>
      <c r="F50" s="47" t="n">
        <v>67</v>
      </c>
      <c r="G50" s="48" t="n">
        <v>46420</v>
      </c>
      <c r="H50" s="50"/>
      <c r="I50" s="50"/>
      <c r="J50" s="7" t="str">
        <f aca="true">IF(I50="✓","done",IF(TODAY()&lt;B50,"upcoming",IF(TODAY()&lt;G50,"open","due — check scores")))</f>
        <v>upcoming</v>
      </c>
      <c r="K50" s="51"/>
    </row>
    <row r="51" customFormat="false" ht="35.05" hidden="false" customHeight="false" outlineLevel="0" collapsed="false">
      <c r="A51" s="47" t="n">
        <v>47</v>
      </c>
      <c r="B51" s="48" t="n">
        <v>46420</v>
      </c>
      <c r="C51" s="49" t="s">
        <v>811</v>
      </c>
      <c r="D51" s="6" t="s">
        <v>812</v>
      </c>
      <c r="E51" s="7" t="s">
        <v>813</v>
      </c>
      <c r="F51" s="47" t="n">
        <v>67</v>
      </c>
      <c r="G51" s="48" t="n">
        <v>46421</v>
      </c>
      <c r="H51" s="50"/>
      <c r="I51" s="50"/>
      <c r="J51" s="7" t="str">
        <f aca="true">IF(I51="✓","done",IF(TODAY()&lt;B51,"upcoming",IF(TODAY()&lt;G51,"open","due — check scores")))</f>
        <v>upcoming</v>
      </c>
      <c r="K51" s="51"/>
    </row>
    <row r="52" customFormat="false" ht="15" hidden="false" customHeight="false" outlineLevel="0" collapsed="false">
      <c r="A52" s="47" t="n">
        <v>48</v>
      </c>
      <c r="B52" s="48" t="n">
        <v>46421</v>
      </c>
      <c r="C52" s="49" t="s">
        <v>814</v>
      </c>
      <c r="D52" s="6" t="s">
        <v>815</v>
      </c>
      <c r="E52" s="7" t="s">
        <v>816</v>
      </c>
      <c r="F52" s="47" t="n">
        <v>67</v>
      </c>
      <c r="G52" s="48" t="n">
        <v>46422</v>
      </c>
      <c r="H52" s="50"/>
      <c r="I52" s="50"/>
      <c r="J52" s="7" t="str">
        <f aca="true">IF(I52="✓","done",IF(TODAY()&lt;B52,"upcoming",IF(TODAY()&lt;G52,"open","due — check scores")))</f>
        <v>upcoming</v>
      </c>
      <c r="K52" s="51"/>
    </row>
    <row r="53" customFormat="false" ht="35.05" hidden="false" customHeight="false" outlineLevel="0" collapsed="false">
      <c r="A53" s="47" t="n">
        <v>49</v>
      </c>
      <c r="B53" s="48" t="n">
        <v>46426</v>
      </c>
      <c r="C53" s="49" t="s">
        <v>817</v>
      </c>
      <c r="D53" s="6" t="s">
        <v>818</v>
      </c>
      <c r="E53" s="7" t="s">
        <v>819</v>
      </c>
      <c r="F53" s="47" t="n">
        <v>67</v>
      </c>
      <c r="G53" s="48" t="n">
        <v>46427</v>
      </c>
      <c r="H53" s="50"/>
      <c r="I53" s="50"/>
      <c r="J53" s="7" t="str">
        <f aca="true">IF(I53="✓","done",IF(TODAY()&lt;B53,"upcoming",IF(TODAY()&lt;G53,"open","due — check scores")))</f>
        <v>upcoming</v>
      </c>
      <c r="K53" s="51"/>
    </row>
    <row r="54" customFormat="false" ht="15" hidden="false" customHeight="false" outlineLevel="0" collapsed="false">
      <c r="A54" s="47" t="n">
        <v>50</v>
      </c>
      <c r="B54" s="48" t="n">
        <v>46427</v>
      </c>
      <c r="C54" s="49" t="s">
        <v>820</v>
      </c>
      <c r="D54" s="6" t="s">
        <v>821</v>
      </c>
      <c r="E54" s="7" t="s">
        <v>822</v>
      </c>
      <c r="F54" s="47" t="n">
        <v>67</v>
      </c>
      <c r="G54" s="48" t="n">
        <v>46428</v>
      </c>
      <c r="H54" s="50"/>
      <c r="I54" s="50"/>
      <c r="J54" s="7" t="str">
        <f aca="true">IF(I54="✓","done",IF(TODAY()&lt;B54,"upcoming",IF(TODAY()&lt;G54,"open","due — check scores")))</f>
        <v>upcoming</v>
      </c>
      <c r="K54" s="51"/>
    </row>
    <row r="55" customFormat="false" ht="23.85" hidden="false" customHeight="false" outlineLevel="0" collapsed="false">
      <c r="A55" s="47" t="n">
        <v>51</v>
      </c>
      <c r="B55" s="48" t="n">
        <v>46428</v>
      </c>
      <c r="C55" s="49" t="s">
        <v>823</v>
      </c>
      <c r="D55" s="6" t="s">
        <v>824</v>
      </c>
      <c r="E55" s="7" t="s">
        <v>825</v>
      </c>
      <c r="F55" s="47" t="n">
        <v>67</v>
      </c>
      <c r="G55" s="48" t="n">
        <v>46429</v>
      </c>
      <c r="H55" s="50"/>
      <c r="I55" s="50"/>
      <c r="J55" s="7" t="str">
        <f aca="true">IF(I55="✓","done",IF(TODAY()&lt;B55,"upcoming",IF(TODAY()&lt;G55,"open","due — check scores")))</f>
        <v>upcoming</v>
      </c>
      <c r="K55" s="51"/>
    </row>
    <row r="56" customFormat="false" ht="23.85" hidden="false" customHeight="false" outlineLevel="0" collapsed="false">
      <c r="A56" s="47" t="n">
        <v>52</v>
      </c>
      <c r="B56" s="48" t="n">
        <v>46429</v>
      </c>
      <c r="C56" s="49" t="s">
        <v>826</v>
      </c>
      <c r="D56" s="6" t="s">
        <v>827</v>
      </c>
      <c r="E56" s="7" t="s">
        <v>828</v>
      </c>
      <c r="F56" s="47" t="n">
        <v>67</v>
      </c>
      <c r="G56" s="48" t="n">
        <v>46430</v>
      </c>
      <c r="H56" s="50"/>
      <c r="I56" s="50"/>
      <c r="J56" s="7" t="str">
        <f aca="true">IF(I56="✓","done",IF(TODAY()&lt;B56,"upcoming",IF(TODAY()&lt;G56,"open","due — check scores")))</f>
        <v>upcoming</v>
      </c>
      <c r="K56" s="51"/>
    </row>
    <row r="57" customFormat="false" ht="35.05" hidden="false" customHeight="false" outlineLevel="0" collapsed="false">
      <c r="A57" s="47" t="n">
        <v>53</v>
      </c>
      <c r="B57" s="48" t="n">
        <v>46430</v>
      </c>
      <c r="C57" s="49" t="s">
        <v>829</v>
      </c>
      <c r="D57" s="6" t="s">
        <v>830</v>
      </c>
      <c r="E57" s="7" t="s">
        <v>831</v>
      </c>
      <c r="F57" s="47" t="n">
        <v>67</v>
      </c>
      <c r="G57" s="48" t="n">
        <v>46434</v>
      </c>
      <c r="H57" s="50"/>
      <c r="I57" s="50"/>
      <c r="J57" s="7" t="str">
        <f aca="true">IF(I57="✓","done",IF(TODAY()&lt;B57,"upcoming",IF(TODAY()&lt;G57,"open","due — check scores")))</f>
        <v>upcoming</v>
      </c>
      <c r="K57" s="51"/>
    </row>
    <row r="58" customFormat="false" ht="23.85" hidden="false" customHeight="false" outlineLevel="0" collapsed="false">
      <c r="A58" s="47" t="n">
        <v>54</v>
      </c>
      <c r="B58" s="48" t="n">
        <v>46434</v>
      </c>
      <c r="C58" s="49" t="s">
        <v>832</v>
      </c>
      <c r="D58" s="6" t="s">
        <v>833</v>
      </c>
      <c r="E58" s="7" t="s">
        <v>834</v>
      </c>
      <c r="F58" s="47" t="n">
        <v>67</v>
      </c>
      <c r="G58" s="48" t="n">
        <v>46435</v>
      </c>
      <c r="H58" s="50"/>
      <c r="I58" s="50"/>
      <c r="J58" s="7" t="str">
        <f aca="true">IF(I58="✓","done",IF(TODAY()&lt;B58,"upcoming",IF(TODAY()&lt;G58,"open","due — check scores")))</f>
        <v>upcoming</v>
      </c>
      <c r="K58" s="51"/>
    </row>
    <row r="59" customFormat="false" ht="15" hidden="false" customHeight="false" outlineLevel="0" collapsed="false">
      <c r="A59" s="47" t="n">
        <v>55</v>
      </c>
      <c r="B59" s="48" t="n">
        <v>46435</v>
      </c>
      <c r="C59" s="49" t="s">
        <v>835</v>
      </c>
      <c r="D59" s="6" t="s">
        <v>836</v>
      </c>
      <c r="E59" s="7" t="s">
        <v>837</v>
      </c>
      <c r="F59" s="47" t="n">
        <v>67</v>
      </c>
      <c r="G59" s="48" t="n">
        <v>46436</v>
      </c>
      <c r="H59" s="50"/>
      <c r="I59" s="50"/>
      <c r="J59" s="7" t="str">
        <f aca="true">IF(I59="✓","done",IF(TODAY()&lt;B59,"upcoming",IF(TODAY()&lt;G59,"open","due — check scores")))</f>
        <v>upcoming</v>
      </c>
      <c r="K59" s="51"/>
    </row>
    <row r="60" customFormat="false" ht="23.85" hidden="false" customHeight="false" outlineLevel="0" collapsed="false">
      <c r="A60" s="47" t="n">
        <v>56</v>
      </c>
      <c r="B60" s="48" t="n">
        <v>46441</v>
      </c>
      <c r="C60" s="49" t="s">
        <v>838</v>
      </c>
      <c r="D60" s="6" t="s">
        <v>839</v>
      </c>
      <c r="E60" s="7" t="s">
        <v>840</v>
      </c>
      <c r="F60" s="47" t="n">
        <v>67</v>
      </c>
      <c r="G60" s="48" t="n">
        <v>46442</v>
      </c>
      <c r="H60" s="50"/>
      <c r="I60" s="50"/>
      <c r="J60" s="7" t="str">
        <f aca="true">IF(I60="✓","done",IF(TODAY()&lt;B60,"upcoming",IF(TODAY()&lt;G60,"open","due — check scores")))</f>
        <v>upcoming</v>
      </c>
      <c r="K60" s="51"/>
    </row>
    <row r="61" customFormat="false" ht="23.85" hidden="false" customHeight="false" outlineLevel="0" collapsed="false">
      <c r="A61" s="47" t="n">
        <v>57</v>
      </c>
      <c r="B61" s="48" t="n">
        <v>46442</v>
      </c>
      <c r="C61" s="49" t="s">
        <v>841</v>
      </c>
      <c r="D61" s="6" t="s">
        <v>842</v>
      </c>
      <c r="E61" s="7" t="s">
        <v>843</v>
      </c>
      <c r="F61" s="47" t="n">
        <v>67</v>
      </c>
      <c r="G61" s="48" t="n">
        <v>46443</v>
      </c>
      <c r="H61" s="50"/>
      <c r="I61" s="50"/>
      <c r="J61" s="7" t="str">
        <f aca="true">IF(I61="✓","done",IF(TODAY()&lt;B61,"upcoming",IF(TODAY()&lt;G61,"open","due — check scores")))</f>
        <v>upcoming</v>
      </c>
      <c r="K61" s="51"/>
    </row>
    <row r="62" customFormat="false" ht="15" hidden="false" customHeight="false" outlineLevel="0" collapsed="false">
      <c r="A62" s="47" t="n">
        <v>58</v>
      </c>
      <c r="B62" s="48" t="n">
        <v>46443</v>
      </c>
      <c r="C62" s="49" t="s">
        <v>844</v>
      </c>
      <c r="D62" s="6" t="s">
        <v>845</v>
      </c>
      <c r="E62" s="7" t="s">
        <v>846</v>
      </c>
      <c r="F62" s="47" t="n">
        <v>67</v>
      </c>
      <c r="G62" s="48" t="n">
        <v>46448</v>
      </c>
      <c r="H62" s="50"/>
      <c r="I62" s="50"/>
      <c r="J62" s="7" t="str">
        <f aca="true">IF(I62="✓","done",IF(TODAY()&lt;B62,"upcoming",IF(TODAY()&lt;G62,"open","due — check scores")))</f>
        <v>upcoming</v>
      </c>
      <c r="K62" s="51"/>
    </row>
    <row r="63" customFormat="false" ht="23.85" hidden="false" customHeight="false" outlineLevel="0" collapsed="false">
      <c r="A63" s="47" t="n">
        <v>59</v>
      </c>
      <c r="B63" s="48" t="n">
        <v>46448</v>
      </c>
      <c r="C63" s="49" t="s">
        <v>847</v>
      </c>
      <c r="D63" s="6" t="s">
        <v>848</v>
      </c>
      <c r="E63" s="7" t="s">
        <v>849</v>
      </c>
      <c r="F63" s="47" t="n">
        <v>67</v>
      </c>
      <c r="G63" s="48" t="n">
        <v>46449</v>
      </c>
      <c r="H63" s="50"/>
      <c r="I63" s="50"/>
      <c r="J63" s="7" t="str">
        <f aca="true">IF(I63="✓","done",IF(TODAY()&lt;B63,"upcoming",IF(TODAY()&lt;G63,"open","due — check scores")))</f>
        <v>upcoming</v>
      </c>
      <c r="K63" s="51"/>
    </row>
    <row r="64" customFormat="false" ht="23.85" hidden="false" customHeight="false" outlineLevel="0" collapsed="false">
      <c r="A64" s="47" t="n">
        <v>60</v>
      </c>
      <c r="B64" s="48" t="n">
        <v>46449</v>
      </c>
      <c r="C64" s="49" t="s">
        <v>850</v>
      </c>
      <c r="D64" s="6" t="s">
        <v>851</v>
      </c>
      <c r="E64" s="7" t="s">
        <v>852</v>
      </c>
      <c r="F64" s="47" t="n">
        <v>67</v>
      </c>
      <c r="G64" s="48" t="n">
        <v>46450</v>
      </c>
      <c r="H64" s="50"/>
      <c r="I64" s="50"/>
      <c r="J64" s="7" t="str">
        <f aca="true">IF(I64="✓","done",IF(TODAY()&lt;B64,"upcoming",IF(TODAY()&lt;G64,"open","due — check scores")))</f>
        <v>upcoming</v>
      </c>
      <c r="K64" s="51"/>
    </row>
    <row r="65" customFormat="false" ht="35.05" hidden="false" customHeight="false" outlineLevel="0" collapsed="false">
      <c r="A65" s="47" t="n">
        <v>61</v>
      </c>
      <c r="B65" s="48" t="n">
        <v>46457</v>
      </c>
      <c r="C65" s="49" t="s">
        <v>853</v>
      </c>
      <c r="D65" s="6" t="s">
        <v>854</v>
      </c>
      <c r="E65" s="7" t="s">
        <v>855</v>
      </c>
      <c r="F65" s="47" t="n">
        <v>67</v>
      </c>
      <c r="G65" s="48" t="n">
        <v>46458</v>
      </c>
      <c r="H65" s="50"/>
      <c r="I65" s="50"/>
      <c r="J65" s="7" t="str">
        <f aca="true">IF(I65="✓","done",IF(TODAY()&lt;B65,"upcoming",IF(TODAY()&lt;G65,"open","due — check scores")))</f>
        <v>upcoming</v>
      </c>
      <c r="K65" s="51"/>
    </row>
    <row r="66" customFormat="false" ht="15" hidden="false" customHeight="false" outlineLevel="0" collapsed="false">
      <c r="A66" s="47" t="n">
        <v>62</v>
      </c>
      <c r="B66" s="48" t="n">
        <v>46458</v>
      </c>
      <c r="C66" s="49" t="s">
        <v>856</v>
      </c>
      <c r="D66" s="6" t="s">
        <v>857</v>
      </c>
      <c r="E66" s="7" t="s">
        <v>858</v>
      </c>
      <c r="F66" s="47" t="n">
        <v>67</v>
      </c>
      <c r="G66" s="48" t="n">
        <v>46461</v>
      </c>
      <c r="H66" s="50"/>
      <c r="I66" s="50"/>
      <c r="J66" s="7" t="str">
        <f aca="true">IF(I66="✓","done",IF(TODAY()&lt;B66,"upcoming",IF(TODAY()&lt;G66,"open","due — check scores")))</f>
        <v>upcoming</v>
      </c>
      <c r="K66" s="51"/>
    </row>
    <row r="67" customFormat="false" ht="23.85" hidden="false" customHeight="false" outlineLevel="0" collapsed="false">
      <c r="A67" s="47" t="n">
        <v>63</v>
      </c>
      <c r="B67" s="48" t="n">
        <v>46461</v>
      </c>
      <c r="C67" s="49" t="s">
        <v>859</v>
      </c>
      <c r="D67" s="6" t="s">
        <v>860</v>
      </c>
      <c r="E67" s="7" t="s">
        <v>861</v>
      </c>
      <c r="F67" s="47" t="n">
        <v>67</v>
      </c>
      <c r="G67" s="48" t="n">
        <v>46462</v>
      </c>
      <c r="H67" s="50"/>
      <c r="I67" s="50"/>
      <c r="J67" s="7" t="str">
        <f aca="true">IF(I67="✓","done",IF(TODAY()&lt;B67,"upcoming",IF(TODAY()&lt;G67,"open","due — check scores")))</f>
        <v>upcoming</v>
      </c>
      <c r="K67" s="51"/>
    </row>
    <row r="68" customFormat="false" ht="23.85" hidden="false" customHeight="false" outlineLevel="0" collapsed="false">
      <c r="A68" s="47" t="n">
        <v>64</v>
      </c>
      <c r="B68" s="48" t="n">
        <v>46462</v>
      </c>
      <c r="C68" s="49" t="s">
        <v>862</v>
      </c>
      <c r="D68" s="6" t="s">
        <v>863</v>
      </c>
      <c r="E68" s="7" t="s">
        <v>864</v>
      </c>
      <c r="F68" s="47" t="n">
        <v>67</v>
      </c>
      <c r="G68" s="48" t="n">
        <v>46463</v>
      </c>
      <c r="H68" s="50"/>
      <c r="I68" s="50"/>
      <c r="J68" s="7" t="str">
        <f aca="true">IF(I68="✓","done",IF(TODAY()&lt;B68,"upcoming",IF(TODAY()&lt;G68,"open","due — check scores")))</f>
        <v>upcoming</v>
      </c>
      <c r="K68" s="51"/>
    </row>
    <row r="69" customFormat="false" ht="23.85" hidden="false" customHeight="false" outlineLevel="0" collapsed="false">
      <c r="A69" s="47" t="n">
        <v>65</v>
      </c>
      <c r="B69" s="48" t="n">
        <v>46463</v>
      </c>
      <c r="C69" s="49" t="s">
        <v>865</v>
      </c>
      <c r="D69" s="6" t="s">
        <v>866</v>
      </c>
      <c r="E69" s="7" t="s">
        <v>867</v>
      </c>
      <c r="F69" s="47" t="n">
        <v>67</v>
      </c>
      <c r="G69" s="48" t="n">
        <v>46464</v>
      </c>
      <c r="H69" s="50"/>
      <c r="I69" s="50"/>
      <c r="J69" s="7" t="str">
        <f aca="true">IF(I69="✓","done",IF(TODAY()&lt;B69,"upcoming",IF(TODAY()&lt;G69,"open","due — check scores")))</f>
        <v>upcoming</v>
      </c>
      <c r="K69" s="51"/>
    </row>
    <row r="70" customFormat="false" ht="23.85" hidden="false" customHeight="false" outlineLevel="0" collapsed="false">
      <c r="A70" s="47" t="n">
        <v>66</v>
      </c>
      <c r="B70" s="48" t="n">
        <v>46464</v>
      </c>
      <c r="C70" s="49" t="s">
        <v>868</v>
      </c>
      <c r="D70" s="6" t="s">
        <v>869</v>
      </c>
      <c r="E70" s="7" t="s">
        <v>870</v>
      </c>
      <c r="F70" s="47" t="n">
        <v>67</v>
      </c>
      <c r="G70" s="48" t="n">
        <v>46465</v>
      </c>
      <c r="H70" s="50"/>
      <c r="I70" s="50"/>
      <c r="J70" s="7" t="str">
        <f aca="true">IF(I70="✓","done",IF(TODAY()&lt;B70,"upcoming",IF(TODAY()&lt;G70,"open","due — check scores")))</f>
        <v>upcoming</v>
      </c>
      <c r="K70" s="51"/>
    </row>
    <row r="71" customFormat="false" ht="23.85" hidden="false" customHeight="false" outlineLevel="0" collapsed="false">
      <c r="A71" s="47" t="n">
        <v>67</v>
      </c>
      <c r="B71" s="48" t="n">
        <v>46465</v>
      </c>
      <c r="C71" s="49" t="s">
        <v>871</v>
      </c>
      <c r="D71" s="6" t="s">
        <v>872</v>
      </c>
      <c r="E71" s="7" t="s">
        <v>873</v>
      </c>
      <c r="F71" s="47" t="n">
        <v>67</v>
      </c>
      <c r="G71" s="48" t="n">
        <v>46475</v>
      </c>
      <c r="H71" s="50"/>
      <c r="I71" s="50"/>
      <c r="J71" s="7" t="str">
        <f aca="true">IF(I71="✓","done",IF(TODAY()&lt;B71,"upcoming",IF(TODAY()&lt;G71,"open","due — check scores")))</f>
        <v>upcoming</v>
      </c>
      <c r="K71" s="51"/>
    </row>
    <row r="72" customFormat="false" ht="46.25" hidden="false" customHeight="false" outlineLevel="0" collapsed="false">
      <c r="A72" s="47" t="n">
        <v>68</v>
      </c>
      <c r="B72" s="48" t="n">
        <v>46477</v>
      </c>
      <c r="C72" s="49" t="s">
        <v>874</v>
      </c>
      <c r="D72" s="6" t="s">
        <v>875</v>
      </c>
      <c r="E72" s="7" t="s">
        <v>876</v>
      </c>
      <c r="F72" s="47" t="n">
        <v>67</v>
      </c>
      <c r="G72" s="48" t="n">
        <v>46478</v>
      </c>
      <c r="H72" s="50"/>
      <c r="I72" s="50"/>
      <c r="J72" s="7" t="str">
        <f aca="true">IF(I72="✓","done",IF(TODAY()&lt;B72,"upcoming",IF(TODAY()&lt;G72,"open","due — check scores")))</f>
        <v>upcoming</v>
      </c>
      <c r="K72" s="51"/>
    </row>
    <row r="73" customFormat="false" ht="23.85" hidden="false" customHeight="false" outlineLevel="0" collapsed="false">
      <c r="A73" s="47" t="n">
        <v>69</v>
      </c>
      <c r="B73" s="48" t="n">
        <v>46478</v>
      </c>
      <c r="C73" s="49" t="s">
        <v>877</v>
      </c>
      <c r="D73" s="6" t="s">
        <v>878</v>
      </c>
      <c r="E73" s="7" t="s">
        <v>879</v>
      </c>
      <c r="F73" s="47" t="n">
        <v>67</v>
      </c>
      <c r="G73" s="48" t="n">
        <v>46479</v>
      </c>
      <c r="H73" s="50"/>
      <c r="I73" s="50"/>
      <c r="J73" s="7" t="str">
        <f aca="true">IF(I73="✓","done",IF(TODAY()&lt;B73,"upcoming",IF(TODAY()&lt;G73,"open","due — check scores")))</f>
        <v>upcoming</v>
      </c>
      <c r="K73" s="51"/>
    </row>
    <row r="74" customFormat="false" ht="15" hidden="false" customHeight="false" outlineLevel="0" collapsed="false">
      <c r="A74" s="47" t="n">
        <v>70</v>
      </c>
      <c r="B74" s="48" t="n">
        <v>46479</v>
      </c>
      <c r="C74" s="49" t="s">
        <v>880</v>
      </c>
      <c r="D74" s="6" t="s">
        <v>881</v>
      </c>
      <c r="E74" s="7" t="s">
        <v>882</v>
      </c>
      <c r="F74" s="47" t="n">
        <v>67</v>
      </c>
      <c r="G74" s="48" t="n">
        <v>46482</v>
      </c>
      <c r="H74" s="50"/>
      <c r="I74" s="50"/>
      <c r="J74" s="7" t="str">
        <f aca="true">IF(I74="✓","done",IF(TODAY()&lt;B74,"upcoming",IF(TODAY()&lt;G74,"open","due — check scores")))</f>
        <v>upcoming</v>
      </c>
      <c r="K74" s="51"/>
    </row>
    <row r="75" customFormat="false" ht="23.85" hidden="false" customHeight="false" outlineLevel="0" collapsed="false">
      <c r="A75" s="47" t="n">
        <v>71</v>
      </c>
      <c r="B75" s="48" t="n">
        <v>46484</v>
      </c>
      <c r="C75" s="49" t="s">
        <v>883</v>
      </c>
      <c r="D75" s="6" t="s">
        <v>884</v>
      </c>
      <c r="E75" s="7" t="s">
        <v>885</v>
      </c>
      <c r="F75" s="47" t="n">
        <v>67</v>
      </c>
      <c r="G75" s="48" t="n">
        <v>46485</v>
      </c>
      <c r="H75" s="50"/>
      <c r="I75" s="50"/>
      <c r="J75" s="7" t="str">
        <f aca="true">IF(I75="✓","done",IF(TODAY()&lt;B75,"upcoming",IF(TODAY()&lt;G75,"open","due — check scores")))</f>
        <v>upcoming</v>
      </c>
      <c r="K75" s="51"/>
    </row>
    <row r="76" customFormat="false" ht="35.05" hidden="false" customHeight="false" outlineLevel="0" collapsed="false">
      <c r="A76" s="47" t="n">
        <v>72</v>
      </c>
      <c r="B76" s="48" t="n">
        <v>46485</v>
      </c>
      <c r="C76" s="49" t="s">
        <v>886</v>
      </c>
      <c r="D76" s="6" t="s">
        <v>887</v>
      </c>
      <c r="E76" s="7" t="s">
        <v>888</v>
      </c>
      <c r="F76" s="47" t="n">
        <v>67</v>
      </c>
      <c r="G76" s="48" t="n">
        <v>46486</v>
      </c>
      <c r="H76" s="50"/>
      <c r="I76" s="50"/>
      <c r="J76" s="7" t="str">
        <f aca="true">IF(I76="✓","done",IF(TODAY()&lt;B76,"upcoming",IF(TODAY()&lt;G76,"open","due — check scores")))</f>
        <v>upcoming</v>
      </c>
      <c r="K76" s="51"/>
    </row>
    <row r="77" customFormat="false" ht="23.85" hidden="false" customHeight="false" outlineLevel="0" collapsed="false">
      <c r="A77" s="47" t="n">
        <v>73</v>
      </c>
      <c r="B77" s="48" t="n">
        <v>46486</v>
      </c>
      <c r="C77" s="49" t="s">
        <v>889</v>
      </c>
      <c r="D77" s="6" t="s">
        <v>890</v>
      </c>
      <c r="E77" s="7" t="s">
        <v>891</v>
      </c>
      <c r="F77" s="47" t="n">
        <v>67</v>
      </c>
      <c r="G77" s="48" t="n">
        <v>46489</v>
      </c>
      <c r="H77" s="50"/>
      <c r="I77" s="50"/>
      <c r="J77" s="7" t="str">
        <f aca="true">IF(I77="✓","done",IF(TODAY()&lt;B77,"upcoming",IF(TODAY()&lt;G77,"open","due — check scores")))</f>
        <v>upcoming</v>
      </c>
      <c r="K77" s="51"/>
    </row>
    <row r="78" customFormat="false" ht="23.85" hidden="false" customHeight="false" outlineLevel="0" collapsed="false">
      <c r="A78" s="47" t="n">
        <v>74</v>
      </c>
      <c r="B78" s="48" t="n">
        <v>46489</v>
      </c>
      <c r="C78" s="49" t="s">
        <v>892</v>
      </c>
      <c r="D78" s="6" t="s">
        <v>893</v>
      </c>
      <c r="E78" s="7" t="s">
        <v>894</v>
      </c>
      <c r="F78" s="47" t="n">
        <v>67</v>
      </c>
      <c r="G78" s="48" t="n">
        <v>46490</v>
      </c>
      <c r="H78" s="50"/>
      <c r="I78" s="50"/>
      <c r="J78" s="7" t="str">
        <f aca="true">IF(I78="✓","done",IF(TODAY()&lt;B78,"upcoming",IF(TODAY()&lt;G78,"open","due — check scores")))</f>
        <v>upcoming</v>
      </c>
      <c r="K78" s="51"/>
    </row>
    <row r="79" customFormat="false" ht="15" hidden="false" customHeight="false" outlineLevel="0" collapsed="false">
      <c r="A79" s="47" t="n">
        <v>75</v>
      </c>
      <c r="B79" s="48" t="n">
        <v>46490</v>
      </c>
      <c r="C79" s="49" t="s">
        <v>895</v>
      </c>
      <c r="D79" s="6" t="s">
        <v>896</v>
      </c>
      <c r="E79" s="7" t="s">
        <v>897</v>
      </c>
      <c r="F79" s="47" t="n">
        <v>67</v>
      </c>
      <c r="G79" s="48" t="n">
        <v>46491</v>
      </c>
      <c r="H79" s="50"/>
      <c r="I79" s="50"/>
      <c r="J79" s="7" t="str">
        <f aca="true">IF(I79="✓","done",IF(TODAY()&lt;B79,"upcoming",IF(TODAY()&lt;G79,"open","due — check scores")))</f>
        <v>upcoming</v>
      </c>
      <c r="K79" s="51"/>
    </row>
    <row r="80" customFormat="false" ht="23.85" hidden="false" customHeight="false" outlineLevel="0" collapsed="false">
      <c r="A80" s="47" t="n">
        <v>76</v>
      </c>
      <c r="B80" s="48" t="n">
        <v>46491</v>
      </c>
      <c r="C80" s="49" t="s">
        <v>898</v>
      </c>
      <c r="D80" s="6" t="s">
        <v>899</v>
      </c>
      <c r="E80" s="7" t="s">
        <v>900</v>
      </c>
      <c r="F80" s="47" t="n">
        <v>67</v>
      </c>
      <c r="G80" s="48" t="n">
        <v>46492</v>
      </c>
      <c r="H80" s="50"/>
      <c r="I80" s="50"/>
      <c r="J80" s="7" t="str">
        <f aca="true">IF(I80="✓","done",IF(TODAY()&lt;B80,"upcoming",IF(TODAY()&lt;G80,"open","due — check scores")))</f>
        <v>upcoming</v>
      </c>
      <c r="K80" s="51"/>
    </row>
    <row r="81" customFormat="false" ht="23.85" hidden="false" customHeight="false" outlineLevel="0" collapsed="false">
      <c r="A81" s="47" t="n">
        <v>77</v>
      </c>
      <c r="B81" s="48" t="n">
        <v>46492</v>
      </c>
      <c r="C81" s="49" t="s">
        <v>901</v>
      </c>
      <c r="D81" s="6" t="s">
        <v>902</v>
      </c>
      <c r="E81" s="7" t="s">
        <v>903</v>
      </c>
      <c r="F81" s="47" t="n">
        <v>67</v>
      </c>
      <c r="G81" s="48" t="n">
        <v>46496</v>
      </c>
      <c r="H81" s="50"/>
      <c r="I81" s="50"/>
      <c r="J81" s="7" t="str">
        <f aca="true">IF(I81="✓","done",IF(TODAY()&lt;B81,"upcoming",IF(TODAY()&lt;G81,"open","due — check scores")))</f>
        <v>upcoming</v>
      </c>
      <c r="K81" s="51"/>
    </row>
    <row r="82" customFormat="false" ht="35.05" hidden="false" customHeight="false" outlineLevel="0" collapsed="false">
      <c r="A82" s="47" t="n">
        <v>78</v>
      </c>
      <c r="B82" s="48" t="n">
        <v>46496</v>
      </c>
      <c r="C82" s="49" t="s">
        <v>904</v>
      </c>
      <c r="D82" s="6" t="s">
        <v>905</v>
      </c>
      <c r="E82" s="7" t="s">
        <v>906</v>
      </c>
      <c r="F82" s="47" t="n">
        <v>67</v>
      </c>
      <c r="G82" s="48" t="n">
        <v>46497</v>
      </c>
      <c r="H82" s="50"/>
      <c r="I82" s="50"/>
      <c r="J82" s="7" t="str">
        <f aca="true">IF(I82="✓","done",IF(TODAY()&lt;B82,"upcoming",IF(TODAY()&lt;G82,"open","due — check scores")))</f>
        <v>upcoming</v>
      </c>
      <c r="K82" s="51"/>
    </row>
    <row r="83" customFormat="false" ht="57.45" hidden="false" customHeight="false" outlineLevel="0" collapsed="false">
      <c r="A83" s="47" t="n">
        <v>79</v>
      </c>
      <c r="B83" s="48" t="n">
        <v>46497</v>
      </c>
      <c r="C83" s="49" t="s">
        <v>907</v>
      </c>
      <c r="D83" s="6" t="s">
        <v>908</v>
      </c>
      <c r="E83" s="7" t="s">
        <v>909</v>
      </c>
      <c r="F83" s="47" t="n">
        <v>67</v>
      </c>
      <c r="G83" s="48" t="n">
        <v>46498</v>
      </c>
      <c r="H83" s="50"/>
      <c r="I83" s="50"/>
      <c r="J83" s="7" t="str">
        <f aca="true">IF(I83="✓","done",IF(TODAY()&lt;B83,"upcoming",IF(TODAY()&lt;G83,"open","due — check scores")))</f>
        <v>upcoming</v>
      </c>
      <c r="K83" s="51"/>
    </row>
    <row r="84" customFormat="false" ht="15" hidden="false" customHeight="false" outlineLevel="0" collapsed="false">
      <c r="A84" s="47" t="n">
        <v>80</v>
      </c>
      <c r="B84" s="48" t="n">
        <v>46498</v>
      </c>
      <c r="C84" s="49" t="s">
        <v>910</v>
      </c>
      <c r="D84" s="6" t="s">
        <v>911</v>
      </c>
      <c r="E84" s="7" t="s">
        <v>912</v>
      </c>
      <c r="F84" s="47" t="n">
        <v>67</v>
      </c>
      <c r="G84" s="48" t="n">
        <v>46499</v>
      </c>
      <c r="H84" s="50"/>
      <c r="I84" s="50"/>
      <c r="J84" s="7" t="str">
        <f aca="true">IF(I84="✓","done",IF(TODAY()&lt;B84,"upcoming",IF(TODAY()&lt;G84,"open","due — check scores")))</f>
        <v>upcoming</v>
      </c>
      <c r="K84" s="51"/>
    </row>
    <row r="85" customFormat="false" ht="35.05" hidden="false" customHeight="false" outlineLevel="0" collapsed="false">
      <c r="A85" s="47" t="n">
        <v>81</v>
      </c>
      <c r="B85" s="48" t="n">
        <v>46503</v>
      </c>
      <c r="C85" s="49" t="s">
        <v>913</v>
      </c>
      <c r="D85" s="6" t="s">
        <v>914</v>
      </c>
      <c r="E85" s="7" t="s">
        <v>915</v>
      </c>
      <c r="F85" s="47" t="n">
        <v>67</v>
      </c>
      <c r="G85" s="48" t="n">
        <v>46504</v>
      </c>
      <c r="H85" s="50"/>
      <c r="I85" s="50"/>
      <c r="J85" s="7" t="str">
        <f aca="true">IF(I85="✓","done",IF(TODAY()&lt;B85,"upcoming",IF(TODAY()&lt;G85,"open","due — check scores")))</f>
        <v>upcoming</v>
      </c>
      <c r="K85" s="51"/>
    </row>
    <row r="86" customFormat="false" ht="15" hidden="false" customHeight="false" outlineLevel="0" collapsed="false">
      <c r="A86" s="47" t="n">
        <v>82</v>
      </c>
      <c r="B86" s="48" t="n">
        <v>46504</v>
      </c>
      <c r="C86" s="49" t="s">
        <v>916</v>
      </c>
      <c r="D86" s="6" t="s">
        <v>917</v>
      </c>
      <c r="E86" s="7" t="s">
        <v>918</v>
      </c>
      <c r="F86" s="47" t="n">
        <v>67</v>
      </c>
      <c r="G86" s="48" t="n">
        <v>46505</v>
      </c>
      <c r="H86" s="50"/>
      <c r="I86" s="50"/>
      <c r="J86" s="7" t="str">
        <f aca="true">IF(I86="✓","done",IF(TODAY()&lt;B86,"upcoming",IF(TODAY()&lt;G86,"open","due — check scores")))</f>
        <v>upcoming</v>
      </c>
      <c r="K86" s="51"/>
    </row>
  </sheetData>
  <autoFilter ref="A4:K86"/>
  <mergeCells count="1">
    <mergeCell ref="A2:K2"/>
  </mergeCells>
  <conditionalFormatting sqref="J5:J86">
    <cfRule type="expression" priority="2" aboveAverage="0" equalAverage="0" bottom="0" percent="0" rank="0" text="" dxfId="10">
      <formula>$J5="done"</formula>
    </cfRule>
    <cfRule type="expression" priority="3" aboveAverage="0" equalAverage="0" bottom="0" percent="0" rank="0" text="" dxfId="11">
      <formula>$J5="due — check scores"</formula>
    </cfRule>
    <cfRule type="expression" priority="4" aboveAverage="0" equalAverage="0" bottom="0" percent="0" rank="0" text="" dxfId="12">
      <formula>$J5="open"</formula>
    </cfRule>
  </conditionalFormatting>
  <dataValidations count="1">
    <dataValidation allowBlank="true" errorStyle="stop" operator="between" showDropDown="false" showErrorMessage="false" showInputMessage="false" sqref="H5:I86" type="list">
      <formula1>"✓"</formula1>
      <formula2>0</formula2>
    </dataValidation>
  </dataValidations>
  <hyperlinks>
    <hyperlink ref="C5" location="'Scope &amp; Sequence'!D2" display="3.01 Product laws of exponents"/>
    <hyperlink ref="C6" location="'Scope &amp; Sequence'!D3" display="3.02 Quotient laws of exponents"/>
    <hyperlink ref="C7" location="'Scope &amp; Sequence'!D4" display="3.03 Exponential expressions"/>
    <hyperlink ref="C8" location="'Scope &amp; Sequence'!D5" display="3.04 Negative exponent law"/>
    <hyperlink ref="C9" location="'Scope &amp; Sequence'!D6" display="3.05 Applying exponent laws"/>
    <hyperlink ref="C10" location="'Scope &amp; Sequence'!D7" display="3.06+07 Evaluating and equivalent expressions with integer exponents"/>
    <hyperlink ref="C11" location="'Scope &amp; Sequence'!D10" display="T-A1 Thread A: the same laws with variable bases (14.1–14.2)"/>
    <hyperlink ref="C12" location="'Scope &amp; Sequence'!D11" display="T-A2 Thread A: negative exponents and multiple laws, variable bases (14.3–14.4)"/>
    <hyperlink ref="C13" location="'Scope &amp; Sequence'!D12" display="3.08 Large numbers in scientific notation"/>
    <hyperlink ref="C14" location="'Scope &amp; Sequence'!D14" display="3.09 Small numbers in scientific notation; how many times larger"/>
    <hyperlink ref="C15" location="'Scope &amp; Sequence'!D18" display="4.01 Add and subtract in scientific notation"/>
    <hyperlink ref="C16" location="'Scope &amp; Sequence'!D19" display="4.02+03 Multiply and divide in scientific notation"/>
    <hyperlink ref="C17" location="'Scope &amp; Sequence'!D20" display="4.04 Real-world scientific notation; significant digits"/>
    <hyperlink ref="C18" location="'Scope &amp; Sequence'!D21" display="4.05–4.06 (2 lessons) Expressions with radicals (perfect squares to 225, cubes −125 to 125)"/>
    <hyperlink ref="C19" location="'Scope &amp; Sequence'!D23" display="4.07+08 Real-world order-of-operations problems"/>
    <hyperlink ref="C20" location="'Scope &amp; Sequence'!D26" display="5.01 Scale drawings"/>
    <hyperlink ref="C21" location="'Scope &amp; Sequence'!D27" display="5.02+03 Scale factor: perimeter and area (k and k²)"/>
    <hyperlink ref="C22" location="'Scope &amp; Sequence'!D28" display="5.04 Real-world scale drawings"/>
    <hyperlink ref="C23" location="'Scope &amp; Sequence'!D29" display="5.06+07–5.08+09 (2 lessons) Converting length across systems; currency"/>
    <hyperlink ref="C24" location="'Scope &amp; Sequence'!D31" display="5.10+11 Multi-step proportion problems"/>
    <hyperlink ref="C25" location="'Scope &amp; Sequence'!D34" display="6.01+02 Triangle Inequality Theorem; converse of the Pythagorean Theorem"/>
    <hyperlink ref="C26" location="'Scope &amp; Sequence'!D35" display="6.03 Pythagorean Theorem (memorize)"/>
    <hyperlink ref="C27" location="'Scope &amp; Sequence'!D36" display="6.04 Pythagorean Theorem in real-world problems"/>
    <hyperlink ref="C28" location="'Scope &amp; Sequence'!D37" display="6.05 Distance on the coordinate plane"/>
    <hyperlink ref="C29" location="'Scope &amp; Sequence'!D38" display="6.06 Real-world coordinate-plane problems; perimeter"/>
    <hyperlink ref="C30" location="'Scope &amp; Sequence'!D39" display="T-B1 Thread B: angle pairs — supplementary, complementary, vertical, adjacent (16.1)"/>
    <hyperlink ref="C31" location="'Scope &amp; Sequence'!D40" display="T-B2 Thread B: interior and exterior angles of a triangle (16.2)"/>
    <hyperlink ref="C32" location="'Scope &amp; Sequence'!D41" display="6.07+08 Similar triangles; indirect measurement"/>
    <hyperlink ref="C33" location="'Scope &amp; Sequence'!D46" display="7.01 Graphing proportional relationships"/>
    <hyperlink ref="C34" location="'Scope &amp; Sequence'!D47" display="7.02+03 Constant of proportionality (table, graph, description)"/>
    <hyperlink ref="C35" location="'Scope &amp; Sequence'!D48" display="7.04 Is it proportional?"/>
    <hyperlink ref="C36" location="'Scope &amp; Sequence'!D49" display="7.05+06 Equations of proportional relationships; translating representations"/>
    <hyperlink ref="C37" location="'Scope &amp; Sequence'!D50" display="7.07 Comparing proportional relationships"/>
    <hyperlink ref="C38" location="'Scope &amp; Sequence'!D56" display="8.01+02 Circle relationships; circumference"/>
    <hyperlink ref="C39" location="'Scope &amp; Sequence'!D57" display="8.03 Radius and diameter from circumference"/>
    <hyperlink ref="C40" location="'Scope &amp; Sequence'!D58" display="8.04+05 Area of a circle"/>
    <hyperlink ref="C41" location="'Scope &amp; Sequence'!D59" display="8.06 Circumference and area problems; sectors"/>
    <hyperlink ref="C42" location="'Scope &amp; Sequence'!D60" display="8.08+09 Sectors and circle graphs"/>
    <hyperlink ref="C43" location="'Scope &amp; Sequence'!D61" display="9.01+02 Surface area of cylinders from nets"/>
    <hyperlink ref="C44" location="'Scope &amp; Sequence'!D62" display="9.03+04+05 Volume of cylinders; problems"/>
    <hyperlink ref="C45" location="'Scope &amp; Sequence'!D70" display="10.01 Proportional relationships revisited (linear ⇒ proportional?)"/>
    <hyperlink ref="C46" location="'Scope &amp; Sequence'!D71" display="10.02+03 Slope from two points, graphs, tables"/>
    <hyperlink ref="C47" location="'Scope &amp; Sequence'!D72" display="10.04 Slope in context"/>
    <hyperlink ref="C48" location="'Scope &amp; Sequence'!D73" display="10.05 Slope-intercept form; graph a line"/>
    <hyperlink ref="C49" location="'Scope &amp; Sequence'!D74" display="10.06 Graphing from tables and contexts"/>
    <hyperlink ref="C50" location="'Scope &amp; Sequence'!D75" display="10.07+08 Interpreting slope and intercept (graphs, equations, tables, descriptions; F↔C)"/>
    <hyperlink ref="C51" location="'Scope &amp; Sequence'!D76" display="10.09 Writing equations of lines"/>
    <hyperlink ref="C52" location="'Scope &amp; Sequence'!D77" display="10.10 Writing equations for contexts; lines of fit preview"/>
    <hyperlink ref="C53" location="'Scope &amp; Sequence'!D80" display="11.01 Equations with like terms and the distributive property"/>
    <hyperlink ref="C54" location="'Scope &amp; Sequence'!D81" display="11.02 Variables on both sides"/>
    <hyperlink ref="C55" location="'Scope &amp; Sequence'!D82" display="11.03 One, none, infinitely many solutions"/>
    <hyperlink ref="C56" location="'Scope &amp; Sequence'!D83" display="11.04 Multi-step equations"/>
    <hyperlink ref="C57" location="'Scope &amp; Sequence'!D84" display="11.05+06 Systems: which points are solutions; how many solutions"/>
    <hyperlink ref="C58" location="'Scope &amp; Sequence'!D85" display="11.07 Solving systems by graphing"/>
    <hyperlink ref="C59" location="'Scope &amp; Sequence'!D86" display="11.08 Systems in context (approximate solutions)"/>
    <hyperlink ref="C60" location="'Scope &amp; Sequence'!D90" display="12.01+02 Relations; domain and range"/>
    <hyperlink ref="C61" location="'Scope &amp; Sequence'!D91" display="12.03 Is it a function?"/>
    <hyperlink ref="C62" location="'Scope &amp; Sequence'!D92" display="12.04+05–12.06 (2 lessons) Describing graphs: increasing, decreasing, constant"/>
    <hyperlink ref="C63" location="'Scope &amp; Sequence'!D95" display="12.07 Functions from equations, tables, graphs"/>
    <hyperlink ref="C64" location="'Scope &amp; Sequence'!D96" display="12.08+09 Is it linear? (graphs, equations, tables)"/>
    <hyperlink ref="C65" location="'Scope &amp; Sequence'!D101" display="13.01+02+03 Choosing and creating displays (numerical, categorical)"/>
    <hyperlink ref="C66" location="'Scope &amp; Sequence'!D102" display="13.04+05 Bivariate data; line graphs"/>
    <hyperlink ref="C67" location="'Scope &amp; Sequence'!D103" display="13.06 Scatter plots and association"/>
    <hyperlink ref="C68" location="'Scope &amp; Sequence'!D104" display="13.07+08 Lines of fit; outliers"/>
    <hyperlink ref="C69" location="'Scope &amp; Sequence'!D105" display="13.09 Interpreting the equation of a line of fit"/>
    <hyperlink ref="C70" location="'Scope &amp; Sequence'!D106" display="T-C1 Thread C: sample spaces of repeated experiments (17.1)"/>
    <hyperlink ref="C71" location="'Scope &amp; Sequence'!D107" display="T-C2 Thread C: theoretical probability of repeated experiments (17.2–17.3)"/>
    <hyperlink ref="C72" location="'Scope &amp; Sequence'!D110" display="14.01–04 Exponent laws with variable bases — consolidation of Thread A"/>
    <hyperlink ref="C73" location="'Scope &amp; Sequence'!D111" display="14.05+06 Multiplying a monomial by a linear expression"/>
    <hyperlink ref="C74" location="'Scope &amp; Sequence'!D112" display="14.07+08 Factoring a common monomial"/>
    <hyperlink ref="C75" location="'Scope &amp; Sequence'!D115" display="15.01 Slides, flips, spins"/>
    <hyperlink ref="C76" location="'Scope &amp; Sequence'!D116" display="15.02+03 Reflections, rotations, translations — identify and describe"/>
    <hyperlink ref="C77" location="'Scope &amp; Sequence'!D117" display="15.03b Translations on the coordinate plane"/>
    <hyperlink ref="C78" location="'Scope &amp; Sequence'!D118" display="15.04 Reflections on the coordinate plane"/>
    <hyperlink ref="C79" location="'Scope &amp; Sequence'!D119" display="15.05 Rotations on the coordinate plane (about the origin)"/>
    <hyperlink ref="C80" location="'Scope &amp; Sequence'!D120" display="15.06 Describing rigid transformations; congruence"/>
    <hyperlink ref="C81" location="'Scope &amp; Sequence'!D121" display="15.07+09 Dilations and scale factor"/>
    <hyperlink ref="C82" location="'Scope &amp; Sequence'!D122" display="15.08 Dilations on the coordinate plane (centered at the origin)"/>
    <hyperlink ref="C83" location="'Scope &amp; Sequence'!D123" display="16.01+02 Angle relationships — consolidation of Thread B"/>
    <hyperlink ref="C84" location="'Scope &amp; Sequence'!D124" display="16.03+04 Interior angles of polygons"/>
    <hyperlink ref="C85" location="'Scope &amp; Sequence'!D127" display="17.01–03 Repeated experiments — consolidation of Thread C"/>
    <hyperlink ref="C86" location="'Scope &amp; Sequence'!D128" display="17.04–06 Predictions from theoretical probabilit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9"/>
    <col collapsed="false" customWidth="true" hidden="false" outlineLevel="0" max="3" min="3" style="0" width="60"/>
    <col collapsed="false" customWidth="true" hidden="false" outlineLevel="0" max="4" min="4" style="0" width="50"/>
    <col collapsed="false" customWidth="true" hidden="false" outlineLevel="0" max="5" min="5" style="0" width="8"/>
    <col collapsed="false" customWidth="true" hidden="false" outlineLevel="0" max="6" min="6" style="0" width="40"/>
    <col collapsed="false" customWidth="true" hidden="false" outlineLevel="0" max="8" min="7" style="0" width="12"/>
    <col collapsed="false" customWidth="true" hidden="false" outlineLevel="0" max="9" min="9" style="0" width="22"/>
    <col collapsed="false" customWidth="true" hidden="false" outlineLevel="0" max="10" min="10" style="0" width="10"/>
    <col collapsed="false" customWidth="true" hidden="false" outlineLevel="0" max="11" min="11" style="0" width="22"/>
  </cols>
  <sheetData>
    <row r="1" customFormat="false" ht="30" hidden="false" customHeight="true" outlineLevel="0" collapsed="false">
      <c r="A1" s="9" t="s">
        <v>6</v>
      </c>
      <c r="B1" s="9" t="s">
        <v>919</v>
      </c>
      <c r="C1" s="9" t="s">
        <v>920</v>
      </c>
      <c r="D1" s="9" t="s">
        <v>921</v>
      </c>
      <c r="E1" s="9" t="s">
        <v>922</v>
      </c>
      <c r="F1" s="9" t="s">
        <v>923</v>
      </c>
      <c r="G1" s="9" t="s">
        <v>924</v>
      </c>
      <c r="H1" s="9" t="s">
        <v>925</v>
      </c>
      <c r="I1" s="9" t="s">
        <v>926</v>
      </c>
      <c r="J1" s="9" t="s">
        <v>927</v>
      </c>
      <c r="K1" s="9" t="s">
        <v>928</v>
      </c>
    </row>
    <row r="2" customFormat="false" ht="46.25" hidden="false" customHeight="false" outlineLevel="0" collapsed="false">
      <c r="A2" s="5" t="s">
        <v>929</v>
      </c>
      <c r="B2" s="47" t="n">
        <v>7</v>
      </c>
      <c r="C2" s="6" t="s">
        <v>930</v>
      </c>
      <c r="D2" s="6" t="s">
        <v>931</v>
      </c>
      <c r="E2" s="47" t="s">
        <v>932</v>
      </c>
      <c r="F2" s="6" t="s">
        <v>933</v>
      </c>
      <c r="G2" s="52"/>
      <c r="H2" s="52"/>
      <c r="I2" s="6"/>
      <c r="J2" s="47" t="str">
        <f aca="false">IF(SUMIF('Unit tests'!$E:$E,A2,'Unit tests'!$C:$C)=0,"",SUMIF('Unit tests'!$E:$E,A2,'Unit tests'!$C:$C))</f>
        <v/>
      </c>
      <c r="K2" s="6"/>
    </row>
    <row r="3" customFormat="false" ht="35.05" hidden="false" customHeight="false" outlineLevel="0" collapsed="false">
      <c r="A3" s="5" t="s">
        <v>934</v>
      </c>
      <c r="B3" s="47" t="n">
        <v>7</v>
      </c>
      <c r="C3" s="6" t="s">
        <v>935</v>
      </c>
      <c r="D3" s="6" t="s">
        <v>936</v>
      </c>
      <c r="E3" s="47" t="s">
        <v>932</v>
      </c>
      <c r="F3" s="6" t="s">
        <v>933</v>
      </c>
      <c r="G3" s="52"/>
      <c r="H3" s="52"/>
      <c r="I3" s="6"/>
      <c r="J3" s="47" t="str">
        <f aca="false">IF(SUMIF('Unit tests'!$E:$E,A3,'Unit tests'!$C:$C)=0,"",SUMIF('Unit tests'!$E:$E,A3,'Unit tests'!$C:$C))</f>
        <v/>
      </c>
      <c r="K3" s="6"/>
    </row>
    <row r="4" customFormat="false" ht="35.05" hidden="false" customHeight="false" outlineLevel="0" collapsed="false">
      <c r="A4" s="5" t="s">
        <v>937</v>
      </c>
      <c r="B4" s="47" t="n">
        <v>8</v>
      </c>
      <c r="C4" s="6" t="s">
        <v>938</v>
      </c>
      <c r="D4" s="6" t="s">
        <v>939</v>
      </c>
      <c r="E4" s="47" t="s">
        <v>932</v>
      </c>
      <c r="F4" s="6" t="s">
        <v>933</v>
      </c>
      <c r="G4" s="52"/>
      <c r="H4" s="52"/>
      <c r="I4" s="6" t="s">
        <v>940</v>
      </c>
      <c r="J4" s="47" t="str">
        <f aca="false">IF(SUMIF('Unit tests'!$E:$E,A4,'Unit tests'!$C:$C)=0,"",SUMIF('Unit tests'!$E:$E,A4,'Unit tests'!$C:$C))</f>
        <v/>
      </c>
      <c r="K4" s="6"/>
    </row>
    <row r="5" customFormat="false" ht="68.65" hidden="false" customHeight="false" outlineLevel="0" collapsed="false">
      <c r="A5" s="5" t="s">
        <v>941</v>
      </c>
      <c r="B5" s="47" t="n">
        <v>8</v>
      </c>
      <c r="C5" s="6" t="s">
        <v>942</v>
      </c>
      <c r="D5" s="6" t="s">
        <v>943</v>
      </c>
      <c r="E5" s="47" t="s">
        <v>944</v>
      </c>
      <c r="F5" s="6" t="s">
        <v>945</v>
      </c>
      <c r="G5" s="52"/>
      <c r="H5" s="52"/>
      <c r="I5" s="6" t="s">
        <v>940</v>
      </c>
      <c r="J5" s="47" t="str">
        <f aca="false">IF(SUMIF('Unit tests'!$E:$E,A5,'Unit tests'!$C:$C)=0,"",SUMIF('Unit tests'!$E:$E,A5,'Unit tests'!$C:$C))</f>
        <v/>
      </c>
      <c r="K5" s="6"/>
    </row>
    <row r="6" customFormat="false" ht="57.45" hidden="false" customHeight="false" outlineLevel="0" collapsed="false">
      <c r="A6" s="5" t="s">
        <v>946</v>
      </c>
      <c r="B6" s="47" t="n">
        <v>8</v>
      </c>
      <c r="C6" s="6" t="s">
        <v>947</v>
      </c>
      <c r="D6" s="6" t="s">
        <v>948</v>
      </c>
      <c r="E6" s="47" t="s">
        <v>944</v>
      </c>
      <c r="F6" s="6" t="s">
        <v>945</v>
      </c>
      <c r="G6" s="52"/>
      <c r="H6" s="52"/>
      <c r="I6" s="6" t="s">
        <v>949</v>
      </c>
      <c r="J6" s="47" t="str">
        <f aca="false">IF(SUMIF('Unit tests'!$E:$E,A6,'Unit tests'!$C:$C)=0,"",SUMIF('Unit tests'!$E:$E,A6,'Unit tests'!$C:$C))</f>
        <v/>
      </c>
      <c r="K6" s="6"/>
    </row>
    <row r="7" customFormat="false" ht="46.25" hidden="false" customHeight="false" outlineLevel="0" collapsed="false">
      <c r="A7" s="5" t="s">
        <v>950</v>
      </c>
      <c r="B7" s="47" t="n">
        <v>8</v>
      </c>
      <c r="C7" s="6" t="s">
        <v>951</v>
      </c>
      <c r="D7" s="6" t="s">
        <v>952</v>
      </c>
      <c r="E7" s="47" t="s">
        <v>944</v>
      </c>
      <c r="F7" s="6" t="s">
        <v>945</v>
      </c>
      <c r="G7" s="52"/>
      <c r="H7" s="52"/>
      <c r="I7" s="6" t="s">
        <v>949</v>
      </c>
      <c r="J7" s="47" t="str">
        <f aca="false">IF(SUMIF('Unit tests'!$E:$E,A7,'Unit tests'!$C:$C)=0,"",SUMIF('Unit tests'!$E:$E,A7,'Unit tests'!$C:$C))</f>
        <v/>
      </c>
      <c r="K7" s="6"/>
    </row>
    <row r="8" customFormat="false" ht="35.05" hidden="false" customHeight="false" outlineLevel="0" collapsed="false">
      <c r="A8" s="5" t="s">
        <v>953</v>
      </c>
      <c r="B8" s="47" t="n">
        <v>7</v>
      </c>
      <c r="C8" s="6" t="s">
        <v>954</v>
      </c>
      <c r="D8" s="6" t="s">
        <v>955</v>
      </c>
      <c r="E8" s="47" t="s">
        <v>956</v>
      </c>
      <c r="F8" s="6" t="s">
        <v>957</v>
      </c>
      <c r="G8" s="52" t="n">
        <v>46288</v>
      </c>
      <c r="H8" s="52" t="n">
        <v>46290</v>
      </c>
      <c r="I8" s="6"/>
      <c r="J8" s="47" t="n">
        <f aca="false">IF(SUMIF('Unit tests'!$E:$E,A8,'Unit tests'!$C:$C)=0,"",SUMIF('Unit tests'!$E:$E,A8,'Unit tests'!$C:$C))</f>
        <v>9</v>
      </c>
      <c r="K8" s="6" t="s">
        <v>958</v>
      </c>
    </row>
    <row r="9" customFormat="false" ht="68.65" hidden="false" customHeight="false" outlineLevel="0" collapsed="false">
      <c r="A9" s="5" t="s">
        <v>959</v>
      </c>
      <c r="B9" s="47" t="n">
        <v>8</v>
      </c>
      <c r="C9" s="6" t="s">
        <v>960</v>
      </c>
      <c r="D9" s="6" t="s">
        <v>961</v>
      </c>
      <c r="E9" s="47" t="s">
        <v>956</v>
      </c>
      <c r="F9" s="6" t="s">
        <v>962</v>
      </c>
      <c r="G9" s="52" t="n">
        <v>46288</v>
      </c>
      <c r="H9" s="52" t="n">
        <v>46295</v>
      </c>
      <c r="I9" s="6" t="s">
        <v>949</v>
      </c>
      <c r="J9" s="47" t="n">
        <f aca="false">IF(SUMIF('Unit tests'!$E:$E,A9,'Unit tests'!$C:$C)=0,"",SUMIF('Unit tests'!$E:$E,A9,'Unit tests'!$C:$C))</f>
        <v>9</v>
      </c>
      <c r="K9" s="6" t="s">
        <v>963</v>
      </c>
    </row>
    <row r="10" customFormat="false" ht="35.05" hidden="false" customHeight="false" outlineLevel="0" collapsed="false">
      <c r="A10" s="5" t="s">
        <v>964</v>
      </c>
      <c r="B10" s="47" t="n">
        <v>8</v>
      </c>
      <c r="C10" s="6" t="s">
        <v>965</v>
      </c>
      <c r="D10" s="6" t="s">
        <v>966</v>
      </c>
      <c r="E10" s="47" t="s">
        <v>967</v>
      </c>
      <c r="F10" s="6" t="s">
        <v>968</v>
      </c>
      <c r="G10" s="52" t="n">
        <v>46300</v>
      </c>
      <c r="H10" s="52" t="n">
        <v>46477</v>
      </c>
      <c r="I10" s="6" t="s">
        <v>969</v>
      </c>
      <c r="J10" s="47" t="n">
        <f aca="false">IF(SUMIF('Unit tests'!$E:$E,A10,'Unit tests'!$C:$C)=0,"",SUMIF('Unit tests'!$E:$E,A10,'Unit tests'!$C:$C))</f>
        <v>8</v>
      </c>
      <c r="K10" s="6" t="s">
        <v>876</v>
      </c>
    </row>
    <row r="11" customFormat="false" ht="35.05" hidden="false" customHeight="false" outlineLevel="0" collapsed="false">
      <c r="A11" s="5" t="s">
        <v>970</v>
      </c>
      <c r="B11" s="47" t="n">
        <v>8</v>
      </c>
      <c r="C11" s="6" t="s">
        <v>971</v>
      </c>
      <c r="D11" s="6"/>
      <c r="E11" s="47" t="s">
        <v>956</v>
      </c>
      <c r="F11" s="6" t="s">
        <v>972</v>
      </c>
      <c r="G11" s="52" t="n">
        <v>46302</v>
      </c>
      <c r="H11" s="52" t="n">
        <v>46304</v>
      </c>
      <c r="I11" s="6" t="s">
        <v>949</v>
      </c>
      <c r="J11" s="47" t="n">
        <f aca="false">IF(SUMIF('Unit tests'!$E:$E,A11,'Unit tests'!$C:$C)=0,"",SUMIF('Unit tests'!$E:$E,A11,'Unit tests'!$C:$C))</f>
        <v>10</v>
      </c>
      <c r="K11" s="6" t="s">
        <v>973</v>
      </c>
    </row>
    <row r="12" customFormat="false" ht="23.85" hidden="false" customHeight="false" outlineLevel="0" collapsed="false">
      <c r="A12" s="5" t="s">
        <v>974</v>
      </c>
      <c r="B12" s="47" t="n">
        <v>8</v>
      </c>
      <c r="C12" s="6" t="s">
        <v>975</v>
      </c>
      <c r="D12" s="6" t="s">
        <v>976</v>
      </c>
      <c r="E12" s="47" t="s">
        <v>977</v>
      </c>
      <c r="F12" s="6" t="s">
        <v>978</v>
      </c>
      <c r="G12" s="52" t="n">
        <v>46311</v>
      </c>
      <c r="H12" s="52" t="n">
        <v>46314</v>
      </c>
      <c r="I12" s="6" t="s">
        <v>949</v>
      </c>
      <c r="J12" s="47" t="n">
        <f aca="false">IF(SUMIF('Unit tests'!$E:$E,A12,'Unit tests'!$C:$C)=0,"",SUMIF('Unit tests'!$E:$E,A12,'Unit tests'!$C:$C))</f>
        <v>12</v>
      </c>
      <c r="K12" s="6" t="s">
        <v>979</v>
      </c>
    </row>
    <row r="13" customFormat="false" ht="46.25" hidden="false" customHeight="false" outlineLevel="0" collapsed="false">
      <c r="A13" s="5" t="s">
        <v>980</v>
      </c>
      <c r="B13" s="47" t="n">
        <v>8</v>
      </c>
      <c r="C13" s="6" t="s">
        <v>981</v>
      </c>
      <c r="D13" s="6" t="s">
        <v>982</v>
      </c>
      <c r="E13" s="47" t="s">
        <v>977</v>
      </c>
      <c r="F13" s="6" t="s">
        <v>983</v>
      </c>
      <c r="G13" s="52" t="n">
        <v>46315</v>
      </c>
      <c r="H13" s="52" t="n">
        <v>46315</v>
      </c>
      <c r="I13" s="6" t="s">
        <v>949</v>
      </c>
      <c r="J13" s="47" t="n">
        <f aca="false">IF(SUMIF('Unit tests'!$E:$E,A13,'Unit tests'!$C:$C)=0,"",SUMIF('Unit tests'!$E:$E,A13,'Unit tests'!$C:$C))</f>
        <v>9</v>
      </c>
      <c r="K13" s="6" t="s">
        <v>711</v>
      </c>
    </row>
    <row r="14" customFormat="false" ht="46.25" hidden="false" customHeight="false" outlineLevel="0" collapsed="false">
      <c r="A14" s="5" t="s">
        <v>984</v>
      </c>
      <c r="B14" s="47" t="n">
        <v>8</v>
      </c>
      <c r="C14" s="6" t="s">
        <v>985</v>
      </c>
      <c r="D14" s="6" t="s">
        <v>986</v>
      </c>
      <c r="E14" s="47" t="s">
        <v>977</v>
      </c>
      <c r="F14" s="6" t="s">
        <v>987</v>
      </c>
      <c r="G14" s="52" t="n">
        <v>46316</v>
      </c>
      <c r="H14" s="52" t="n">
        <v>46318</v>
      </c>
      <c r="I14" s="6" t="s">
        <v>949</v>
      </c>
      <c r="J14" s="47" t="n">
        <f aca="false">IF(SUMIF('Unit tests'!$E:$E,A14,'Unit tests'!$C:$C)=0,"",SUMIF('Unit tests'!$E:$E,A14,'Unit tests'!$C:$C))</f>
        <v>13</v>
      </c>
      <c r="K14" s="6" t="s">
        <v>988</v>
      </c>
    </row>
    <row r="15" customFormat="false" ht="35.05" hidden="false" customHeight="false" outlineLevel="0" collapsed="false">
      <c r="A15" s="5" t="s">
        <v>989</v>
      </c>
      <c r="B15" s="47" t="n">
        <v>7</v>
      </c>
      <c r="C15" s="6" t="s">
        <v>990</v>
      </c>
      <c r="D15" s="6" t="s">
        <v>991</v>
      </c>
      <c r="E15" s="47" t="s">
        <v>992</v>
      </c>
      <c r="F15" s="6" t="s">
        <v>993</v>
      </c>
      <c r="G15" s="52" t="n">
        <v>46323</v>
      </c>
      <c r="H15" s="52" t="n">
        <v>46325</v>
      </c>
      <c r="I15" s="6"/>
      <c r="J15" s="47" t="str">
        <f aca="false">IF(SUMIF('Unit tests'!$E:$E,A15,'Unit tests'!$C:$C)=0,"",SUMIF('Unit tests'!$E:$E,A15,'Unit tests'!$C:$C))</f>
        <v/>
      </c>
      <c r="K15" s="6" t="s">
        <v>994</v>
      </c>
    </row>
    <row r="16" customFormat="false" ht="23.85" hidden="false" customHeight="false" outlineLevel="0" collapsed="false">
      <c r="A16" s="5" t="s">
        <v>995</v>
      </c>
      <c r="B16" s="47" t="n">
        <v>7</v>
      </c>
      <c r="C16" s="6" t="s">
        <v>996</v>
      </c>
      <c r="D16" s="6" t="s">
        <v>997</v>
      </c>
      <c r="E16" s="47" t="s">
        <v>992</v>
      </c>
      <c r="F16" s="6" t="s">
        <v>998</v>
      </c>
      <c r="G16" s="52" t="n">
        <v>46328</v>
      </c>
      <c r="H16" s="52" t="n">
        <v>46330</v>
      </c>
      <c r="I16" s="6"/>
      <c r="J16" s="47" t="str">
        <f aca="false">IF(SUMIF('Unit tests'!$E:$E,A16,'Unit tests'!$C:$C)=0,"",SUMIF('Unit tests'!$E:$E,A16,'Unit tests'!$C:$C))</f>
        <v/>
      </c>
      <c r="K16" s="6" t="s">
        <v>999</v>
      </c>
    </row>
    <row r="17" customFormat="false" ht="15" hidden="false" customHeight="false" outlineLevel="0" collapsed="false">
      <c r="A17" s="5" t="s">
        <v>1000</v>
      </c>
      <c r="B17" s="47" t="n">
        <v>7</v>
      </c>
      <c r="C17" s="6" t="s">
        <v>1001</v>
      </c>
      <c r="D17" s="6"/>
      <c r="E17" s="47" t="s">
        <v>1002</v>
      </c>
      <c r="F17" s="6" t="s">
        <v>1003</v>
      </c>
      <c r="G17" s="52" t="n">
        <v>46330</v>
      </c>
      <c r="H17" s="52" t="n">
        <v>46365</v>
      </c>
      <c r="I17" s="6"/>
      <c r="J17" s="47" t="str">
        <f aca="false">IF(SUMIF('Unit tests'!$E:$E,A17,'Unit tests'!$C:$C)=0,"",SUMIF('Unit tests'!$E:$E,A17,'Unit tests'!$C:$C))</f>
        <v/>
      </c>
      <c r="K17" s="6" t="s">
        <v>1004</v>
      </c>
    </row>
    <row r="18" customFormat="false" ht="46.25" hidden="false" customHeight="false" outlineLevel="0" collapsed="false">
      <c r="A18" s="5" t="s">
        <v>1005</v>
      </c>
      <c r="B18" s="47" t="n">
        <v>8</v>
      </c>
      <c r="C18" s="6" t="s">
        <v>1006</v>
      </c>
      <c r="D18" s="6"/>
      <c r="E18" s="47" t="s">
        <v>1007</v>
      </c>
      <c r="F18" s="6" t="s">
        <v>1008</v>
      </c>
      <c r="G18" s="52" t="n">
        <v>46335</v>
      </c>
      <c r="H18" s="52" t="n">
        <v>46335</v>
      </c>
      <c r="I18" s="6" t="s">
        <v>940</v>
      </c>
      <c r="J18" s="47" t="str">
        <f aca="false">IF(SUMIF('Unit tests'!$E:$E,A18,'Unit tests'!$C:$C)=0,"",SUMIF('Unit tests'!$E:$E,A18,'Unit tests'!$C:$C))</f>
        <v/>
      </c>
      <c r="K18" s="6" t="s">
        <v>735</v>
      </c>
    </row>
    <row r="19" customFormat="false" ht="57.45" hidden="false" customHeight="false" outlineLevel="0" collapsed="false">
      <c r="A19" s="5" t="s">
        <v>1009</v>
      </c>
      <c r="B19" s="47" t="n">
        <v>8</v>
      </c>
      <c r="C19" s="6" t="s">
        <v>1010</v>
      </c>
      <c r="D19" s="6" t="s">
        <v>1011</v>
      </c>
      <c r="E19" s="47" t="s">
        <v>1007</v>
      </c>
      <c r="F19" s="6" t="s">
        <v>1012</v>
      </c>
      <c r="G19" s="52" t="n">
        <v>46336</v>
      </c>
      <c r="H19" s="52" t="n">
        <v>46338</v>
      </c>
      <c r="I19" s="6" t="s">
        <v>940</v>
      </c>
      <c r="J19" s="47" t="str">
        <f aca="false">IF(SUMIF('Unit tests'!$E:$E,A19,'Unit tests'!$C:$C)=0,"",SUMIF('Unit tests'!$E:$E,A19,'Unit tests'!$C:$C))</f>
        <v/>
      </c>
      <c r="K19" s="6" t="s">
        <v>1013</v>
      </c>
    </row>
    <row r="20" customFormat="false" ht="46.25" hidden="false" customHeight="false" outlineLevel="0" collapsed="false">
      <c r="A20" s="5" t="s">
        <v>1014</v>
      </c>
      <c r="B20" s="47" t="n">
        <v>8</v>
      </c>
      <c r="C20" s="6" t="s">
        <v>1015</v>
      </c>
      <c r="D20" s="6" t="s">
        <v>1016</v>
      </c>
      <c r="E20" s="47" t="s">
        <v>1007</v>
      </c>
      <c r="F20" s="6" t="s">
        <v>1017</v>
      </c>
      <c r="G20" s="52" t="n">
        <v>46339</v>
      </c>
      <c r="H20" s="52" t="n">
        <v>46342</v>
      </c>
      <c r="I20" s="6" t="s">
        <v>940</v>
      </c>
      <c r="J20" s="47" t="str">
        <f aca="false">IF(SUMIF('Unit tests'!$E:$E,A20,'Unit tests'!$C:$C)=0,"",SUMIF('Unit tests'!$E:$E,A20,'Unit tests'!$C:$C))</f>
        <v/>
      </c>
      <c r="K20" s="6" t="s">
        <v>1018</v>
      </c>
    </row>
    <row r="21" customFormat="false" ht="23.85" hidden="false" customHeight="false" outlineLevel="0" collapsed="false">
      <c r="A21" s="5" t="s">
        <v>1019</v>
      </c>
      <c r="B21" s="47" t="n">
        <v>8</v>
      </c>
      <c r="C21" s="6" t="s">
        <v>1020</v>
      </c>
      <c r="D21" s="6"/>
      <c r="E21" s="47" t="s">
        <v>1021</v>
      </c>
      <c r="F21" s="6" t="s">
        <v>1022</v>
      </c>
      <c r="G21" s="52" t="n">
        <v>46343</v>
      </c>
      <c r="H21" s="52" t="n">
        <v>46497</v>
      </c>
      <c r="I21" s="6" t="s">
        <v>940</v>
      </c>
      <c r="J21" s="47" t="str">
        <f aca="false">IF(SUMIF('Unit tests'!$E:$E,A21,'Unit tests'!$C:$C)=0,"",SUMIF('Unit tests'!$E:$E,A21,'Unit tests'!$C:$C))</f>
        <v/>
      </c>
      <c r="K21" s="6" t="s">
        <v>909</v>
      </c>
    </row>
    <row r="22" customFormat="false" ht="23.85" hidden="false" customHeight="false" outlineLevel="0" collapsed="false">
      <c r="A22" s="5" t="s">
        <v>1023</v>
      </c>
      <c r="B22" s="47" t="n">
        <v>8</v>
      </c>
      <c r="C22" s="6" t="s">
        <v>1024</v>
      </c>
      <c r="D22" s="6" t="s">
        <v>1025</v>
      </c>
      <c r="E22" s="47" t="s">
        <v>1021</v>
      </c>
      <c r="F22" s="6" t="s">
        <v>1026</v>
      </c>
      <c r="G22" s="52" t="n">
        <v>46344</v>
      </c>
      <c r="H22" s="52" t="n">
        <v>46497</v>
      </c>
      <c r="I22" s="6" t="s">
        <v>940</v>
      </c>
      <c r="J22" s="47" t="str">
        <f aca="false">IF(SUMIF('Unit tests'!$E:$E,A22,'Unit tests'!$C:$C)=0,"",SUMIF('Unit tests'!$E:$E,A22,'Unit tests'!$C:$C))</f>
        <v/>
      </c>
      <c r="K22" s="6" t="s">
        <v>1027</v>
      </c>
    </row>
    <row r="23" customFormat="false" ht="23.85" hidden="false" customHeight="false" outlineLevel="0" collapsed="false">
      <c r="A23" s="5" t="s">
        <v>1028</v>
      </c>
      <c r="B23" s="47" t="n">
        <v>8</v>
      </c>
      <c r="C23" s="6" t="s">
        <v>1029</v>
      </c>
      <c r="D23" s="6"/>
      <c r="E23" s="47" t="s">
        <v>1007</v>
      </c>
      <c r="F23" s="6" t="s">
        <v>1030</v>
      </c>
      <c r="G23" s="52" t="n">
        <v>46345</v>
      </c>
      <c r="H23" s="52" t="n">
        <v>46345</v>
      </c>
      <c r="I23" s="6"/>
      <c r="J23" s="47" t="str">
        <f aca="false">IF(SUMIF('Unit tests'!$E:$E,A23,'Unit tests'!$C:$C)=0,"",SUMIF('Unit tests'!$E:$E,A23,'Unit tests'!$C:$C))</f>
        <v/>
      </c>
      <c r="K23" s="6" t="s">
        <v>756</v>
      </c>
    </row>
    <row r="24" customFormat="false" ht="23.85" hidden="false" customHeight="false" outlineLevel="0" collapsed="false">
      <c r="A24" s="5" t="s">
        <v>1031</v>
      </c>
      <c r="B24" s="47" t="n">
        <v>7</v>
      </c>
      <c r="C24" s="6" t="s">
        <v>1032</v>
      </c>
      <c r="D24" s="6" t="s">
        <v>1033</v>
      </c>
      <c r="E24" s="47" t="s">
        <v>1034</v>
      </c>
      <c r="F24" s="6" t="s">
        <v>1035</v>
      </c>
      <c r="G24" s="52" t="n">
        <v>46359</v>
      </c>
      <c r="H24" s="52" t="n">
        <v>46359</v>
      </c>
      <c r="I24" s="6"/>
      <c r="J24" s="47" t="str">
        <f aca="false">IF(SUMIF('Unit tests'!$E:$E,A24,'Unit tests'!$C:$C)=0,"",SUMIF('Unit tests'!$E:$E,A24,'Unit tests'!$C:$C))</f>
        <v/>
      </c>
      <c r="K24" s="6" t="s">
        <v>759</v>
      </c>
    </row>
    <row r="25" customFormat="false" ht="35.05" hidden="false" customHeight="false" outlineLevel="0" collapsed="false">
      <c r="A25" s="5" t="s">
        <v>1036</v>
      </c>
      <c r="B25" s="47" t="n">
        <v>7</v>
      </c>
      <c r="C25" s="6" t="s">
        <v>1037</v>
      </c>
      <c r="D25" s="6"/>
      <c r="E25" s="47" t="s">
        <v>1034</v>
      </c>
      <c r="F25" s="6" t="s">
        <v>1038</v>
      </c>
      <c r="G25" s="52" t="n">
        <v>46360</v>
      </c>
      <c r="H25" s="52" t="n">
        <v>46360</v>
      </c>
      <c r="I25" s="6"/>
      <c r="J25" s="47" t="str">
        <f aca="false">IF(SUMIF('Unit tests'!$E:$E,A25,'Unit tests'!$C:$C)=0,"",SUMIF('Unit tests'!$E:$E,A25,'Unit tests'!$C:$C))</f>
        <v/>
      </c>
      <c r="K25" s="6" t="s">
        <v>762</v>
      </c>
    </row>
    <row r="26" customFormat="false" ht="23.85" hidden="false" customHeight="false" outlineLevel="0" collapsed="false">
      <c r="A26" s="5" t="s">
        <v>1039</v>
      </c>
      <c r="B26" s="47" t="n">
        <v>7</v>
      </c>
      <c r="C26" s="6" t="s">
        <v>1040</v>
      </c>
      <c r="D26" s="6"/>
      <c r="E26" s="47" t="s">
        <v>1034</v>
      </c>
      <c r="F26" s="6" t="s">
        <v>1041</v>
      </c>
      <c r="G26" s="52" t="n">
        <v>46363</v>
      </c>
      <c r="H26" s="52" t="n">
        <v>46363</v>
      </c>
      <c r="I26" s="6"/>
      <c r="J26" s="47" t="str">
        <f aca="false">IF(SUMIF('Unit tests'!$E:$E,A26,'Unit tests'!$C:$C)=0,"",SUMIF('Unit tests'!$E:$E,A26,'Unit tests'!$C:$C))</f>
        <v/>
      </c>
      <c r="K26" s="6" t="s">
        <v>765</v>
      </c>
    </row>
    <row r="27" customFormat="false" ht="68.65" hidden="false" customHeight="false" outlineLevel="0" collapsed="false">
      <c r="A27" s="5" t="s">
        <v>1042</v>
      </c>
      <c r="B27" s="47" t="n">
        <v>8</v>
      </c>
      <c r="C27" s="6" t="s">
        <v>1043</v>
      </c>
      <c r="D27" s="6" t="s">
        <v>1044</v>
      </c>
      <c r="E27" s="47" t="s">
        <v>1045</v>
      </c>
      <c r="F27" s="6" t="s">
        <v>1046</v>
      </c>
      <c r="G27" s="52" t="n">
        <v>46363</v>
      </c>
      <c r="H27" s="52" t="n">
        <v>46449</v>
      </c>
      <c r="I27" s="6" t="s">
        <v>969</v>
      </c>
      <c r="J27" s="47" t="str">
        <f aca="false">IF(SUMIF('Unit tests'!$E:$E,A27,'Unit tests'!$C:$C)=0,"",SUMIF('Unit tests'!$E:$E,A27,'Unit tests'!$C:$C))</f>
        <v/>
      </c>
      <c r="K27" s="6" t="s">
        <v>1047</v>
      </c>
    </row>
    <row r="28" customFormat="false" ht="23.85" hidden="false" customHeight="false" outlineLevel="0" collapsed="false">
      <c r="A28" s="5" t="s">
        <v>1048</v>
      </c>
      <c r="B28" s="47" t="n">
        <v>7</v>
      </c>
      <c r="C28" s="6" t="s">
        <v>1049</v>
      </c>
      <c r="D28" s="6" t="s">
        <v>1050</v>
      </c>
      <c r="E28" s="47" t="s">
        <v>1034</v>
      </c>
      <c r="F28" s="6" t="s">
        <v>1051</v>
      </c>
      <c r="G28" s="52" t="n">
        <v>46364</v>
      </c>
      <c r="H28" s="52" t="n">
        <v>46364</v>
      </c>
      <c r="I28" s="6"/>
      <c r="J28" s="47" t="str">
        <f aca="false">IF(SUMIF('Unit tests'!$E:$E,A28,'Unit tests'!$C:$C)=0,"",SUMIF('Unit tests'!$E:$E,A28,'Unit tests'!$C:$C))</f>
        <v/>
      </c>
      <c r="K28" s="6" t="s">
        <v>768</v>
      </c>
    </row>
    <row r="29" customFormat="false" ht="35.05" hidden="false" customHeight="false" outlineLevel="0" collapsed="false">
      <c r="A29" s="5" t="s">
        <v>1052</v>
      </c>
      <c r="B29" s="47" t="n">
        <v>7</v>
      </c>
      <c r="C29" s="6" t="s">
        <v>1053</v>
      </c>
      <c r="D29" s="6" t="s">
        <v>1054</v>
      </c>
      <c r="E29" s="47" t="s">
        <v>1055</v>
      </c>
      <c r="F29" s="6" t="s">
        <v>1056</v>
      </c>
      <c r="G29" s="52" t="n">
        <v>46373</v>
      </c>
      <c r="H29" s="52" t="n">
        <v>46374</v>
      </c>
      <c r="I29" s="6"/>
      <c r="J29" s="47" t="str">
        <f aca="false">IF(SUMIF('Unit tests'!$E:$E,A29,'Unit tests'!$C:$C)=0,"",SUMIF('Unit tests'!$E:$E,A29,'Unit tests'!$C:$C))</f>
        <v/>
      </c>
      <c r="K29" s="6" t="s">
        <v>1057</v>
      </c>
    </row>
    <row r="30" customFormat="false" ht="23.85" hidden="false" customHeight="false" outlineLevel="0" collapsed="false">
      <c r="A30" s="5" t="s">
        <v>1058</v>
      </c>
      <c r="B30" s="47" t="n">
        <v>7</v>
      </c>
      <c r="C30" s="6" t="s">
        <v>1059</v>
      </c>
      <c r="D30" s="6" t="s">
        <v>1060</v>
      </c>
      <c r="E30" s="47" t="s">
        <v>1055</v>
      </c>
      <c r="F30" s="6" t="s">
        <v>1061</v>
      </c>
      <c r="G30" s="52" t="n">
        <v>46393</v>
      </c>
      <c r="H30" s="52" t="n">
        <v>46395</v>
      </c>
      <c r="I30" s="6"/>
      <c r="J30" s="47" t="str">
        <f aca="false">IF(SUMIF('Unit tests'!$E:$E,A30,'Unit tests'!$C:$C)=0,"",SUMIF('Unit tests'!$E:$E,A30,'Unit tests'!$C:$C))</f>
        <v/>
      </c>
      <c r="K30" s="6" t="s">
        <v>1062</v>
      </c>
    </row>
    <row r="31" customFormat="false" ht="23.85" hidden="false" customHeight="false" outlineLevel="0" collapsed="false">
      <c r="A31" s="5" t="s">
        <v>1063</v>
      </c>
      <c r="B31" s="47" t="n">
        <v>7</v>
      </c>
      <c r="C31" s="6" t="s">
        <v>1064</v>
      </c>
      <c r="D31" s="6" t="s">
        <v>1065</v>
      </c>
      <c r="E31" s="47" t="s">
        <v>1055</v>
      </c>
      <c r="F31" s="6" t="s">
        <v>1066</v>
      </c>
      <c r="G31" s="52" t="n">
        <v>46395</v>
      </c>
      <c r="H31" s="52" t="n">
        <v>46395</v>
      </c>
      <c r="I31" s="6"/>
      <c r="J31" s="47" t="str">
        <f aca="false">IF(SUMIF('Unit tests'!$E:$E,A31,'Unit tests'!$C:$C)=0,"",SUMIF('Unit tests'!$E:$E,A31,'Unit tests'!$C:$C))</f>
        <v/>
      </c>
      <c r="K31" s="6" t="s">
        <v>786</v>
      </c>
    </row>
    <row r="32" customFormat="false" ht="23.85" hidden="false" customHeight="false" outlineLevel="0" collapsed="false">
      <c r="A32" s="5" t="s">
        <v>1067</v>
      </c>
      <c r="B32" s="47" t="n">
        <v>7</v>
      </c>
      <c r="C32" s="6" t="s">
        <v>1068</v>
      </c>
      <c r="D32" s="6" t="s">
        <v>1069</v>
      </c>
      <c r="E32" s="47" t="s">
        <v>1070</v>
      </c>
      <c r="F32" s="6" t="s">
        <v>1071</v>
      </c>
      <c r="G32" s="52" t="n">
        <v>46398</v>
      </c>
      <c r="H32" s="52" t="n">
        <v>46398</v>
      </c>
      <c r="I32" s="6"/>
      <c r="J32" s="47" t="str">
        <f aca="false">IF(SUMIF('Unit tests'!$E:$E,A32,'Unit tests'!$C:$C)=0,"",SUMIF('Unit tests'!$E:$E,A32,'Unit tests'!$C:$C))</f>
        <v/>
      </c>
      <c r="K32" s="6" t="s">
        <v>789</v>
      </c>
    </row>
    <row r="33" customFormat="false" ht="15" hidden="false" customHeight="false" outlineLevel="0" collapsed="false">
      <c r="A33" s="5" t="s">
        <v>1072</v>
      </c>
      <c r="B33" s="47" t="n">
        <v>7</v>
      </c>
      <c r="C33" s="6" t="s">
        <v>1073</v>
      </c>
      <c r="D33" s="6" t="s">
        <v>1074</v>
      </c>
      <c r="E33" s="47" t="s">
        <v>1070</v>
      </c>
      <c r="F33" s="6" t="s">
        <v>1071</v>
      </c>
      <c r="G33" s="52" t="n">
        <v>46398</v>
      </c>
      <c r="H33" s="52" t="n">
        <v>46398</v>
      </c>
      <c r="I33" s="6"/>
      <c r="J33" s="47" t="str">
        <f aca="false">IF(SUMIF('Unit tests'!$E:$E,A33,'Unit tests'!$C:$C)=0,"",SUMIF('Unit tests'!$E:$E,A33,'Unit tests'!$C:$C))</f>
        <v/>
      </c>
      <c r="K33" s="6" t="s">
        <v>789</v>
      </c>
    </row>
    <row r="34" customFormat="false" ht="46.25" hidden="false" customHeight="false" outlineLevel="0" collapsed="false">
      <c r="A34" s="5" t="s">
        <v>1075</v>
      </c>
      <c r="B34" s="47" t="n">
        <v>7</v>
      </c>
      <c r="C34" s="6" t="s">
        <v>1076</v>
      </c>
      <c r="D34" s="6" t="s">
        <v>1077</v>
      </c>
      <c r="E34" s="47" t="s">
        <v>1070</v>
      </c>
      <c r="F34" s="6" t="s">
        <v>1078</v>
      </c>
      <c r="G34" s="52" t="n">
        <v>46399</v>
      </c>
      <c r="H34" s="52" t="n">
        <v>46399</v>
      </c>
      <c r="I34" s="6"/>
      <c r="J34" s="47" t="str">
        <f aca="false">IF(SUMIF('Unit tests'!$E:$E,A34,'Unit tests'!$C:$C)=0,"",SUMIF('Unit tests'!$E:$E,A34,'Unit tests'!$C:$C))</f>
        <v/>
      </c>
      <c r="K34" s="6" t="s">
        <v>792</v>
      </c>
    </row>
    <row r="35" customFormat="false" ht="68.65" hidden="false" customHeight="false" outlineLevel="0" collapsed="false">
      <c r="A35" s="5" t="s">
        <v>1079</v>
      </c>
      <c r="B35" s="47" t="n">
        <v>8</v>
      </c>
      <c r="C35" s="6" t="s">
        <v>1080</v>
      </c>
      <c r="D35" s="6" t="s">
        <v>1081</v>
      </c>
      <c r="E35" s="47" t="s">
        <v>1082</v>
      </c>
      <c r="F35" s="6" t="s">
        <v>1083</v>
      </c>
      <c r="G35" s="52" t="n">
        <v>46413</v>
      </c>
      <c r="H35" s="52" t="n">
        <v>46414</v>
      </c>
      <c r="I35" s="6" t="s">
        <v>969</v>
      </c>
      <c r="J35" s="47" t="str">
        <f aca="false">IF(SUMIF('Unit tests'!$E:$E,A35,'Unit tests'!$C:$C)=0,"",SUMIF('Unit tests'!$E:$E,A35,'Unit tests'!$C:$C))</f>
        <v/>
      </c>
      <c r="K35" s="6" t="s">
        <v>1084</v>
      </c>
    </row>
    <row r="36" customFormat="false" ht="57.45" hidden="false" customHeight="false" outlineLevel="0" collapsed="false">
      <c r="A36" s="5" t="s">
        <v>1085</v>
      </c>
      <c r="B36" s="47" t="n">
        <v>8</v>
      </c>
      <c r="C36" s="6" t="s">
        <v>1086</v>
      </c>
      <c r="D36" s="6" t="s">
        <v>1087</v>
      </c>
      <c r="E36" s="47" t="s">
        <v>1088</v>
      </c>
      <c r="F36" s="6" t="s">
        <v>1089</v>
      </c>
      <c r="G36" s="52" t="n">
        <v>46414</v>
      </c>
      <c r="H36" s="52" t="n">
        <v>46463</v>
      </c>
      <c r="I36" s="6" t="s">
        <v>969</v>
      </c>
      <c r="J36" s="47" t="str">
        <f aca="false">IF(SUMIF('Unit tests'!$E:$E,A36,'Unit tests'!$C:$C)=0,"",SUMIF('Unit tests'!$E:$E,A36,'Unit tests'!$C:$C))</f>
        <v/>
      </c>
      <c r="K36" s="6" t="s">
        <v>1090</v>
      </c>
    </row>
    <row r="37" customFormat="false" ht="35.05" hidden="false" customHeight="false" outlineLevel="0" collapsed="false">
      <c r="A37" s="5" t="s">
        <v>1091</v>
      </c>
      <c r="B37" s="47" t="n">
        <v>8</v>
      </c>
      <c r="C37" s="6" t="s">
        <v>1092</v>
      </c>
      <c r="D37" s="6" t="s">
        <v>1093</v>
      </c>
      <c r="E37" s="47" t="s">
        <v>1082</v>
      </c>
      <c r="F37" s="6" t="s">
        <v>1094</v>
      </c>
      <c r="G37" s="52" t="n">
        <v>46415</v>
      </c>
      <c r="H37" s="52" t="n">
        <v>46416</v>
      </c>
      <c r="I37" s="6" t="s">
        <v>969</v>
      </c>
      <c r="J37" s="47" t="str">
        <f aca="false">IF(SUMIF('Unit tests'!$E:$E,A37,'Unit tests'!$C:$C)=0,"",SUMIF('Unit tests'!$E:$E,A37,'Unit tests'!$C:$C))</f>
        <v/>
      </c>
      <c r="K37" s="6" t="s">
        <v>1095</v>
      </c>
    </row>
    <row r="38" customFormat="false" ht="46.25" hidden="false" customHeight="false" outlineLevel="0" collapsed="false">
      <c r="A38" s="5" t="s">
        <v>1096</v>
      </c>
      <c r="B38" s="47" t="n">
        <v>8</v>
      </c>
      <c r="C38" s="6" t="s">
        <v>1097</v>
      </c>
      <c r="D38" s="6" t="s">
        <v>1098</v>
      </c>
      <c r="E38" s="47" t="s">
        <v>1082</v>
      </c>
      <c r="F38" s="6" t="s">
        <v>1099</v>
      </c>
      <c r="G38" s="52" t="n">
        <v>46420</v>
      </c>
      <c r="H38" s="52" t="n">
        <v>46421</v>
      </c>
      <c r="I38" s="6" t="s">
        <v>969</v>
      </c>
      <c r="J38" s="47" t="str">
        <f aca="false">IF(SUMIF('Unit tests'!$E:$E,A38,'Unit tests'!$C:$C)=0,"",SUMIF('Unit tests'!$E:$E,A38,'Unit tests'!$C:$C))</f>
        <v/>
      </c>
      <c r="K38" s="6" t="s">
        <v>1100</v>
      </c>
    </row>
    <row r="39" customFormat="false" ht="35.05" hidden="false" customHeight="false" outlineLevel="0" collapsed="false">
      <c r="A39" s="5" t="s">
        <v>1101</v>
      </c>
      <c r="B39" s="47" t="n">
        <v>8</v>
      </c>
      <c r="C39" s="6" t="s">
        <v>1102</v>
      </c>
      <c r="D39" s="6" t="s">
        <v>1103</v>
      </c>
      <c r="E39" s="47" t="s">
        <v>1104</v>
      </c>
      <c r="F39" s="6" t="s">
        <v>1105</v>
      </c>
      <c r="G39" s="52" t="n">
        <v>46426</v>
      </c>
      <c r="H39" s="52" t="n">
        <v>46429</v>
      </c>
      <c r="I39" s="6" t="s">
        <v>940</v>
      </c>
      <c r="J39" s="47" t="str">
        <f aca="false">IF(SUMIF('Unit tests'!$E:$E,A39,'Unit tests'!$C:$C)=0,"",SUMIF('Unit tests'!$E:$E,A39,'Unit tests'!$C:$C))</f>
        <v/>
      </c>
      <c r="K39" s="6" t="s">
        <v>1106</v>
      </c>
    </row>
    <row r="40" customFormat="false" ht="35.05" hidden="false" customHeight="false" outlineLevel="0" collapsed="false">
      <c r="A40" s="5" t="s">
        <v>1107</v>
      </c>
      <c r="B40" s="47" t="n">
        <v>8</v>
      </c>
      <c r="C40" s="6" t="s">
        <v>1108</v>
      </c>
      <c r="D40" s="6" t="s">
        <v>1109</v>
      </c>
      <c r="E40" s="47" t="s">
        <v>1104</v>
      </c>
      <c r="F40" s="6" t="s">
        <v>1110</v>
      </c>
      <c r="G40" s="52" t="n">
        <v>46430</v>
      </c>
      <c r="H40" s="52" t="n">
        <v>46430</v>
      </c>
      <c r="I40" s="6"/>
      <c r="J40" s="47" t="str">
        <f aca="false">IF(SUMIF('Unit tests'!$E:$E,A40,'Unit tests'!$C:$C)=0,"",SUMIF('Unit tests'!$E:$E,A40,'Unit tests'!$C:$C))</f>
        <v/>
      </c>
      <c r="K40" s="6" t="s">
        <v>831</v>
      </c>
    </row>
    <row r="41" customFormat="false" ht="35.05" hidden="false" customHeight="false" outlineLevel="0" collapsed="false">
      <c r="A41" s="5" t="s">
        <v>1111</v>
      </c>
      <c r="B41" s="47" t="n">
        <v>8</v>
      </c>
      <c r="C41" s="6" t="s">
        <v>1112</v>
      </c>
      <c r="D41" s="6"/>
      <c r="E41" s="47" t="s">
        <v>1104</v>
      </c>
      <c r="F41" s="6" t="s">
        <v>1110</v>
      </c>
      <c r="G41" s="52" t="n">
        <v>46430</v>
      </c>
      <c r="H41" s="52" t="n">
        <v>46430</v>
      </c>
      <c r="I41" s="6"/>
      <c r="J41" s="47" t="str">
        <f aca="false">IF(SUMIF('Unit tests'!$E:$E,A41,'Unit tests'!$C:$C)=0,"",SUMIF('Unit tests'!$E:$E,A41,'Unit tests'!$C:$C))</f>
        <v/>
      </c>
      <c r="K41" s="6" t="s">
        <v>831</v>
      </c>
    </row>
    <row r="42" customFormat="false" ht="68.65" hidden="false" customHeight="false" outlineLevel="0" collapsed="false">
      <c r="A42" s="5" t="s">
        <v>1113</v>
      </c>
      <c r="B42" s="47" t="n">
        <v>8</v>
      </c>
      <c r="C42" s="6" t="s">
        <v>1114</v>
      </c>
      <c r="D42" s="6" t="s">
        <v>1115</v>
      </c>
      <c r="E42" s="47" t="s">
        <v>1104</v>
      </c>
      <c r="F42" s="6" t="s">
        <v>1116</v>
      </c>
      <c r="G42" s="52" t="n">
        <v>46434</v>
      </c>
      <c r="H42" s="52" t="n">
        <v>46435</v>
      </c>
      <c r="I42" s="6"/>
      <c r="J42" s="47" t="str">
        <f aca="false">IF(SUMIF('Unit tests'!$E:$E,A42,'Unit tests'!$C:$C)=0,"",SUMIF('Unit tests'!$E:$E,A42,'Unit tests'!$C:$C))</f>
        <v/>
      </c>
      <c r="K42" s="6" t="s">
        <v>1117</v>
      </c>
    </row>
    <row r="43" customFormat="false" ht="113.4" hidden="false" customHeight="false" outlineLevel="0" collapsed="false">
      <c r="A43" s="5" t="s">
        <v>1118</v>
      </c>
      <c r="B43" s="47" t="n">
        <v>8</v>
      </c>
      <c r="C43" s="6" t="s">
        <v>1119</v>
      </c>
      <c r="D43" s="6" t="s">
        <v>1120</v>
      </c>
      <c r="E43" s="47" t="s">
        <v>1121</v>
      </c>
      <c r="F43" s="6" t="s">
        <v>1122</v>
      </c>
      <c r="G43" s="52" t="n">
        <v>46441</v>
      </c>
      <c r="H43" s="52" t="n">
        <v>46442</v>
      </c>
      <c r="I43" s="6"/>
      <c r="J43" s="47" t="str">
        <f aca="false">IF(SUMIF('Unit tests'!$E:$E,A43,'Unit tests'!$C:$C)=0,"",SUMIF('Unit tests'!$E:$E,A43,'Unit tests'!$C:$C))</f>
        <v/>
      </c>
      <c r="K43" s="6" t="s">
        <v>1123</v>
      </c>
    </row>
    <row r="44" customFormat="false" ht="57.45" hidden="false" customHeight="false" outlineLevel="0" collapsed="false">
      <c r="A44" s="5" t="s">
        <v>1124</v>
      </c>
      <c r="B44" s="47" t="n">
        <v>8</v>
      </c>
      <c r="C44" s="6" t="s">
        <v>1125</v>
      </c>
      <c r="D44" s="6" t="s">
        <v>1126</v>
      </c>
      <c r="E44" s="47" t="s">
        <v>1121</v>
      </c>
      <c r="F44" s="6" t="s">
        <v>1127</v>
      </c>
      <c r="G44" s="52" t="n">
        <v>46443</v>
      </c>
      <c r="H44" s="52" t="n">
        <v>46444</v>
      </c>
      <c r="I44" s="6"/>
      <c r="J44" s="47" t="str">
        <f aca="false">IF(SUMIF('Unit tests'!$E:$E,A44,'Unit tests'!$C:$C)=0,"",SUMIF('Unit tests'!$E:$E,A44,'Unit tests'!$C:$C))</f>
        <v/>
      </c>
      <c r="K44" s="6" t="s">
        <v>846</v>
      </c>
    </row>
    <row r="45" customFormat="false" ht="35.05" hidden="false" customHeight="false" outlineLevel="0" collapsed="false">
      <c r="A45" s="5" t="s">
        <v>1128</v>
      </c>
      <c r="B45" s="47" t="n">
        <v>8</v>
      </c>
      <c r="C45" s="6" t="s">
        <v>1129</v>
      </c>
      <c r="D45" s="6" t="s">
        <v>1130</v>
      </c>
      <c r="E45" s="47" t="s">
        <v>1121</v>
      </c>
      <c r="F45" s="6" t="s">
        <v>1131</v>
      </c>
      <c r="G45" s="52" t="n">
        <v>46448</v>
      </c>
      <c r="H45" s="52" t="n">
        <v>46449</v>
      </c>
      <c r="I45" s="6"/>
      <c r="J45" s="47" t="str">
        <f aca="false">IF(SUMIF('Unit tests'!$E:$E,A45,'Unit tests'!$C:$C)=0,"",SUMIF('Unit tests'!$E:$E,A45,'Unit tests'!$C:$C))</f>
        <v/>
      </c>
      <c r="K45" s="6" t="s">
        <v>1132</v>
      </c>
    </row>
    <row r="46" customFormat="false" ht="23.85" hidden="false" customHeight="false" outlineLevel="0" collapsed="false">
      <c r="A46" s="5" t="s">
        <v>1133</v>
      </c>
      <c r="B46" s="47" t="n">
        <v>7</v>
      </c>
      <c r="C46" s="6" t="s">
        <v>1134</v>
      </c>
      <c r="D46" s="6" t="s">
        <v>1135</v>
      </c>
      <c r="E46" s="47" t="s">
        <v>1136</v>
      </c>
      <c r="F46" s="6" t="s">
        <v>1137</v>
      </c>
      <c r="G46" s="52" t="n">
        <v>46457</v>
      </c>
      <c r="H46" s="52" t="n">
        <v>46457</v>
      </c>
      <c r="I46" s="6"/>
      <c r="J46" s="47" t="str">
        <f aca="false">IF(SUMIF('Unit tests'!$E:$E,A46,'Unit tests'!$C:$C)=0,"",SUMIF('Unit tests'!$E:$E,A46,'Unit tests'!$C:$C))</f>
        <v/>
      </c>
      <c r="K46" s="6" t="s">
        <v>855</v>
      </c>
    </row>
    <row r="47" customFormat="false" ht="35.05" hidden="false" customHeight="false" outlineLevel="0" collapsed="false">
      <c r="A47" s="5" t="s">
        <v>1138</v>
      </c>
      <c r="B47" s="47" t="n">
        <v>8</v>
      </c>
      <c r="C47" s="6" t="s">
        <v>1139</v>
      </c>
      <c r="D47" s="6" t="s">
        <v>1140</v>
      </c>
      <c r="E47" s="47" t="s">
        <v>1136</v>
      </c>
      <c r="F47" s="6" t="s">
        <v>1141</v>
      </c>
      <c r="G47" s="52" t="n">
        <v>46458</v>
      </c>
      <c r="H47" s="52" t="n">
        <v>46461</v>
      </c>
      <c r="I47" s="6"/>
      <c r="J47" s="47" t="str">
        <f aca="false">IF(SUMIF('Unit tests'!$E:$E,A47,'Unit tests'!$C:$C)=0,"",SUMIF('Unit tests'!$E:$E,A47,'Unit tests'!$C:$C))</f>
        <v/>
      </c>
      <c r="K47" s="6" t="s">
        <v>1142</v>
      </c>
    </row>
    <row r="48" customFormat="false" ht="79.85" hidden="false" customHeight="false" outlineLevel="0" collapsed="false">
      <c r="A48" s="5" t="s">
        <v>1143</v>
      </c>
      <c r="B48" s="47" t="n">
        <v>8</v>
      </c>
      <c r="C48" s="6" t="s">
        <v>1144</v>
      </c>
      <c r="D48" s="6" t="s">
        <v>1145</v>
      </c>
      <c r="E48" s="47" t="s">
        <v>1136</v>
      </c>
      <c r="F48" s="6" t="s">
        <v>1146</v>
      </c>
      <c r="G48" s="52" t="n">
        <v>46461</v>
      </c>
      <c r="H48" s="52" t="n">
        <v>46462</v>
      </c>
      <c r="I48" s="6"/>
      <c r="J48" s="47" t="str">
        <f aca="false">IF(SUMIF('Unit tests'!$E:$E,A48,'Unit tests'!$C:$C)=0,"",SUMIF('Unit tests'!$E:$E,A48,'Unit tests'!$C:$C))</f>
        <v/>
      </c>
      <c r="K48" s="6" t="s">
        <v>1147</v>
      </c>
    </row>
    <row r="49" customFormat="false" ht="46.25" hidden="false" customHeight="false" outlineLevel="0" collapsed="false">
      <c r="A49" s="5" t="s">
        <v>1148</v>
      </c>
      <c r="B49" s="47" t="n">
        <v>8</v>
      </c>
      <c r="C49" s="6" t="s">
        <v>1149</v>
      </c>
      <c r="D49" s="6" t="s">
        <v>1150</v>
      </c>
      <c r="E49" s="47" t="s">
        <v>1136</v>
      </c>
      <c r="F49" s="6" t="s">
        <v>1151</v>
      </c>
      <c r="G49" s="52" t="n">
        <v>46462</v>
      </c>
      <c r="H49" s="52" t="n">
        <v>46463</v>
      </c>
      <c r="I49" s="6"/>
      <c r="J49" s="47" t="str">
        <f aca="false">IF(SUMIF('Unit tests'!$E:$E,A49,'Unit tests'!$C:$C)=0,"",SUMIF('Unit tests'!$E:$E,A49,'Unit tests'!$C:$C))</f>
        <v/>
      </c>
      <c r="K49" s="6" t="s">
        <v>1152</v>
      </c>
    </row>
    <row r="50" customFormat="false" ht="91" hidden="false" customHeight="false" outlineLevel="0" collapsed="false">
      <c r="A50" s="5" t="s">
        <v>1153</v>
      </c>
      <c r="B50" s="47" t="n">
        <v>8</v>
      </c>
      <c r="C50" s="6" t="s">
        <v>1154</v>
      </c>
      <c r="D50" s="6" t="s">
        <v>1155</v>
      </c>
      <c r="E50" s="47" t="s">
        <v>1156</v>
      </c>
      <c r="F50" s="6" t="s">
        <v>1157</v>
      </c>
      <c r="G50" s="52" t="n">
        <v>46464</v>
      </c>
      <c r="H50" s="52" t="n">
        <v>46503</v>
      </c>
      <c r="I50" s="6"/>
      <c r="J50" s="47" t="str">
        <f aca="false">IF(SUMIF('Unit tests'!$E:$E,A50,'Unit tests'!$C:$C)=0,"",SUMIF('Unit tests'!$E:$E,A50,'Unit tests'!$C:$C))</f>
        <v/>
      </c>
      <c r="K50" s="6" t="s">
        <v>915</v>
      </c>
    </row>
    <row r="51" customFormat="false" ht="46.25" hidden="false" customHeight="false" outlineLevel="0" collapsed="false">
      <c r="A51" s="5" t="s">
        <v>1158</v>
      </c>
      <c r="B51" s="47" t="n">
        <v>8</v>
      </c>
      <c r="C51" s="6" t="s">
        <v>1159</v>
      </c>
      <c r="D51" s="6" t="s">
        <v>1160</v>
      </c>
      <c r="E51" s="47" t="s">
        <v>1156</v>
      </c>
      <c r="F51" s="6" t="s">
        <v>1161</v>
      </c>
      <c r="G51" s="52" t="n">
        <v>46465</v>
      </c>
      <c r="H51" s="52" t="n">
        <v>46503</v>
      </c>
      <c r="I51" s="6"/>
      <c r="J51" s="47" t="str">
        <f aca="false">IF(SUMIF('Unit tests'!$E:$E,A51,'Unit tests'!$C:$C)=0,"",SUMIF('Unit tests'!$E:$E,A51,'Unit tests'!$C:$C))</f>
        <v/>
      </c>
      <c r="K51" s="6" t="s">
        <v>1162</v>
      </c>
    </row>
    <row r="52" customFormat="false" ht="23.85" hidden="false" customHeight="false" outlineLevel="0" collapsed="false">
      <c r="A52" s="5" t="s">
        <v>1163</v>
      </c>
      <c r="B52" s="47" t="n">
        <v>8</v>
      </c>
      <c r="C52" s="6" t="s">
        <v>1164</v>
      </c>
      <c r="D52" s="6" t="s">
        <v>1165</v>
      </c>
      <c r="E52" s="47" t="s">
        <v>1166</v>
      </c>
      <c r="F52" s="6" t="s">
        <v>1167</v>
      </c>
      <c r="G52" s="52" t="n">
        <v>46478</v>
      </c>
      <c r="H52" s="52" t="n">
        <v>46478</v>
      </c>
      <c r="I52" s="6"/>
      <c r="J52" s="47" t="str">
        <f aca="false">IF(SUMIF('Unit tests'!$E:$E,A52,'Unit tests'!$C:$C)=0,"",SUMIF('Unit tests'!$E:$E,A52,'Unit tests'!$C:$C))</f>
        <v/>
      </c>
      <c r="K52" s="6" t="s">
        <v>879</v>
      </c>
    </row>
    <row r="53" customFormat="false" ht="35.05" hidden="false" customHeight="false" outlineLevel="0" collapsed="false">
      <c r="A53" s="5" t="s">
        <v>1168</v>
      </c>
      <c r="B53" s="47" t="n">
        <v>8</v>
      </c>
      <c r="C53" s="6" t="s">
        <v>1169</v>
      </c>
      <c r="D53" s="6"/>
      <c r="E53" s="47" t="s">
        <v>1166</v>
      </c>
      <c r="F53" s="6" t="s">
        <v>1170</v>
      </c>
      <c r="G53" s="52" t="n">
        <v>46479</v>
      </c>
      <c r="H53" s="52" t="n">
        <v>46479</v>
      </c>
      <c r="I53" s="6"/>
      <c r="J53" s="47" t="str">
        <f aca="false">IF(SUMIF('Unit tests'!$E:$E,A53,'Unit tests'!$C:$C)=0,"",SUMIF('Unit tests'!$E:$E,A53,'Unit tests'!$C:$C))</f>
        <v/>
      </c>
      <c r="K53" s="6" t="s">
        <v>882</v>
      </c>
    </row>
    <row r="54" customFormat="false" ht="68.65" hidden="false" customHeight="false" outlineLevel="0" collapsed="false">
      <c r="A54" s="5" t="s">
        <v>1171</v>
      </c>
      <c r="B54" s="47" t="n">
        <v>8</v>
      </c>
      <c r="C54" s="6" t="s">
        <v>1172</v>
      </c>
      <c r="D54" s="6" t="s">
        <v>1173</v>
      </c>
      <c r="E54" s="47" t="s">
        <v>1174</v>
      </c>
      <c r="F54" s="6" t="s">
        <v>1175</v>
      </c>
      <c r="G54" s="52" t="n">
        <v>46484</v>
      </c>
      <c r="H54" s="52" t="n">
        <v>46491</v>
      </c>
      <c r="I54" s="6"/>
      <c r="J54" s="47" t="str">
        <f aca="false">IF(SUMIF('Unit tests'!$E:$E,A54,'Unit tests'!$C:$C)=0,"",SUMIF('Unit tests'!$E:$E,A54,'Unit tests'!$C:$C))</f>
        <v/>
      </c>
      <c r="K54" s="6" t="s">
        <v>1176</v>
      </c>
    </row>
    <row r="55" customFormat="false" ht="91" hidden="false" customHeight="false" outlineLevel="0" collapsed="false">
      <c r="A55" s="5" t="s">
        <v>1177</v>
      </c>
      <c r="B55" s="47" t="n">
        <v>8</v>
      </c>
      <c r="C55" s="6" t="s">
        <v>1178</v>
      </c>
      <c r="D55" s="6" t="s">
        <v>1179</v>
      </c>
      <c r="E55" s="47" t="s">
        <v>1174</v>
      </c>
      <c r="F55" s="6" t="s">
        <v>1180</v>
      </c>
      <c r="G55" s="52" t="n">
        <v>46486</v>
      </c>
      <c r="H55" s="52" t="n">
        <v>46496</v>
      </c>
      <c r="I55" s="6"/>
      <c r="J55" s="47" t="str">
        <f aca="false">IF(SUMIF('Unit tests'!$E:$E,A55,'Unit tests'!$C:$C)=0,"",SUMIF('Unit tests'!$E:$E,A55,'Unit tests'!$C:$C))</f>
        <v/>
      </c>
      <c r="K55" s="6" t="s">
        <v>1181</v>
      </c>
    </row>
    <row r="56" customFormat="false" ht="57.45" hidden="false" customHeight="false" outlineLevel="0" collapsed="false">
      <c r="A56" s="5" t="s">
        <v>1182</v>
      </c>
      <c r="B56" s="47" t="n">
        <v>8</v>
      </c>
      <c r="C56" s="6" t="s">
        <v>1183</v>
      </c>
      <c r="D56" s="6" t="s">
        <v>1184</v>
      </c>
      <c r="E56" s="47" t="s">
        <v>1174</v>
      </c>
      <c r="F56" s="6" t="s">
        <v>1185</v>
      </c>
      <c r="G56" s="52" t="n">
        <v>46492</v>
      </c>
      <c r="H56" s="52" t="n">
        <v>46492</v>
      </c>
      <c r="I56" s="6"/>
      <c r="J56" s="47" t="str">
        <f aca="false">IF(SUMIF('Unit tests'!$E:$E,A56,'Unit tests'!$C:$C)=0,"",SUMIF('Unit tests'!$E:$E,A56,'Unit tests'!$C:$C))</f>
        <v/>
      </c>
      <c r="K56" s="6" t="s">
        <v>903</v>
      </c>
    </row>
    <row r="57" customFormat="false" ht="35.05" hidden="false" customHeight="false" outlineLevel="0" collapsed="false">
      <c r="A57" s="5" t="s">
        <v>1186</v>
      </c>
      <c r="B57" s="47" t="n">
        <v>8</v>
      </c>
      <c r="C57" s="6" t="s">
        <v>1187</v>
      </c>
      <c r="D57" s="6" t="s">
        <v>1188</v>
      </c>
      <c r="E57" s="47" t="s">
        <v>1189</v>
      </c>
      <c r="F57" s="6" t="s">
        <v>1190</v>
      </c>
      <c r="G57" s="52" t="n">
        <v>46498</v>
      </c>
      <c r="H57" s="52" t="n">
        <v>46498</v>
      </c>
      <c r="I57" s="6" t="s">
        <v>940</v>
      </c>
      <c r="J57" s="47" t="str">
        <f aca="false">IF(SUMIF('Unit tests'!$E:$E,A57,'Unit tests'!$C:$C)=0,"",SUMIF('Unit tests'!$E:$E,A57,'Unit tests'!$C:$C))</f>
        <v/>
      </c>
      <c r="K57" s="6" t="s">
        <v>912</v>
      </c>
    </row>
    <row r="58" customFormat="false" ht="68.65" hidden="false" customHeight="false" outlineLevel="0" collapsed="false">
      <c r="A58" s="5" t="s">
        <v>1191</v>
      </c>
      <c r="B58" s="47" t="n">
        <v>8</v>
      </c>
      <c r="C58" s="6" t="s">
        <v>1192</v>
      </c>
      <c r="D58" s="6" t="s">
        <v>1193</v>
      </c>
      <c r="E58" s="47" t="s">
        <v>1194</v>
      </c>
      <c r="F58" s="6" t="s">
        <v>1195</v>
      </c>
      <c r="G58" s="52" t="n">
        <v>46504</v>
      </c>
      <c r="H58" s="52" t="n">
        <v>46504</v>
      </c>
      <c r="I58" s="6"/>
      <c r="J58" s="47" t="str">
        <f aca="false">IF(SUMIF('Unit tests'!$E:$E,A58,'Unit tests'!$C:$C)=0,"",SUMIF('Unit tests'!$E:$E,A58,'Unit tests'!$C:$C))</f>
        <v/>
      </c>
      <c r="K58" s="6" t="s">
        <v>918</v>
      </c>
    </row>
    <row r="59" customFormat="false" ht="23.85" hidden="false" customHeight="false" outlineLevel="0" collapsed="false">
      <c r="A59" s="5" t="s">
        <v>1196</v>
      </c>
      <c r="B59" s="47" t="s">
        <v>1197</v>
      </c>
      <c r="C59" s="6" t="s">
        <v>1198</v>
      </c>
      <c r="D59" s="6"/>
      <c r="E59" s="47" t="s">
        <v>1199</v>
      </c>
      <c r="F59" s="6"/>
      <c r="G59" s="52"/>
      <c r="H59" s="52"/>
      <c r="I59" s="6" t="s">
        <v>1200</v>
      </c>
      <c r="J59" s="47" t="str">
        <f aca="false">IF(SUMIF('Unit tests'!$E:$E,A59,'Unit tests'!$C:$C)=0,"",SUMIF('Unit tests'!$E:$E,A59,'Unit tests'!$C:$C))</f>
        <v/>
      </c>
      <c r="K59" s="6"/>
    </row>
    <row r="60" customFormat="false" ht="23.85" hidden="false" customHeight="false" outlineLevel="0" collapsed="false">
      <c r="A60" s="5" t="s">
        <v>1201</v>
      </c>
      <c r="B60" s="47" t="s">
        <v>1197</v>
      </c>
      <c r="C60" s="6" t="s">
        <v>1198</v>
      </c>
      <c r="D60" s="6"/>
      <c r="E60" s="47" t="s">
        <v>1199</v>
      </c>
      <c r="F60" s="6"/>
      <c r="G60" s="52"/>
      <c r="H60" s="52"/>
      <c r="I60" s="6" t="s">
        <v>1200</v>
      </c>
      <c r="J60" s="47" t="str">
        <f aca="false">IF(SUMIF('Unit tests'!$E:$E,A60,'Unit tests'!$C:$C)=0,"",SUMIF('Unit tests'!$E:$E,A60,'Unit tests'!$C:$C))</f>
        <v/>
      </c>
      <c r="K60" s="6"/>
    </row>
    <row r="61" customFormat="false" ht="23.85" hidden="false" customHeight="false" outlineLevel="0" collapsed="false">
      <c r="A61" s="5" t="s">
        <v>1202</v>
      </c>
      <c r="B61" s="47" t="s">
        <v>1197</v>
      </c>
      <c r="C61" s="6" t="s">
        <v>1198</v>
      </c>
      <c r="D61" s="6"/>
      <c r="E61" s="47" t="s">
        <v>1199</v>
      </c>
      <c r="F61" s="6"/>
      <c r="G61" s="52"/>
      <c r="H61" s="52"/>
      <c r="I61" s="6" t="s">
        <v>1200</v>
      </c>
      <c r="J61" s="47" t="str">
        <f aca="false">IF(SUMIF('Unit tests'!$E:$E,A61,'Unit tests'!$C:$C)=0,"",SUMIF('Unit tests'!$E:$E,A61,'Unit tests'!$C:$C))</f>
        <v/>
      </c>
      <c r="K61" s="6"/>
    </row>
  </sheetData>
  <autoFilter ref="A1:K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9"/>
    <col collapsed="false" customWidth="true" hidden="false" outlineLevel="0" max="5" min="5" style="0" width="34"/>
    <col collapsed="false" customWidth="true" hidden="false" outlineLevel="0" max="6" min="6" style="0" width="14"/>
    <col collapsed="false" customWidth="true" hidden="false" outlineLevel="0" max="7" min="7" style="0" width="22"/>
    <col collapsed="false" customWidth="true" hidden="false" outlineLevel="0" max="8" min="8" style="0" width="12"/>
    <col collapsed="false" customWidth="true" hidden="false" outlineLevel="0" max="9" min="9" style="0" width="16"/>
    <col collapsed="false" customWidth="true" hidden="false" outlineLevel="0" max="10" min="10" style="0" width="9"/>
    <col collapsed="false" customWidth="true" hidden="false" outlineLevel="0" max="11" min="11" style="0" width="15"/>
  </cols>
  <sheetData>
    <row r="1" customFormat="false" ht="17.35" hidden="false" customHeight="false" outlineLevel="0" collapsed="false">
      <c r="A1" s="1" t="s">
        <v>1203</v>
      </c>
    </row>
    <row r="3" customFormat="false" ht="30" hidden="false" customHeight="true" outlineLevel="0" collapsed="false">
      <c r="A3" s="9" t="s">
        <v>30</v>
      </c>
      <c r="B3" s="9" t="s">
        <v>1204</v>
      </c>
      <c r="C3" s="9" t="s">
        <v>1205</v>
      </c>
      <c r="D3" s="9" t="s">
        <v>1206</v>
      </c>
      <c r="E3" s="9" t="s">
        <v>1207</v>
      </c>
      <c r="F3" s="9" t="s">
        <v>1208</v>
      </c>
      <c r="G3" s="9" t="s">
        <v>1209</v>
      </c>
      <c r="H3" s="9" t="s">
        <v>1210</v>
      </c>
      <c r="I3" s="9" t="s">
        <v>1211</v>
      </c>
    </row>
    <row r="4" customFormat="false" ht="15" hidden="false" customHeight="false" outlineLevel="0" collapsed="false">
      <c r="A4" s="5" t="s">
        <v>1212</v>
      </c>
      <c r="B4" s="53" t="s">
        <v>1213</v>
      </c>
      <c r="C4" s="7"/>
      <c r="D4" s="47"/>
      <c r="E4" s="8" t="str">
        <f aca="false">HYPERLINK(Links!$Q$2,"open")</f>
        <v>open</v>
      </c>
      <c r="F4" s="8" t="str">
        <f aca="false">HYPERLINK(Links!$Q$3,"open")</f>
        <v>open</v>
      </c>
      <c r="G4" s="8" t="str">
        <f aca="false">HYPERLINK(Links!$Q$4,"open")</f>
        <v>open</v>
      </c>
      <c r="H4" s="8" t="str">
        <f aca="false">HYPERLINK(Links!$Q$5,"open")</f>
        <v>open</v>
      </c>
      <c r="I4" s="8" t="str">
        <f aca="false">HYPERLINK(Links!$Q$6,"open")</f>
        <v>open</v>
      </c>
    </row>
    <row r="5" customFormat="false" ht="15" hidden="false" customHeight="false" outlineLevel="0" collapsed="false">
      <c r="A5" s="5" t="s">
        <v>1214</v>
      </c>
      <c r="B5" s="53" t="s">
        <v>1213</v>
      </c>
      <c r="C5" s="7"/>
      <c r="D5" s="47"/>
      <c r="E5" s="8" t="str">
        <f aca="false">HYPERLINK(Links!$Q$7,"open")</f>
        <v>open</v>
      </c>
      <c r="F5" s="8" t="str">
        <f aca="false">HYPERLINK(Links!$Q$8,"open")</f>
        <v>open</v>
      </c>
      <c r="G5" s="8" t="str">
        <f aca="false">HYPERLINK(Links!$Q$9,"open")</f>
        <v>open</v>
      </c>
      <c r="H5" s="8" t="str">
        <f aca="false">HYPERLINK(Links!$Q$10,"open")</f>
        <v>open</v>
      </c>
      <c r="I5" s="8" t="str">
        <f aca="false">HYPERLINK(Links!$Q$11,"open")</f>
        <v>open</v>
      </c>
    </row>
    <row r="6" customFormat="false" ht="15" hidden="false" customHeight="false" outlineLevel="0" collapsed="false">
      <c r="A6" s="5" t="s">
        <v>1215</v>
      </c>
      <c r="B6" s="48" t="n">
        <v>46310</v>
      </c>
      <c r="C6" s="7"/>
      <c r="D6" s="47" t="n">
        <f aca="false">C41</f>
        <v>36</v>
      </c>
      <c r="E6" s="8" t="str">
        <f aca="false">HYPERLINK(Links!$Q$12,"open")</f>
        <v>open</v>
      </c>
      <c r="F6" s="8" t="str">
        <f aca="false">HYPERLINK(Links!$Q$13,"open")</f>
        <v>open</v>
      </c>
      <c r="G6" s="8" t="str">
        <f aca="false">HYPERLINK(Links!$Q$14,"open")</f>
        <v>open</v>
      </c>
      <c r="H6" s="8" t="str">
        <f aca="false">HYPERLINK(Links!$Q$15,"open")</f>
        <v>open</v>
      </c>
      <c r="I6" s="8" t="str">
        <f aca="false">HYPERLINK(Links!$Q$16,"open")</f>
        <v>open</v>
      </c>
    </row>
    <row r="7" customFormat="false" ht="15" hidden="false" customHeight="false" outlineLevel="0" collapsed="false">
      <c r="A7" s="5" t="s">
        <v>1216</v>
      </c>
      <c r="B7" s="48" t="n">
        <v>46321</v>
      </c>
      <c r="C7" s="48" t="n">
        <v>46322</v>
      </c>
      <c r="D7" s="47" t="n">
        <f aca="false">C65</f>
        <v>34</v>
      </c>
      <c r="E7" s="8" t="str">
        <f aca="false">HYPERLINK(Links!$Q$17,"open")</f>
        <v>open</v>
      </c>
      <c r="F7" s="8" t="str">
        <f aca="false">HYPERLINK(Links!$Q$18,"open")</f>
        <v>open</v>
      </c>
      <c r="G7" s="8" t="str">
        <f aca="false">HYPERLINK(Links!$Q$19,"open")</f>
        <v>open</v>
      </c>
      <c r="H7" s="8" t="str">
        <f aca="false">HYPERLINK(Links!$Q$20,"open")</f>
        <v>open</v>
      </c>
      <c r="I7" s="8" t="str">
        <f aca="false">HYPERLINK(Links!$Q$21,"open")</f>
        <v>open</v>
      </c>
    </row>
    <row r="8" customFormat="false" ht="15" hidden="false" customHeight="false" outlineLevel="0" collapsed="false">
      <c r="A8" s="5" t="s">
        <v>1217</v>
      </c>
      <c r="B8" s="48" t="n">
        <v>46331</v>
      </c>
      <c r="C8" s="48" t="n">
        <v>46332</v>
      </c>
      <c r="D8" s="47"/>
      <c r="E8" s="53" t="s">
        <v>225</v>
      </c>
      <c r="F8" s="53"/>
      <c r="G8" s="53"/>
      <c r="H8" s="53"/>
      <c r="I8" s="53"/>
    </row>
    <row r="9" customFormat="false" ht="15" hidden="false" customHeight="false" outlineLevel="0" collapsed="false">
      <c r="A9" s="5" t="s">
        <v>1218</v>
      </c>
      <c r="B9" s="48" t="n">
        <v>46356</v>
      </c>
      <c r="C9" s="48" t="n">
        <v>46357</v>
      </c>
      <c r="D9" s="47"/>
      <c r="E9" s="53" t="s">
        <v>225</v>
      </c>
      <c r="F9" s="53"/>
      <c r="G9" s="53"/>
      <c r="H9" s="53"/>
      <c r="I9" s="53"/>
    </row>
    <row r="10" customFormat="false" ht="15" hidden="false" customHeight="false" outlineLevel="0" collapsed="false">
      <c r="A10" s="5" t="s">
        <v>1219</v>
      </c>
      <c r="B10" s="48" t="n">
        <v>46366</v>
      </c>
      <c r="C10" s="48" t="n">
        <v>46367</v>
      </c>
      <c r="D10" s="47"/>
      <c r="E10" s="53" t="s">
        <v>225</v>
      </c>
      <c r="F10" s="53"/>
      <c r="G10" s="53"/>
      <c r="H10" s="53"/>
      <c r="I10" s="53"/>
    </row>
    <row r="11" customFormat="false" ht="15" hidden="false" customHeight="false" outlineLevel="0" collapsed="false">
      <c r="A11" s="5" t="s">
        <v>1220</v>
      </c>
      <c r="B11" s="48" t="n">
        <v>46408</v>
      </c>
      <c r="C11" s="48" t="n">
        <v>46409</v>
      </c>
      <c r="D11" s="47"/>
      <c r="E11" s="53" t="s">
        <v>225</v>
      </c>
      <c r="F11" s="53"/>
      <c r="G11" s="53"/>
      <c r="H11" s="53"/>
      <c r="I11" s="53"/>
    </row>
    <row r="12" customFormat="false" ht="15" hidden="false" customHeight="false" outlineLevel="0" collapsed="false">
      <c r="A12" s="5" t="s">
        <v>1221</v>
      </c>
      <c r="B12" s="48" t="n">
        <v>46422</v>
      </c>
      <c r="C12" s="48" t="n">
        <v>46423</v>
      </c>
      <c r="D12" s="47"/>
      <c r="E12" s="53" t="s">
        <v>225</v>
      </c>
      <c r="F12" s="53"/>
      <c r="G12" s="53"/>
      <c r="H12" s="53"/>
      <c r="I12" s="53"/>
    </row>
    <row r="13" customFormat="false" ht="15" hidden="false" customHeight="false" outlineLevel="0" collapsed="false">
      <c r="A13" s="5" t="s">
        <v>1222</v>
      </c>
      <c r="B13" s="48" t="n">
        <v>46436</v>
      </c>
      <c r="C13" s="48" t="n">
        <v>46437</v>
      </c>
      <c r="D13" s="47"/>
      <c r="E13" s="53" t="s">
        <v>225</v>
      </c>
      <c r="F13" s="53"/>
      <c r="G13" s="53"/>
      <c r="H13" s="53"/>
      <c r="I13" s="53"/>
    </row>
    <row r="14" customFormat="false" ht="15" hidden="false" customHeight="false" outlineLevel="0" collapsed="false">
      <c r="A14" s="5" t="s">
        <v>1223</v>
      </c>
      <c r="B14" s="48" t="n">
        <v>46454</v>
      </c>
      <c r="C14" s="48" t="n">
        <v>46455</v>
      </c>
      <c r="D14" s="47"/>
      <c r="E14" s="53" t="s">
        <v>225</v>
      </c>
      <c r="F14" s="53"/>
      <c r="G14" s="53"/>
      <c r="H14" s="53"/>
      <c r="I14" s="53"/>
    </row>
    <row r="15" customFormat="false" ht="15" hidden="false" customHeight="false" outlineLevel="0" collapsed="false">
      <c r="A15" s="5" t="s">
        <v>1224</v>
      </c>
      <c r="B15" s="48" t="n">
        <v>46475</v>
      </c>
      <c r="C15" s="48" t="n">
        <v>46476</v>
      </c>
      <c r="D15" s="47"/>
      <c r="E15" s="53" t="s">
        <v>225</v>
      </c>
      <c r="F15" s="53"/>
      <c r="G15" s="53"/>
      <c r="H15" s="53"/>
      <c r="I15" s="53"/>
    </row>
    <row r="16" customFormat="false" ht="15" hidden="false" customHeight="false" outlineLevel="0" collapsed="false">
      <c r="A16" s="5" t="s">
        <v>1225</v>
      </c>
      <c r="B16" s="48" t="n">
        <v>46482</v>
      </c>
      <c r="C16" s="48" t="n">
        <v>46483</v>
      </c>
      <c r="D16" s="47"/>
      <c r="E16" s="53" t="s">
        <v>225</v>
      </c>
      <c r="F16" s="53"/>
      <c r="G16" s="53"/>
      <c r="H16" s="53"/>
      <c r="I16" s="53"/>
    </row>
    <row r="17" customFormat="false" ht="15" hidden="false" customHeight="false" outlineLevel="0" collapsed="false">
      <c r="A17" s="5" t="s">
        <v>1226</v>
      </c>
      <c r="B17" s="48" t="n">
        <v>46499</v>
      </c>
      <c r="C17" s="48" t="n">
        <v>46500</v>
      </c>
      <c r="D17" s="47"/>
      <c r="E17" s="53" t="s">
        <v>225</v>
      </c>
      <c r="F17" s="53"/>
      <c r="G17" s="53"/>
      <c r="H17" s="53"/>
      <c r="I17" s="53"/>
    </row>
    <row r="18" customFormat="false" ht="15" hidden="false" customHeight="false" outlineLevel="0" collapsed="false">
      <c r="A18" s="5" t="s">
        <v>1227</v>
      </c>
      <c r="B18" s="48" t="n">
        <v>46506</v>
      </c>
      <c r="C18" s="48" t="n">
        <v>46507</v>
      </c>
      <c r="D18" s="47"/>
      <c r="E18" s="53" t="s">
        <v>225</v>
      </c>
      <c r="F18" s="53"/>
      <c r="G18" s="53"/>
      <c r="H18" s="53"/>
      <c r="I18" s="53"/>
    </row>
    <row r="19" customFormat="false" ht="15" hidden="false" customHeight="false" outlineLevel="0" collapsed="false">
      <c r="A19" s="5" t="s">
        <v>1228</v>
      </c>
      <c r="B19" s="48" t="n">
        <v>46370</v>
      </c>
      <c r="C19" s="48" t="n">
        <v>46372</v>
      </c>
      <c r="D19" s="7"/>
      <c r="E19" s="53" t="s">
        <v>1229</v>
      </c>
      <c r="F19" s="53"/>
      <c r="G19" s="53"/>
      <c r="H19" s="53"/>
      <c r="I19" s="53"/>
    </row>
    <row r="20" customFormat="false" ht="15" hidden="false" customHeight="false" outlineLevel="0" collapsed="false">
      <c r="A20" s="5" t="s">
        <v>656</v>
      </c>
      <c r="B20" s="48" t="n">
        <v>46510</v>
      </c>
      <c r="C20" s="48" t="n">
        <v>46535</v>
      </c>
      <c r="D20" s="7"/>
      <c r="E20" s="53" t="s">
        <v>1230</v>
      </c>
      <c r="F20" s="53"/>
      <c r="G20" s="53"/>
      <c r="H20" s="53"/>
      <c r="I20" s="53"/>
    </row>
    <row r="22" customFormat="false" ht="15" hidden="false" customHeight="false" outlineLevel="0" collapsed="false">
      <c r="A22" s="4" t="s">
        <v>1231</v>
      </c>
    </row>
    <row r="23" customFormat="false" ht="15" hidden="false" customHeight="false" outlineLevel="0" collapsed="false">
      <c r="A23" s="12" t="s">
        <v>1232</v>
      </c>
    </row>
    <row r="24" customFormat="false" ht="18" hidden="false" customHeight="true" outlineLevel="0" collapsed="false">
      <c r="A24" s="9" t="s">
        <v>1233</v>
      </c>
      <c r="B24" s="9" t="s">
        <v>1234</v>
      </c>
      <c r="C24" s="9" t="s">
        <v>1206</v>
      </c>
      <c r="D24" s="9" t="s">
        <v>1235</v>
      </c>
      <c r="E24" s="9" t="s">
        <v>6</v>
      </c>
      <c r="F24" s="9" t="s">
        <v>1236</v>
      </c>
      <c r="G24" s="9" t="s">
        <v>1237</v>
      </c>
      <c r="I24" s="54" t="s">
        <v>6</v>
      </c>
      <c r="J24" s="54" t="s">
        <v>1206</v>
      </c>
      <c r="K24" s="54" t="s">
        <v>1238</v>
      </c>
    </row>
    <row r="25" customFormat="false" ht="15" hidden="false" customHeight="false" outlineLevel="0" collapsed="false">
      <c r="A25" s="47" t="n">
        <v>1</v>
      </c>
      <c r="B25" s="47" t="s">
        <v>1239</v>
      </c>
      <c r="C25" s="47" t="n">
        <v>4</v>
      </c>
      <c r="D25" s="7" t="s">
        <v>1240</v>
      </c>
      <c r="E25" s="7" t="s">
        <v>953</v>
      </c>
      <c r="F25" s="7" t="s">
        <v>1234</v>
      </c>
      <c r="G25" s="47"/>
      <c r="I25" s="7" t="s">
        <v>953</v>
      </c>
      <c r="J25" s="47" t="n">
        <f aca="false">SUMIF($E$25:$E$40,I25,$C$25:$C$40)</f>
        <v>9</v>
      </c>
      <c r="K25" s="55" t="n">
        <f aca="false">J25/$C$41</f>
        <v>0.25</v>
      </c>
    </row>
    <row r="26" customFormat="false" ht="15" hidden="false" customHeight="false" outlineLevel="0" collapsed="false">
      <c r="A26" s="47" t="n">
        <v>2</v>
      </c>
      <c r="B26" s="47" t="s">
        <v>1241</v>
      </c>
      <c r="C26" s="47" t="n">
        <v>3</v>
      </c>
      <c r="D26" s="7" t="s">
        <v>1240</v>
      </c>
      <c r="E26" s="7" t="s">
        <v>953</v>
      </c>
      <c r="F26" s="7" t="s">
        <v>1234</v>
      </c>
      <c r="G26" s="47"/>
      <c r="I26" s="7" t="s">
        <v>959</v>
      </c>
      <c r="J26" s="47" t="n">
        <f aca="false">SUMIF($E$25:$E$40,I26,$C$25:$C$40)</f>
        <v>9</v>
      </c>
      <c r="K26" s="55" t="n">
        <f aca="false">J26/$C$41</f>
        <v>0.25</v>
      </c>
    </row>
    <row r="27" customFormat="false" ht="15" hidden="false" customHeight="false" outlineLevel="0" collapsed="false">
      <c r="A27" s="47" t="n">
        <v>3</v>
      </c>
      <c r="B27" s="47"/>
      <c r="C27" s="47" t="n">
        <v>1</v>
      </c>
      <c r="D27" s="7" t="s">
        <v>1240</v>
      </c>
      <c r="E27" s="7" t="s">
        <v>953</v>
      </c>
      <c r="F27" s="7" t="s">
        <v>1242</v>
      </c>
      <c r="G27" s="47"/>
      <c r="I27" s="7" t="s">
        <v>964</v>
      </c>
      <c r="J27" s="47" t="n">
        <f aca="false">SUMIF($E$25:$E$40,I27,$C$25:$C$40)</f>
        <v>8</v>
      </c>
      <c r="K27" s="55" t="n">
        <f aca="false">J27/$C$41</f>
        <v>0.222222222222222</v>
      </c>
    </row>
    <row r="28" customFormat="false" ht="15" hidden="false" customHeight="false" outlineLevel="0" collapsed="false">
      <c r="A28" s="47" t="n">
        <v>4</v>
      </c>
      <c r="B28" s="47"/>
      <c r="C28" s="47" t="n">
        <v>1</v>
      </c>
      <c r="D28" s="7" t="s">
        <v>1240</v>
      </c>
      <c r="E28" s="7" t="s">
        <v>953</v>
      </c>
      <c r="F28" s="7" t="s">
        <v>1243</v>
      </c>
      <c r="G28" s="47"/>
      <c r="I28" s="7" t="s">
        <v>970</v>
      </c>
      <c r="J28" s="47" t="n">
        <f aca="false">SUMIF($E$25:$E$40,I28,$C$25:$C$40)</f>
        <v>10</v>
      </c>
      <c r="K28" s="55" t="n">
        <f aca="false">J28/$C$41</f>
        <v>0.277777777777778</v>
      </c>
    </row>
    <row r="29" customFormat="false" ht="15" hidden="false" customHeight="false" outlineLevel="0" collapsed="false">
      <c r="A29" s="47" t="n">
        <v>5</v>
      </c>
      <c r="B29" s="47" t="s">
        <v>1241</v>
      </c>
      <c r="C29" s="47" t="n">
        <v>3</v>
      </c>
      <c r="D29" s="7" t="s">
        <v>1244</v>
      </c>
      <c r="E29" s="7" t="s">
        <v>959</v>
      </c>
      <c r="F29" s="7" t="s">
        <v>1234</v>
      </c>
      <c r="G29" s="47"/>
    </row>
    <row r="30" customFormat="false" ht="15" hidden="false" customHeight="false" outlineLevel="0" collapsed="false">
      <c r="A30" s="47" t="n">
        <v>6</v>
      </c>
      <c r="B30" s="47" t="s">
        <v>1239</v>
      </c>
      <c r="C30" s="47" t="n">
        <v>4</v>
      </c>
      <c r="D30" s="7" t="s">
        <v>1244</v>
      </c>
      <c r="E30" s="7" t="s">
        <v>959</v>
      </c>
      <c r="F30" s="7" t="s">
        <v>1234</v>
      </c>
      <c r="G30" s="47"/>
    </row>
    <row r="31" customFormat="false" ht="15" hidden="false" customHeight="false" outlineLevel="0" collapsed="false">
      <c r="A31" s="47" t="n">
        <v>7</v>
      </c>
      <c r="B31" s="47"/>
      <c r="C31" s="47" t="n">
        <v>1</v>
      </c>
      <c r="D31" s="7" t="s">
        <v>1244</v>
      </c>
      <c r="E31" s="7" t="s">
        <v>959</v>
      </c>
      <c r="F31" s="7" t="s">
        <v>1242</v>
      </c>
      <c r="G31" s="47"/>
    </row>
    <row r="32" customFormat="false" ht="15" hidden="false" customHeight="false" outlineLevel="0" collapsed="false">
      <c r="A32" s="47" t="n">
        <v>8</v>
      </c>
      <c r="B32" s="47"/>
      <c r="C32" s="47" t="n">
        <v>1</v>
      </c>
      <c r="D32" s="7" t="s">
        <v>1244</v>
      </c>
      <c r="E32" s="7" t="s">
        <v>959</v>
      </c>
      <c r="F32" s="7" t="s">
        <v>1242</v>
      </c>
      <c r="G32" s="47"/>
    </row>
    <row r="33" customFormat="false" ht="15" hidden="false" customHeight="false" outlineLevel="0" collapsed="false">
      <c r="A33" s="47" t="n">
        <v>9</v>
      </c>
      <c r="B33" s="47" t="s">
        <v>1239</v>
      </c>
      <c r="C33" s="47" t="n">
        <v>4</v>
      </c>
      <c r="D33" s="7" t="s">
        <v>1245</v>
      </c>
      <c r="E33" s="7" t="s">
        <v>964</v>
      </c>
      <c r="F33" s="7" t="s">
        <v>1234</v>
      </c>
      <c r="G33" s="47"/>
    </row>
    <row r="34" customFormat="false" ht="15" hidden="false" customHeight="false" outlineLevel="0" collapsed="false">
      <c r="A34" s="47" t="n">
        <v>10</v>
      </c>
      <c r="B34" s="47" t="s">
        <v>1241</v>
      </c>
      <c r="C34" s="47" t="n">
        <v>3</v>
      </c>
      <c r="D34" s="7" t="s">
        <v>1245</v>
      </c>
      <c r="E34" s="7" t="s">
        <v>964</v>
      </c>
      <c r="F34" s="7" t="s">
        <v>1234</v>
      </c>
      <c r="G34" s="47"/>
    </row>
    <row r="35" customFormat="false" ht="15" hidden="false" customHeight="false" outlineLevel="0" collapsed="false">
      <c r="A35" s="47" t="n">
        <v>11</v>
      </c>
      <c r="B35" s="47"/>
      <c r="C35" s="47" t="n">
        <v>1</v>
      </c>
      <c r="D35" s="7" t="s">
        <v>1245</v>
      </c>
      <c r="E35" s="7" t="s">
        <v>964</v>
      </c>
      <c r="F35" s="7" t="s">
        <v>1242</v>
      </c>
      <c r="G35" s="47"/>
    </row>
    <row r="36" customFormat="false" ht="15" hidden="false" customHeight="false" outlineLevel="0" collapsed="false">
      <c r="A36" s="47" t="n">
        <v>12</v>
      </c>
      <c r="B36" s="47" t="s">
        <v>1239</v>
      </c>
      <c r="C36" s="47" t="n">
        <v>4</v>
      </c>
      <c r="D36" s="7" t="s">
        <v>1246</v>
      </c>
      <c r="E36" s="7" t="s">
        <v>970</v>
      </c>
      <c r="F36" s="7" t="s">
        <v>1234</v>
      </c>
      <c r="G36" s="47"/>
    </row>
    <row r="37" customFormat="false" ht="15" hidden="false" customHeight="false" outlineLevel="0" collapsed="false">
      <c r="A37" s="47" t="n">
        <v>13</v>
      </c>
      <c r="B37" s="47" t="s">
        <v>1247</v>
      </c>
      <c r="C37" s="47" t="n">
        <v>2</v>
      </c>
      <c r="D37" s="7" t="s">
        <v>1246</v>
      </c>
      <c r="E37" s="7" t="s">
        <v>970</v>
      </c>
      <c r="F37" s="7" t="s">
        <v>1234</v>
      </c>
      <c r="G37" s="47"/>
    </row>
    <row r="38" customFormat="false" ht="15" hidden="false" customHeight="false" outlineLevel="0" collapsed="false">
      <c r="A38" s="47" t="n">
        <v>14</v>
      </c>
      <c r="B38" s="47"/>
      <c r="C38" s="47" t="n">
        <v>1</v>
      </c>
      <c r="D38" s="7" t="s">
        <v>1246</v>
      </c>
      <c r="E38" s="7" t="s">
        <v>970</v>
      </c>
      <c r="F38" s="7" t="s">
        <v>1242</v>
      </c>
      <c r="G38" s="47"/>
    </row>
    <row r="39" customFormat="false" ht="15" hidden="false" customHeight="false" outlineLevel="0" collapsed="false">
      <c r="A39" s="47" t="n">
        <v>15</v>
      </c>
      <c r="B39" s="47" t="s">
        <v>1247</v>
      </c>
      <c r="C39" s="47" t="n">
        <v>2</v>
      </c>
      <c r="D39" s="7" t="s">
        <v>1246</v>
      </c>
      <c r="E39" s="7" t="s">
        <v>970</v>
      </c>
      <c r="F39" s="7" t="s">
        <v>1234</v>
      </c>
      <c r="G39" s="47"/>
    </row>
    <row r="40" customFormat="false" ht="15" hidden="false" customHeight="false" outlineLevel="0" collapsed="false">
      <c r="A40" s="47" t="n">
        <v>16</v>
      </c>
      <c r="B40" s="47"/>
      <c r="C40" s="47" t="n">
        <v>1</v>
      </c>
      <c r="D40" s="7" t="s">
        <v>1246</v>
      </c>
      <c r="E40" s="7" t="s">
        <v>970</v>
      </c>
      <c r="F40" s="7" t="s">
        <v>1243</v>
      </c>
      <c r="G40" s="47"/>
    </row>
    <row r="41" customFormat="false" ht="15" hidden="false" customHeight="false" outlineLevel="0" collapsed="false">
      <c r="B41" s="5" t="s">
        <v>1248</v>
      </c>
      <c r="C41" s="56" t="n">
        <f aca="false">SUM(C25:C40)</f>
        <v>36</v>
      </c>
    </row>
    <row r="44" customFormat="false" ht="15" hidden="false" customHeight="false" outlineLevel="0" collapsed="false">
      <c r="A44" s="4" t="s">
        <v>1249</v>
      </c>
    </row>
    <row r="45" customFormat="false" ht="15" hidden="false" customHeight="false" outlineLevel="0" collapsed="false">
      <c r="A45" s="12" t="s">
        <v>1232</v>
      </c>
    </row>
    <row r="46" customFormat="false" ht="18" hidden="false" customHeight="true" outlineLevel="0" collapsed="false">
      <c r="A46" s="9" t="s">
        <v>1233</v>
      </c>
      <c r="B46" s="9" t="s">
        <v>1234</v>
      </c>
      <c r="C46" s="9" t="s">
        <v>1206</v>
      </c>
      <c r="D46" s="9" t="s">
        <v>1235</v>
      </c>
      <c r="E46" s="9" t="s">
        <v>6</v>
      </c>
      <c r="F46" s="9" t="s">
        <v>1236</v>
      </c>
      <c r="G46" s="9" t="s">
        <v>1237</v>
      </c>
      <c r="I46" s="54" t="s">
        <v>6</v>
      </c>
      <c r="J46" s="54" t="s">
        <v>1206</v>
      </c>
      <c r="K46" s="54" t="s">
        <v>1238</v>
      </c>
    </row>
    <row r="47" customFormat="false" ht="15" hidden="false" customHeight="false" outlineLevel="0" collapsed="false">
      <c r="A47" s="47" t="n">
        <v>1</v>
      </c>
      <c r="B47" s="47" t="s">
        <v>1239</v>
      </c>
      <c r="C47" s="47" t="n">
        <v>4</v>
      </c>
      <c r="D47" s="7" t="s">
        <v>1250</v>
      </c>
      <c r="E47" s="7" t="s">
        <v>974</v>
      </c>
      <c r="F47" s="7" t="s">
        <v>1234</v>
      </c>
      <c r="G47" s="47"/>
      <c r="I47" s="7" t="s">
        <v>974</v>
      </c>
      <c r="J47" s="47" t="n">
        <f aca="false">SUMIF($E$47:$E$64,I47,$C$47:$C$64)</f>
        <v>12</v>
      </c>
      <c r="K47" s="55" t="n">
        <f aca="false">J47/$C$65</f>
        <v>0.352941176470588</v>
      </c>
    </row>
    <row r="48" customFormat="false" ht="15" hidden="false" customHeight="false" outlineLevel="0" collapsed="false">
      <c r="A48" s="47" t="n">
        <v>2</v>
      </c>
      <c r="B48" s="47" t="s">
        <v>1239</v>
      </c>
      <c r="C48" s="47" t="n">
        <v>4</v>
      </c>
      <c r="D48" s="7" t="s">
        <v>1250</v>
      </c>
      <c r="E48" s="7" t="s">
        <v>974</v>
      </c>
      <c r="F48" s="7" t="s">
        <v>1234</v>
      </c>
      <c r="G48" s="47"/>
      <c r="I48" s="7" t="s">
        <v>980</v>
      </c>
      <c r="J48" s="47" t="n">
        <f aca="false">SUMIF($E$47:$E$64,I48,$C$47:$C$64)</f>
        <v>9</v>
      </c>
      <c r="K48" s="55" t="n">
        <f aca="false">J48/$C$65</f>
        <v>0.264705882352941</v>
      </c>
    </row>
    <row r="49" customFormat="false" ht="15" hidden="false" customHeight="false" outlineLevel="0" collapsed="false">
      <c r="A49" s="47" t="n">
        <v>3</v>
      </c>
      <c r="B49" s="47"/>
      <c r="C49" s="47" t="n">
        <v>1</v>
      </c>
      <c r="D49" s="7" t="s">
        <v>1250</v>
      </c>
      <c r="E49" s="7" t="s">
        <v>974</v>
      </c>
      <c r="F49" s="7" t="s">
        <v>1242</v>
      </c>
      <c r="G49" s="47"/>
      <c r="I49" s="7" t="s">
        <v>984</v>
      </c>
      <c r="J49" s="47" t="n">
        <f aca="false">SUMIF($E$47:$E$64,I49,$C$47:$C$64)</f>
        <v>13</v>
      </c>
      <c r="K49" s="55" t="n">
        <f aca="false">J49/$C$65</f>
        <v>0.382352941176471</v>
      </c>
    </row>
    <row r="50" customFormat="false" ht="15" hidden="false" customHeight="false" outlineLevel="0" collapsed="false">
      <c r="A50" s="47" t="n">
        <v>4</v>
      </c>
      <c r="B50" s="47"/>
      <c r="C50" s="47" t="n">
        <v>1</v>
      </c>
      <c r="D50" s="7" t="s">
        <v>1250</v>
      </c>
      <c r="E50" s="7" t="s">
        <v>974</v>
      </c>
      <c r="F50" s="7" t="s">
        <v>1242</v>
      </c>
      <c r="G50" s="47"/>
    </row>
    <row r="51" customFormat="false" ht="15" hidden="false" customHeight="false" outlineLevel="0" collapsed="false">
      <c r="A51" s="47" t="n">
        <v>5</v>
      </c>
      <c r="B51" s="47"/>
      <c r="C51" s="47" t="n">
        <v>1</v>
      </c>
      <c r="D51" s="7" t="s">
        <v>1250</v>
      </c>
      <c r="E51" s="7" t="s">
        <v>974</v>
      </c>
      <c r="F51" s="7" t="s">
        <v>1243</v>
      </c>
      <c r="G51" s="47"/>
    </row>
    <row r="52" customFormat="false" ht="15" hidden="false" customHeight="false" outlineLevel="0" collapsed="false">
      <c r="A52" s="47" t="n">
        <v>6</v>
      </c>
      <c r="B52" s="47"/>
      <c r="C52" s="47" t="n">
        <v>1</v>
      </c>
      <c r="D52" s="7" t="s">
        <v>1250</v>
      </c>
      <c r="E52" s="7" t="s">
        <v>974</v>
      </c>
      <c r="F52" s="7" t="s">
        <v>1243</v>
      </c>
      <c r="G52" s="47" t="s">
        <v>1251</v>
      </c>
    </row>
    <row r="53" customFormat="false" ht="15" hidden="false" customHeight="false" outlineLevel="0" collapsed="false">
      <c r="A53" s="47" t="n">
        <v>7</v>
      </c>
      <c r="B53" s="47" t="s">
        <v>1241</v>
      </c>
      <c r="C53" s="47" t="n">
        <v>3</v>
      </c>
      <c r="D53" s="7" t="s">
        <v>1252</v>
      </c>
      <c r="E53" s="7" t="s">
        <v>980</v>
      </c>
      <c r="F53" s="7" t="s">
        <v>1234</v>
      </c>
      <c r="G53" s="47"/>
    </row>
    <row r="54" customFormat="false" ht="15" hidden="false" customHeight="false" outlineLevel="0" collapsed="false">
      <c r="A54" s="47" t="n">
        <v>8</v>
      </c>
      <c r="B54" s="47" t="s">
        <v>1247</v>
      </c>
      <c r="C54" s="47" t="n">
        <v>2</v>
      </c>
      <c r="D54" s="7" t="s">
        <v>1252</v>
      </c>
      <c r="E54" s="7" t="s">
        <v>980</v>
      </c>
      <c r="F54" s="7" t="s">
        <v>1234</v>
      </c>
      <c r="G54" s="47"/>
    </row>
    <row r="55" customFormat="false" ht="15" hidden="false" customHeight="false" outlineLevel="0" collapsed="false">
      <c r="A55" s="47" t="n">
        <v>9</v>
      </c>
      <c r="B55" s="47" t="s">
        <v>1247</v>
      </c>
      <c r="C55" s="47" t="n">
        <v>2</v>
      </c>
      <c r="D55" s="7" t="s">
        <v>1252</v>
      </c>
      <c r="E55" s="7" t="s">
        <v>980</v>
      </c>
      <c r="F55" s="7" t="s">
        <v>1234</v>
      </c>
      <c r="G55" s="47"/>
    </row>
    <row r="56" customFormat="false" ht="15" hidden="false" customHeight="false" outlineLevel="0" collapsed="false">
      <c r="A56" s="47" t="n">
        <v>10</v>
      </c>
      <c r="B56" s="47"/>
      <c r="C56" s="47" t="n">
        <v>1</v>
      </c>
      <c r="D56" s="7" t="s">
        <v>1252</v>
      </c>
      <c r="E56" s="7" t="s">
        <v>980</v>
      </c>
      <c r="F56" s="7" t="s">
        <v>1243</v>
      </c>
      <c r="G56" s="47"/>
    </row>
    <row r="57" customFormat="false" ht="15" hidden="false" customHeight="false" outlineLevel="0" collapsed="false">
      <c r="A57" s="47" t="n">
        <v>11</v>
      </c>
      <c r="B57" s="47"/>
      <c r="C57" s="47" t="n">
        <v>1</v>
      </c>
      <c r="D57" s="7" t="s">
        <v>1252</v>
      </c>
      <c r="E57" s="7" t="s">
        <v>980</v>
      </c>
      <c r="F57" s="7" t="s">
        <v>1242</v>
      </c>
      <c r="G57" s="47"/>
    </row>
    <row r="58" customFormat="false" ht="15" hidden="false" customHeight="false" outlineLevel="0" collapsed="false">
      <c r="A58" s="47" t="n">
        <v>12</v>
      </c>
      <c r="B58" s="47" t="s">
        <v>1239</v>
      </c>
      <c r="C58" s="47" t="n">
        <v>4</v>
      </c>
      <c r="D58" s="7" t="s">
        <v>1253</v>
      </c>
      <c r="E58" s="7" t="s">
        <v>984</v>
      </c>
      <c r="F58" s="7" t="s">
        <v>1234</v>
      </c>
      <c r="G58" s="47"/>
    </row>
    <row r="59" customFormat="false" ht="15" hidden="false" customHeight="false" outlineLevel="0" collapsed="false">
      <c r="A59" s="47" t="n">
        <v>13</v>
      </c>
      <c r="B59" s="47" t="s">
        <v>1241</v>
      </c>
      <c r="C59" s="47" t="n">
        <v>3</v>
      </c>
      <c r="D59" s="7" t="s">
        <v>1253</v>
      </c>
      <c r="E59" s="7" t="s">
        <v>984</v>
      </c>
      <c r="F59" s="7" t="s">
        <v>1234</v>
      </c>
      <c r="G59" s="47"/>
    </row>
    <row r="60" customFormat="false" ht="15" hidden="false" customHeight="false" outlineLevel="0" collapsed="false">
      <c r="A60" s="47" t="n">
        <v>14</v>
      </c>
      <c r="B60" s="47" t="s">
        <v>1247</v>
      </c>
      <c r="C60" s="47" t="n">
        <v>2</v>
      </c>
      <c r="D60" s="7" t="s">
        <v>1253</v>
      </c>
      <c r="E60" s="7" t="s">
        <v>984</v>
      </c>
      <c r="F60" s="7" t="s">
        <v>1234</v>
      </c>
      <c r="G60" s="47"/>
    </row>
    <row r="61" customFormat="false" ht="15" hidden="false" customHeight="false" outlineLevel="0" collapsed="false">
      <c r="A61" s="47" t="n">
        <v>15</v>
      </c>
      <c r="B61" s="47"/>
      <c r="C61" s="47" t="n">
        <v>1</v>
      </c>
      <c r="D61" s="7" t="s">
        <v>1253</v>
      </c>
      <c r="E61" s="7" t="s">
        <v>984</v>
      </c>
      <c r="F61" s="7" t="s">
        <v>1242</v>
      </c>
      <c r="G61" s="47"/>
    </row>
    <row r="62" customFormat="false" ht="15" hidden="false" customHeight="false" outlineLevel="0" collapsed="false">
      <c r="A62" s="47" t="n">
        <v>16</v>
      </c>
      <c r="B62" s="47"/>
      <c r="C62" s="47" t="n">
        <v>1</v>
      </c>
      <c r="D62" s="7" t="s">
        <v>1253</v>
      </c>
      <c r="E62" s="7" t="s">
        <v>984</v>
      </c>
      <c r="F62" s="7" t="s">
        <v>1242</v>
      </c>
      <c r="G62" s="47"/>
    </row>
    <row r="63" customFormat="false" ht="15" hidden="false" customHeight="false" outlineLevel="0" collapsed="false">
      <c r="A63" s="47" t="n">
        <v>17</v>
      </c>
      <c r="B63" s="47"/>
      <c r="C63" s="47" t="n">
        <v>1</v>
      </c>
      <c r="D63" s="7" t="s">
        <v>1253</v>
      </c>
      <c r="E63" s="7" t="s">
        <v>984</v>
      </c>
      <c r="F63" s="7" t="s">
        <v>1243</v>
      </c>
      <c r="G63" s="47"/>
    </row>
    <row r="64" customFormat="false" ht="15" hidden="false" customHeight="false" outlineLevel="0" collapsed="false">
      <c r="A64" s="47" t="n">
        <v>18</v>
      </c>
      <c r="B64" s="47"/>
      <c r="C64" s="47" t="n">
        <v>1</v>
      </c>
      <c r="D64" s="7" t="s">
        <v>1253</v>
      </c>
      <c r="E64" s="7" t="s">
        <v>984</v>
      </c>
      <c r="F64" s="7" t="s">
        <v>1243</v>
      </c>
      <c r="G64" s="47" t="s">
        <v>1251</v>
      </c>
    </row>
    <row r="65" customFormat="false" ht="15" hidden="false" customHeight="false" outlineLevel="0" collapsed="false">
      <c r="B65" s="5" t="s">
        <v>1248</v>
      </c>
      <c r="C65" s="56" t="n">
        <f aca="false">SUM(C47:C64)</f>
        <v>34</v>
      </c>
    </row>
  </sheetData>
  <mergeCells count="2">
    <mergeCell ref="E19:I19"/>
    <mergeCell ref="E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8"/>
  </cols>
  <sheetData>
    <row r="1" customFormat="false" ht="17.35" hidden="false" customHeight="false" outlineLevel="0" collapsed="false">
      <c r="A1" s="57" t="s">
        <v>1254</v>
      </c>
      <c r="B1" s="57"/>
      <c r="C1" s="57"/>
      <c r="D1" s="57"/>
      <c r="E1" s="57"/>
    </row>
    <row r="2" customFormat="false" ht="15" hidden="false" customHeight="false" outlineLevel="0" collapsed="false">
      <c r="A2" s="58" t="s">
        <v>1255</v>
      </c>
      <c r="B2" s="58" t="s">
        <v>1256</v>
      </c>
      <c r="C2" s="58" t="s">
        <v>1257</v>
      </c>
      <c r="D2" s="58" t="s">
        <v>1258</v>
      </c>
      <c r="E2" s="58" t="s">
        <v>1259</v>
      </c>
    </row>
    <row r="3" customFormat="false" ht="66" hidden="false" customHeight="true" outlineLevel="0" collapsed="false">
      <c r="A3" s="59" t="s">
        <v>1260</v>
      </c>
      <c r="B3" s="59" t="s">
        <v>1261</v>
      </c>
      <c r="C3" s="60" t="s">
        <v>1262</v>
      </c>
      <c r="D3" s="60" t="s">
        <v>1263</v>
      </c>
      <c r="E3" s="60" t="s">
        <v>1264</v>
      </c>
    </row>
    <row r="4" customFormat="false" ht="66" hidden="false" customHeight="true" outlineLevel="0" collapsed="false">
      <c r="A4" s="60" t="s">
        <v>1265</v>
      </c>
      <c r="B4" s="60" t="s">
        <v>1266</v>
      </c>
      <c r="C4" s="60" t="s">
        <v>1267</v>
      </c>
      <c r="D4" s="61"/>
      <c r="E4" s="61"/>
    </row>
    <row r="6" customFormat="false" ht="17.35" hidden="false" customHeight="false" outlineLevel="0" collapsed="false">
      <c r="A6" s="57" t="s">
        <v>1268</v>
      </c>
      <c r="B6" s="57"/>
      <c r="C6" s="57"/>
      <c r="D6" s="57"/>
      <c r="E6" s="57"/>
    </row>
    <row r="7" customFormat="false" ht="15" hidden="false" customHeight="false" outlineLevel="0" collapsed="false">
      <c r="A7" s="58" t="s">
        <v>1255</v>
      </c>
      <c r="B7" s="58" t="s">
        <v>1256</v>
      </c>
      <c r="C7" s="58" t="s">
        <v>1257</v>
      </c>
      <c r="D7" s="58" t="s">
        <v>1258</v>
      </c>
      <c r="E7" s="58" t="s">
        <v>1259</v>
      </c>
    </row>
    <row r="8" customFormat="false" ht="66" hidden="false" customHeight="true" outlineLevel="0" collapsed="false">
      <c r="A8" s="61"/>
      <c r="B8" s="61"/>
      <c r="C8" s="61"/>
      <c r="D8" s="62" t="s">
        <v>1269</v>
      </c>
      <c r="E8" s="62" t="s">
        <v>1270</v>
      </c>
    </row>
    <row r="9" customFormat="false" ht="66" hidden="false" customHeight="true" outlineLevel="0" collapsed="false">
      <c r="A9" s="60" t="s">
        <v>1271</v>
      </c>
      <c r="B9" s="60" t="s">
        <v>1272</v>
      </c>
      <c r="C9" s="60" t="s">
        <v>1273</v>
      </c>
      <c r="D9" s="62" t="s">
        <v>1274</v>
      </c>
      <c r="E9" s="60" t="s">
        <v>1275</v>
      </c>
    </row>
    <row r="10" customFormat="false" ht="66" hidden="false" customHeight="true" outlineLevel="0" collapsed="false">
      <c r="A10" s="63" t="s">
        <v>1276</v>
      </c>
      <c r="B10" s="62" t="s">
        <v>1277</v>
      </c>
      <c r="C10" s="62" t="s">
        <v>1278</v>
      </c>
      <c r="D10" s="64" t="s">
        <v>1279</v>
      </c>
      <c r="E10" s="65" t="s">
        <v>1280</v>
      </c>
    </row>
    <row r="11" customFormat="false" ht="66" hidden="false" customHeight="true" outlineLevel="0" collapsed="false">
      <c r="A11" s="65" t="s">
        <v>1281</v>
      </c>
      <c r="B11" s="65" t="s">
        <v>1282</v>
      </c>
      <c r="C11" s="65" t="s">
        <v>1283</v>
      </c>
      <c r="D11" s="65" t="s">
        <v>1284</v>
      </c>
      <c r="E11" s="65" t="s">
        <v>1285</v>
      </c>
    </row>
    <row r="12" customFormat="false" ht="66" hidden="false" customHeight="true" outlineLevel="0" collapsed="false">
      <c r="A12" s="64" t="s">
        <v>1286</v>
      </c>
      <c r="B12" s="64" t="s">
        <v>1287</v>
      </c>
      <c r="C12" s="60" t="s">
        <v>1288</v>
      </c>
      <c r="D12" s="60" t="s">
        <v>1289</v>
      </c>
      <c r="E12" s="60" t="s">
        <v>1290</v>
      </c>
    </row>
    <row r="14" customFormat="false" ht="17.35" hidden="false" customHeight="false" outlineLevel="0" collapsed="false">
      <c r="A14" s="57" t="s">
        <v>1291</v>
      </c>
      <c r="B14" s="57"/>
      <c r="C14" s="57"/>
      <c r="D14" s="57"/>
      <c r="E14" s="57"/>
    </row>
    <row r="15" customFormat="false" ht="15" hidden="false" customHeight="false" outlineLevel="0" collapsed="false">
      <c r="A15" s="58" t="s">
        <v>1255</v>
      </c>
      <c r="B15" s="58" t="s">
        <v>1256</v>
      </c>
      <c r="C15" s="58" t="s">
        <v>1257</v>
      </c>
      <c r="D15" s="58" t="s">
        <v>1258</v>
      </c>
      <c r="E15" s="58" t="s">
        <v>1259</v>
      </c>
    </row>
    <row r="16" customFormat="false" ht="66" hidden="false" customHeight="true" outlineLevel="0" collapsed="false">
      <c r="A16" s="61"/>
      <c r="B16" s="61"/>
      <c r="C16" s="61"/>
      <c r="D16" s="61"/>
      <c r="E16" s="61"/>
    </row>
    <row r="17" customFormat="false" ht="66" hidden="false" customHeight="true" outlineLevel="0" collapsed="false">
      <c r="A17" s="60" t="s">
        <v>1292</v>
      </c>
      <c r="B17" s="60" t="s">
        <v>1293</v>
      </c>
      <c r="C17" s="60" t="s">
        <v>1294</v>
      </c>
      <c r="D17" s="64" t="s">
        <v>1295</v>
      </c>
      <c r="E17" s="64" t="s">
        <v>1296</v>
      </c>
    </row>
    <row r="18" customFormat="false" ht="66" hidden="false" customHeight="true" outlineLevel="0" collapsed="false">
      <c r="A18" s="65" t="s">
        <v>1297</v>
      </c>
      <c r="B18" s="65" t="s">
        <v>1298</v>
      </c>
      <c r="C18" s="63" t="s">
        <v>1299</v>
      </c>
      <c r="D18" s="65" t="s">
        <v>1300</v>
      </c>
      <c r="E18" s="65" t="s">
        <v>1301</v>
      </c>
    </row>
    <row r="19" customFormat="false" ht="66" hidden="false" customHeight="true" outlineLevel="0" collapsed="false">
      <c r="A19" s="65" t="s">
        <v>1302</v>
      </c>
      <c r="B19" s="65" t="s">
        <v>1303</v>
      </c>
      <c r="C19" s="65" t="s">
        <v>1304</v>
      </c>
      <c r="D19" s="65" t="s">
        <v>1305</v>
      </c>
      <c r="E19" s="62" t="s">
        <v>1306</v>
      </c>
    </row>
    <row r="20" customFormat="false" ht="66" hidden="false" customHeight="true" outlineLevel="0" collapsed="false">
      <c r="A20" s="63" t="s">
        <v>1307</v>
      </c>
      <c r="B20" s="63" t="s">
        <v>1308</v>
      </c>
      <c r="C20" s="63" t="s">
        <v>1309</v>
      </c>
      <c r="D20" s="63" t="s">
        <v>1310</v>
      </c>
      <c r="E20" s="63" t="s">
        <v>1311</v>
      </c>
    </row>
    <row r="21" customFormat="false" ht="66" hidden="false" customHeight="true" outlineLevel="0" collapsed="false">
      <c r="A21" s="64" t="s">
        <v>1312</v>
      </c>
      <c r="B21" s="61"/>
      <c r="C21" s="61"/>
      <c r="D21" s="61"/>
      <c r="E21" s="61"/>
    </row>
    <row r="23" customFormat="false" ht="17.35" hidden="false" customHeight="false" outlineLevel="0" collapsed="false">
      <c r="A23" s="57" t="s">
        <v>1313</v>
      </c>
      <c r="B23" s="57"/>
      <c r="C23" s="57"/>
      <c r="D23" s="57"/>
      <c r="E23" s="57"/>
    </row>
    <row r="24" customFormat="false" ht="15" hidden="false" customHeight="false" outlineLevel="0" collapsed="false">
      <c r="A24" s="58" t="s">
        <v>1255</v>
      </c>
      <c r="B24" s="58" t="s">
        <v>1256</v>
      </c>
      <c r="C24" s="58" t="s">
        <v>1257</v>
      </c>
      <c r="D24" s="58" t="s">
        <v>1258</v>
      </c>
      <c r="E24" s="58" t="s">
        <v>1259</v>
      </c>
    </row>
    <row r="25" customFormat="false" ht="66" hidden="false" customHeight="true" outlineLevel="0" collapsed="false">
      <c r="A25" s="61"/>
      <c r="B25" s="64" t="s">
        <v>1314</v>
      </c>
      <c r="C25" s="62" t="s">
        <v>1315</v>
      </c>
      <c r="D25" s="60" t="s">
        <v>1316</v>
      </c>
      <c r="E25" s="60" t="s">
        <v>1317</v>
      </c>
    </row>
    <row r="26" customFormat="false" ht="66" hidden="false" customHeight="true" outlineLevel="0" collapsed="false">
      <c r="A26" s="60" t="s">
        <v>1318</v>
      </c>
      <c r="B26" s="60" t="s">
        <v>1319</v>
      </c>
      <c r="C26" s="60" t="s">
        <v>1320</v>
      </c>
      <c r="D26" s="64" t="s">
        <v>1321</v>
      </c>
      <c r="E26" s="64" t="s">
        <v>1322</v>
      </c>
    </row>
    <row r="27" customFormat="false" ht="66" hidden="false" customHeight="true" outlineLevel="0" collapsed="false">
      <c r="A27" s="62" t="s">
        <v>1323</v>
      </c>
      <c r="B27" s="62" t="s">
        <v>1324</v>
      </c>
      <c r="C27" s="62" t="s">
        <v>1325</v>
      </c>
      <c r="D27" s="65" t="s">
        <v>1326</v>
      </c>
      <c r="E27" s="65" t="s">
        <v>1327</v>
      </c>
    </row>
    <row r="28" customFormat="false" ht="66" hidden="false" customHeight="true" outlineLevel="0" collapsed="false">
      <c r="A28" s="63" t="s">
        <v>1328</v>
      </c>
      <c r="B28" s="63" t="s">
        <v>1329</v>
      </c>
      <c r="C28" s="63" t="s">
        <v>1307</v>
      </c>
      <c r="D28" s="63" t="s">
        <v>1308</v>
      </c>
      <c r="E28" s="63" t="s">
        <v>1309</v>
      </c>
    </row>
    <row r="29" customFormat="false" ht="66" hidden="false" customHeight="true" outlineLevel="0" collapsed="false">
      <c r="A29" s="63" t="s">
        <v>1330</v>
      </c>
      <c r="B29" s="63" t="s">
        <v>1331</v>
      </c>
      <c r="C29" s="63" t="s">
        <v>1332</v>
      </c>
      <c r="D29" s="63" t="s">
        <v>1333</v>
      </c>
      <c r="E29" s="61"/>
    </row>
    <row r="31" customFormat="false" ht="17.35" hidden="false" customHeight="false" outlineLevel="0" collapsed="false">
      <c r="A31" s="57" t="s">
        <v>1334</v>
      </c>
      <c r="B31" s="57"/>
      <c r="C31" s="57"/>
      <c r="D31" s="57"/>
      <c r="E31" s="57"/>
    </row>
    <row r="32" customFormat="false" ht="15" hidden="false" customHeight="false" outlineLevel="0" collapsed="false">
      <c r="A32" s="58" t="s">
        <v>1255</v>
      </c>
      <c r="B32" s="58" t="s">
        <v>1256</v>
      </c>
      <c r="C32" s="58" t="s">
        <v>1257</v>
      </c>
      <c r="D32" s="58" t="s">
        <v>1258</v>
      </c>
      <c r="E32" s="58" t="s">
        <v>1259</v>
      </c>
    </row>
    <row r="33" customFormat="false" ht="66" hidden="false" customHeight="true" outlineLevel="0" collapsed="false">
      <c r="A33" s="61"/>
      <c r="B33" s="61"/>
      <c r="C33" s="61"/>
      <c r="D33" s="61"/>
      <c r="E33" s="63" t="s">
        <v>1335</v>
      </c>
    </row>
    <row r="34" customFormat="false" ht="66" hidden="false" customHeight="true" outlineLevel="0" collapsed="false">
      <c r="A34" s="63" t="s">
        <v>1336</v>
      </c>
      <c r="B34" s="63" t="s">
        <v>1337</v>
      </c>
      <c r="C34" s="65" t="s">
        <v>1338</v>
      </c>
      <c r="D34" s="65" t="s">
        <v>1339</v>
      </c>
      <c r="E34" s="65" t="s">
        <v>1340</v>
      </c>
    </row>
    <row r="35" customFormat="false" ht="66" hidden="false" customHeight="true" outlineLevel="0" collapsed="false">
      <c r="A35" s="60" t="s">
        <v>1341</v>
      </c>
      <c r="B35" s="60" t="s">
        <v>1342</v>
      </c>
      <c r="C35" s="62" t="s">
        <v>1277</v>
      </c>
      <c r="D35" s="62" t="s">
        <v>1343</v>
      </c>
      <c r="E35" s="62" t="s">
        <v>1344</v>
      </c>
    </row>
    <row r="36" customFormat="false" ht="66" hidden="false" customHeight="true" outlineLevel="0" collapsed="false">
      <c r="A36" s="63" t="s">
        <v>1345</v>
      </c>
      <c r="B36" s="62" t="s">
        <v>1346</v>
      </c>
      <c r="C36" s="62" t="s">
        <v>1306</v>
      </c>
      <c r="D36" s="64" t="s">
        <v>1347</v>
      </c>
      <c r="E36" s="64" t="s">
        <v>1348</v>
      </c>
    </row>
    <row r="37" customFormat="false" ht="66" hidden="false" customHeight="true" outlineLevel="0" collapsed="false">
      <c r="A37" s="65" t="s">
        <v>1349</v>
      </c>
      <c r="B37" s="65" t="s">
        <v>1350</v>
      </c>
      <c r="C37" s="65" t="s">
        <v>1351</v>
      </c>
      <c r="D37" s="65" t="s">
        <v>1352</v>
      </c>
      <c r="E37" s="65" t="s">
        <v>1353</v>
      </c>
    </row>
    <row r="39" customFormat="false" ht="17.35" hidden="false" customHeight="false" outlineLevel="0" collapsed="false">
      <c r="A39" s="57" t="s">
        <v>1354</v>
      </c>
      <c r="B39" s="57"/>
      <c r="C39" s="57"/>
      <c r="D39" s="57"/>
      <c r="E39" s="57"/>
    </row>
    <row r="40" customFormat="false" ht="15" hidden="false" customHeight="false" outlineLevel="0" collapsed="false">
      <c r="A40" s="58" t="s">
        <v>1255</v>
      </c>
      <c r="B40" s="58" t="s">
        <v>1256</v>
      </c>
      <c r="C40" s="58" t="s">
        <v>1257</v>
      </c>
      <c r="D40" s="58" t="s">
        <v>1258</v>
      </c>
      <c r="E40" s="58" t="s">
        <v>1259</v>
      </c>
    </row>
    <row r="41" customFormat="false" ht="66" hidden="false" customHeight="true" outlineLevel="0" collapsed="false">
      <c r="A41" s="65" t="s">
        <v>1355</v>
      </c>
      <c r="B41" s="65" t="s">
        <v>1356</v>
      </c>
      <c r="C41" s="65" t="s">
        <v>1357</v>
      </c>
      <c r="D41" s="64" t="s">
        <v>1358</v>
      </c>
      <c r="E41" s="64" t="s">
        <v>1359</v>
      </c>
    </row>
    <row r="42" customFormat="false" ht="66" hidden="false" customHeight="true" outlineLevel="0" collapsed="false">
      <c r="A42" s="60" t="s">
        <v>1360</v>
      </c>
      <c r="B42" s="60" t="s">
        <v>1361</v>
      </c>
      <c r="C42" s="60" t="s">
        <v>1362</v>
      </c>
      <c r="D42" s="60" t="s">
        <v>1363</v>
      </c>
      <c r="E42" s="60" t="s">
        <v>1364</v>
      </c>
    </row>
    <row r="43" customFormat="false" ht="66" hidden="false" customHeight="true" outlineLevel="0" collapsed="false">
      <c r="A43" s="63" t="s">
        <v>1365</v>
      </c>
      <c r="B43" s="60" t="s">
        <v>1366</v>
      </c>
      <c r="C43" s="60" t="s">
        <v>1367</v>
      </c>
      <c r="D43" s="64" t="s">
        <v>1368</v>
      </c>
      <c r="E43" s="64" t="s">
        <v>1369</v>
      </c>
    </row>
    <row r="44" customFormat="false" ht="66" hidden="false" customHeight="true" outlineLevel="0" collapsed="false">
      <c r="A44" s="62" t="s">
        <v>1370</v>
      </c>
      <c r="B44" s="65" t="s">
        <v>1371</v>
      </c>
      <c r="C44" s="65" t="s">
        <v>1372</v>
      </c>
      <c r="D44" s="65" t="s">
        <v>1373</v>
      </c>
      <c r="E44" s="65" t="s">
        <v>1374</v>
      </c>
    </row>
    <row r="46" customFormat="false" ht="17.35" hidden="false" customHeight="false" outlineLevel="0" collapsed="false">
      <c r="A46" s="57" t="s">
        <v>1375</v>
      </c>
      <c r="B46" s="57"/>
      <c r="C46" s="57"/>
      <c r="D46" s="57"/>
      <c r="E46" s="57"/>
    </row>
    <row r="47" customFormat="false" ht="15" hidden="false" customHeight="false" outlineLevel="0" collapsed="false">
      <c r="A47" s="58" t="s">
        <v>1255</v>
      </c>
      <c r="B47" s="58" t="s">
        <v>1256</v>
      </c>
      <c r="C47" s="58" t="s">
        <v>1257</v>
      </c>
      <c r="D47" s="58" t="s">
        <v>1258</v>
      </c>
      <c r="E47" s="58" t="s">
        <v>1259</v>
      </c>
    </row>
    <row r="48" customFormat="false" ht="66" hidden="false" customHeight="true" outlineLevel="0" collapsed="false">
      <c r="A48" s="62" t="s">
        <v>1376</v>
      </c>
      <c r="B48" s="65" t="s">
        <v>1377</v>
      </c>
      <c r="C48" s="65" t="s">
        <v>1378</v>
      </c>
      <c r="D48" s="62" t="s">
        <v>1379</v>
      </c>
      <c r="E48" s="63" t="s">
        <v>1337</v>
      </c>
    </row>
    <row r="49" customFormat="false" ht="66" hidden="false" customHeight="true" outlineLevel="0" collapsed="false">
      <c r="A49" s="64" t="s">
        <v>1380</v>
      </c>
      <c r="B49" s="64" t="s">
        <v>1381</v>
      </c>
      <c r="C49" s="62" t="s">
        <v>1382</v>
      </c>
      <c r="D49" s="60" t="s">
        <v>1383</v>
      </c>
      <c r="E49" s="60" t="s">
        <v>1384</v>
      </c>
    </row>
    <row r="50" customFormat="false" ht="66" hidden="false" customHeight="true" outlineLevel="0" collapsed="false">
      <c r="A50" s="60" t="s">
        <v>1385</v>
      </c>
      <c r="B50" s="60" t="s">
        <v>1386</v>
      </c>
      <c r="C50" s="60" t="s">
        <v>1387</v>
      </c>
      <c r="D50" s="60" t="s">
        <v>1388</v>
      </c>
      <c r="E50" s="60" t="s">
        <v>1389</v>
      </c>
    </row>
    <row r="51" customFormat="false" ht="66" hidden="false" customHeight="true" outlineLevel="0" collapsed="false">
      <c r="A51" s="63" t="s">
        <v>1329</v>
      </c>
      <c r="B51" s="63" t="s">
        <v>1307</v>
      </c>
      <c r="C51" s="63" t="s">
        <v>1308</v>
      </c>
      <c r="D51" s="63" t="s">
        <v>1309</v>
      </c>
      <c r="E51" s="63" t="s">
        <v>1310</v>
      </c>
    </row>
    <row r="52" customFormat="false" ht="66" hidden="false" customHeight="true" outlineLevel="0" collapsed="false">
      <c r="A52" s="64" t="s">
        <v>1390</v>
      </c>
      <c r="B52" s="64" t="s">
        <v>1391</v>
      </c>
      <c r="C52" s="65" t="s">
        <v>1392</v>
      </c>
      <c r="D52" s="61"/>
      <c r="E52" s="61"/>
    </row>
    <row r="54" customFormat="false" ht="17.35" hidden="false" customHeight="false" outlineLevel="0" collapsed="false">
      <c r="A54" s="57" t="s">
        <v>1393</v>
      </c>
      <c r="B54" s="57"/>
      <c r="C54" s="57"/>
      <c r="D54" s="57"/>
      <c r="E54" s="57"/>
    </row>
    <row r="55" customFormat="false" ht="15" hidden="false" customHeight="false" outlineLevel="0" collapsed="false">
      <c r="A55" s="58" t="s">
        <v>1255</v>
      </c>
      <c r="B55" s="58" t="s">
        <v>1256</v>
      </c>
      <c r="C55" s="58" t="s">
        <v>1257</v>
      </c>
      <c r="D55" s="58" t="s">
        <v>1258</v>
      </c>
      <c r="E55" s="58" t="s">
        <v>1259</v>
      </c>
    </row>
    <row r="56" customFormat="false" ht="66" hidden="false" customHeight="true" outlineLevel="0" collapsed="false">
      <c r="A56" s="61"/>
      <c r="B56" s="61"/>
      <c r="C56" s="61"/>
      <c r="D56" s="65" t="s">
        <v>1394</v>
      </c>
      <c r="E56" s="65" t="s">
        <v>1395</v>
      </c>
    </row>
    <row r="57" customFormat="false" ht="66" hidden="false" customHeight="true" outlineLevel="0" collapsed="false">
      <c r="A57" s="64" t="s">
        <v>1396</v>
      </c>
      <c r="B57" s="64" t="s">
        <v>1397</v>
      </c>
      <c r="C57" s="60" t="s">
        <v>1398</v>
      </c>
      <c r="D57" s="60" t="s">
        <v>1399</v>
      </c>
      <c r="E57" s="60" t="s">
        <v>1400</v>
      </c>
    </row>
    <row r="58" customFormat="false" ht="66" hidden="false" customHeight="true" outlineLevel="0" collapsed="false">
      <c r="A58" s="60" t="s">
        <v>1401</v>
      </c>
      <c r="B58" s="60" t="s">
        <v>1402</v>
      </c>
      <c r="C58" s="60" t="s">
        <v>1403</v>
      </c>
      <c r="D58" s="60" t="s">
        <v>1404</v>
      </c>
      <c r="E58" s="63" t="s">
        <v>1405</v>
      </c>
    </row>
    <row r="59" customFormat="false" ht="66" hidden="false" customHeight="true" outlineLevel="0" collapsed="false">
      <c r="A59" s="60" t="s">
        <v>1406</v>
      </c>
      <c r="B59" s="65" t="s">
        <v>1407</v>
      </c>
      <c r="C59" s="65" t="s">
        <v>1408</v>
      </c>
      <c r="D59" s="64" t="s">
        <v>1409</v>
      </c>
      <c r="E59" s="64" t="s">
        <v>1410</v>
      </c>
    </row>
    <row r="60" customFormat="false" ht="66" hidden="false" customHeight="true" outlineLevel="0" collapsed="false">
      <c r="A60" s="60" t="s">
        <v>1411</v>
      </c>
      <c r="B60" s="60" t="s">
        <v>1412</v>
      </c>
      <c r="C60" s="62" t="s">
        <v>1413</v>
      </c>
      <c r="D60" s="64" t="s">
        <v>1414</v>
      </c>
      <c r="E60" s="64" t="s">
        <v>1415</v>
      </c>
    </row>
    <row r="62" customFormat="false" ht="17.35" hidden="false" customHeight="false" outlineLevel="0" collapsed="false">
      <c r="A62" s="57" t="s">
        <v>1416</v>
      </c>
      <c r="B62" s="57"/>
      <c r="C62" s="57"/>
      <c r="D62" s="57"/>
      <c r="E62" s="57"/>
    </row>
    <row r="63" customFormat="false" ht="15" hidden="false" customHeight="false" outlineLevel="0" collapsed="false">
      <c r="A63" s="58" t="s">
        <v>1255</v>
      </c>
      <c r="B63" s="58" t="s">
        <v>1256</v>
      </c>
      <c r="C63" s="58" t="s">
        <v>1257</v>
      </c>
      <c r="D63" s="58" t="s">
        <v>1258</v>
      </c>
      <c r="E63" s="58" t="s">
        <v>1259</v>
      </c>
    </row>
    <row r="64" customFormat="false" ht="66" hidden="false" customHeight="true" outlineLevel="0" collapsed="false">
      <c r="A64" s="61"/>
      <c r="B64" s="61"/>
      <c r="C64" s="61"/>
      <c r="D64" s="61"/>
      <c r="E64" s="61"/>
    </row>
    <row r="65" customFormat="false" ht="66" hidden="false" customHeight="true" outlineLevel="0" collapsed="false">
      <c r="A65" s="62" t="s">
        <v>1417</v>
      </c>
      <c r="B65" s="62" t="s">
        <v>1418</v>
      </c>
      <c r="C65" s="62" t="s">
        <v>1419</v>
      </c>
      <c r="D65" s="62" t="s">
        <v>1420</v>
      </c>
      <c r="E65" s="62" t="s">
        <v>1421</v>
      </c>
    </row>
    <row r="66" customFormat="false" ht="66" hidden="false" customHeight="true" outlineLevel="0" collapsed="false">
      <c r="A66" s="62" t="s">
        <v>1422</v>
      </c>
      <c r="B66" s="62" t="s">
        <v>1423</v>
      </c>
      <c r="C66" s="62" t="s">
        <v>1424</v>
      </c>
      <c r="D66" s="62" t="s">
        <v>1425</v>
      </c>
      <c r="E66" s="62" t="s">
        <v>1426</v>
      </c>
    </row>
    <row r="67" customFormat="false" ht="66" hidden="false" customHeight="true" outlineLevel="0" collapsed="false">
      <c r="A67" s="62" t="s">
        <v>1427</v>
      </c>
      <c r="B67" s="62" t="s">
        <v>1428</v>
      </c>
      <c r="C67" s="62" t="s">
        <v>1429</v>
      </c>
      <c r="D67" s="62" t="s">
        <v>1430</v>
      </c>
      <c r="E67" s="62" t="s">
        <v>1431</v>
      </c>
    </row>
    <row r="68" customFormat="false" ht="66" hidden="false" customHeight="true" outlineLevel="0" collapsed="false">
      <c r="A68" s="62" t="s">
        <v>1432</v>
      </c>
      <c r="B68" s="62" t="s">
        <v>1433</v>
      </c>
      <c r="C68" s="62" t="s">
        <v>1434</v>
      </c>
      <c r="D68" s="62" t="s">
        <v>1435</v>
      </c>
      <c r="E68" s="62" t="s">
        <v>1436</v>
      </c>
    </row>
    <row r="69" customFormat="false" ht="66" hidden="false" customHeight="true" outlineLevel="0" collapsed="false">
      <c r="A69" s="61"/>
      <c r="B69" s="61"/>
      <c r="C69" s="61"/>
      <c r="D69" s="61"/>
      <c r="E69" s="61"/>
    </row>
  </sheetData>
  <mergeCells count="9">
    <mergeCell ref="A1:E1"/>
    <mergeCell ref="A6:E6"/>
    <mergeCell ref="A14:E14"/>
    <mergeCell ref="A23:E23"/>
    <mergeCell ref="A31:E31"/>
    <mergeCell ref="A39:E39"/>
    <mergeCell ref="A46:E46"/>
    <mergeCell ref="A54:E54"/>
    <mergeCell ref="A62:E6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8" manualBreakCount="8">
    <brk id="5" man="true" max="16383" min="0"/>
    <brk id="13" man="true" max="16383" min="0"/>
    <brk id="22" man="true" max="16383" min="0"/>
    <brk id="30" man="true" max="16383" min="0"/>
    <brk id="38" man="true" max="16383" min="0"/>
    <brk id="45" man="true" max="16383" min="0"/>
    <brk id="53" man="true" max="16383" min="0"/>
    <brk id="6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13"/>
    <col collapsed="false" customWidth="true" hidden="false" outlineLevel="0" max="4" min="4" style="0" width="28"/>
    <col collapsed="false" customWidth="true" hidden="false" outlineLevel="0" max="5" min="5" style="0" width="90"/>
  </cols>
  <sheetData>
    <row r="1" customFormat="false" ht="30" hidden="false" customHeight="true" outlineLevel="0" collapsed="false">
      <c r="A1" s="9" t="s">
        <v>30</v>
      </c>
      <c r="B1" s="9" t="s">
        <v>2</v>
      </c>
      <c r="C1" s="9" t="s">
        <v>924</v>
      </c>
      <c r="D1" s="9" t="s">
        <v>1437</v>
      </c>
      <c r="E1" s="9" t="s">
        <v>1438</v>
      </c>
    </row>
    <row r="2" customFormat="false" ht="15" hidden="false" customHeight="false" outlineLevel="0" collapsed="false">
      <c r="A2" s="47" t="n">
        <v>3</v>
      </c>
      <c r="B2" s="5" t="s">
        <v>40</v>
      </c>
      <c r="C2" s="66" t="n">
        <v>46288</v>
      </c>
      <c r="D2" s="67" t="s">
        <v>1439</v>
      </c>
      <c r="E2" s="6" t="s">
        <v>1440</v>
      </c>
    </row>
    <row r="3" customFormat="false" ht="15" hidden="false" customHeight="false" outlineLevel="0" collapsed="false">
      <c r="A3" s="47" t="n">
        <v>3</v>
      </c>
      <c r="B3" s="5" t="s">
        <v>40</v>
      </c>
      <c r="C3" s="66" t="n">
        <v>46288</v>
      </c>
      <c r="D3" s="67" t="s">
        <v>1441</v>
      </c>
      <c r="E3" s="6" t="s">
        <v>1442</v>
      </c>
    </row>
    <row r="4" customFormat="false" ht="15" hidden="false" customHeight="false" outlineLevel="0" collapsed="false">
      <c r="A4" s="47" t="n">
        <v>3</v>
      </c>
      <c r="B4" s="5" t="s">
        <v>40</v>
      </c>
      <c r="C4" s="66" t="n">
        <v>46288</v>
      </c>
      <c r="D4" s="67" t="s">
        <v>1443</v>
      </c>
      <c r="E4" s="6" t="s">
        <v>1444</v>
      </c>
    </row>
    <row r="5" customFormat="false" ht="15" hidden="false" customHeight="false" outlineLevel="0" collapsed="false">
      <c r="A5" s="47" t="n">
        <v>3</v>
      </c>
      <c r="B5" s="5" t="s">
        <v>40</v>
      </c>
      <c r="C5" s="66" t="n">
        <v>46288</v>
      </c>
      <c r="D5" s="67" t="s">
        <v>1445</v>
      </c>
      <c r="E5" s="6" t="s">
        <v>1446</v>
      </c>
    </row>
    <row r="6" customFormat="false" ht="15" hidden="false" customHeight="false" outlineLevel="0" collapsed="false">
      <c r="A6" s="47" t="n">
        <v>3</v>
      </c>
      <c r="B6" s="5" t="s">
        <v>40</v>
      </c>
      <c r="C6" s="66" t="n">
        <v>46288</v>
      </c>
      <c r="D6" s="67" t="s">
        <v>1447</v>
      </c>
      <c r="E6" s="6" t="s">
        <v>1448</v>
      </c>
    </row>
    <row r="7" customFormat="false" ht="15" hidden="false" customHeight="false" outlineLevel="0" collapsed="false">
      <c r="A7" s="47" t="n">
        <v>3</v>
      </c>
      <c r="B7" s="5" t="s">
        <v>40</v>
      </c>
      <c r="C7" s="66" t="n">
        <v>46288</v>
      </c>
      <c r="D7" s="67" t="s">
        <v>1449</v>
      </c>
      <c r="E7" s="6" t="s">
        <v>1450</v>
      </c>
    </row>
    <row r="8" customFormat="false" ht="15" hidden="false" customHeight="false" outlineLevel="0" collapsed="false">
      <c r="A8" s="47" t="n">
        <v>3</v>
      </c>
      <c r="B8" s="5" t="s">
        <v>40</v>
      </c>
      <c r="C8" s="66" t="n">
        <v>46288</v>
      </c>
      <c r="D8" s="67" t="s">
        <v>1451</v>
      </c>
      <c r="E8" s="6" t="s">
        <v>1452</v>
      </c>
    </row>
    <row r="9" customFormat="false" ht="15" hidden="false" customHeight="false" outlineLevel="0" collapsed="false">
      <c r="A9" s="47" t="n">
        <v>3</v>
      </c>
      <c r="B9" s="5" t="s">
        <v>53</v>
      </c>
      <c r="C9" s="66" t="n">
        <v>46289</v>
      </c>
      <c r="D9" s="67" t="s">
        <v>1453</v>
      </c>
      <c r="E9" s="6" t="s">
        <v>1454</v>
      </c>
    </row>
    <row r="10" customFormat="false" ht="15" hidden="false" customHeight="false" outlineLevel="0" collapsed="false">
      <c r="A10" s="47" t="n">
        <v>3</v>
      </c>
      <c r="B10" s="5" t="s">
        <v>53</v>
      </c>
      <c r="C10" s="66" t="n">
        <v>46289</v>
      </c>
      <c r="D10" s="67" t="s">
        <v>1455</v>
      </c>
      <c r="E10" s="6" t="s">
        <v>1456</v>
      </c>
    </row>
    <row r="11" customFormat="false" ht="15" hidden="false" customHeight="false" outlineLevel="0" collapsed="false">
      <c r="A11" s="47" t="n">
        <v>3</v>
      </c>
      <c r="B11" s="5" t="s">
        <v>53</v>
      </c>
      <c r="C11" s="66" t="n">
        <v>46289</v>
      </c>
      <c r="D11" s="67" t="s">
        <v>1457</v>
      </c>
      <c r="E11" s="6" t="s">
        <v>1458</v>
      </c>
    </row>
    <row r="12" customFormat="false" ht="15" hidden="false" customHeight="false" outlineLevel="0" collapsed="false">
      <c r="A12" s="47" t="n">
        <v>3</v>
      </c>
      <c r="B12" s="5" t="s">
        <v>64</v>
      </c>
      <c r="C12" s="66" t="n">
        <v>46290</v>
      </c>
      <c r="D12" s="67" t="s">
        <v>1459</v>
      </c>
      <c r="E12" s="6" t="s">
        <v>1460</v>
      </c>
    </row>
    <row r="13" customFormat="false" ht="15" hidden="false" customHeight="false" outlineLevel="0" collapsed="false">
      <c r="A13" s="47" t="n">
        <v>3</v>
      </c>
      <c r="B13" s="5" t="s">
        <v>64</v>
      </c>
      <c r="C13" s="66" t="n">
        <v>46290</v>
      </c>
      <c r="D13" s="67" t="s">
        <v>1461</v>
      </c>
      <c r="E13" s="6" t="s">
        <v>1462</v>
      </c>
    </row>
    <row r="14" customFormat="false" ht="15" hidden="false" customHeight="false" outlineLevel="0" collapsed="false">
      <c r="A14" s="47" t="n">
        <v>3</v>
      </c>
      <c r="B14" s="5" t="s">
        <v>64</v>
      </c>
      <c r="C14" s="66" t="n">
        <v>46290</v>
      </c>
      <c r="D14" s="67" t="s">
        <v>1463</v>
      </c>
      <c r="E14" s="6" t="s">
        <v>1464</v>
      </c>
    </row>
    <row r="15" customFormat="false" ht="15" hidden="false" customHeight="false" outlineLevel="0" collapsed="false">
      <c r="A15" s="47" t="n">
        <v>3</v>
      </c>
      <c r="B15" s="5" t="s">
        <v>75</v>
      </c>
      <c r="C15" s="66" t="n">
        <v>46293</v>
      </c>
      <c r="D15" s="67" t="s">
        <v>1465</v>
      </c>
      <c r="E15" s="6" t="s">
        <v>1466</v>
      </c>
    </row>
    <row r="16" customFormat="false" ht="15" hidden="false" customHeight="false" outlineLevel="0" collapsed="false">
      <c r="A16" s="47" t="n">
        <v>3</v>
      </c>
      <c r="B16" s="5" t="s">
        <v>75</v>
      </c>
      <c r="C16" s="66" t="n">
        <v>46293</v>
      </c>
      <c r="D16" s="67" t="s">
        <v>1467</v>
      </c>
      <c r="E16" s="6" t="s">
        <v>1468</v>
      </c>
    </row>
    <row r="17" customFormat="false" ht="23.85" hidden="false" customHeight="false" outlineLevel="0" collapsed="false">
      <c r="A17" s="47" t="n">
        <v>3</v>
      </c>
      <c r="B17" s="5" t="s">
        <v>75</v>
      </c>
      <c r="C17" s="66" t="n">
        <v>46293</v>
      </c>
      <c r="D17" s="67" t="s">
        <v>1469</v>
      </c>
      <c r="E17" s="6" t="s">
        <v>1470</v>
      </c>
    </row>
    <row r="18" customFormat="false" ht="15" hidden="false" customHeight="false" outlineLevel="0" collapsed="false">
      <c r="A18" s="47" t="n">
        <v>3</v>
      </c>
      <c r="B18" s="5" t="s">
        <v>88</v>
      </c>
      <c r="C18" s="66" t="n">
        <v>46294</v>
      </c>
      <c r="D18" s="67" t="s">
        <v>1471</v>
      </c>
      <c r="E18" s="6" t="s">
        <v>1472</v>
      </c>
    </row>
    <row r="19" customFormat="false" ht="23.85" hidden="false" customHeight="false" outlineLevel="0" collapsed="false">
      <c r="A19" s="47" t="n">
        <v>3</v>
      </c>
      <c r="B19" s="5" t="s">
        <v>88</v>
      </c>
      <c r="C19" s="66" t="n">
        <v>46294</v>
      </c>
      <c r="D19" s="67" t="s">
        <v>1473</v>
      </c>
      <c r="E19" s="6" t="s">
        <v>1474</v>
      </c>
    </row>
    <row r="20" customFormat="false" ht="15" hidden="false" customHeight="false" outlineLevel="0" collapsed="false">
      <c r="A20" s="47" t="n">
        <v>3</v>
      </c>
      <c r="B20" s="5" t="s">
        <v>97</v>
      </c>
      <c r="C20" s="66" t="n">
        <v>46295</v>
      </c>
      <c r="D20" s="67" t="s">
        <v>1475</v>
      </c>
      <c r="E20" s="6" t="s">
        <v>1476</v>
      </c>
    </row>
    <row r="21" customFormat="false" ht="15" hidden="false" customHeight="false" outlineLevel="0" collapsed="false">
      <c r="A21" s="47" t="n">
        <v>3</v>
      </c>
      <c r="B21" s="5" t="s">
        <v>97</v>
      </c>
      <c r="C21" s="66" t="n">
        <v>46295</v>
      </c>
      <c r="D21" s="67" t="s">
        <v>1477</v>
      </c>
      <c r="E21" s="6" t="s">
        <v>1478</v>
      </c>
    </row>
    <row r="22" customFormat="false" ht="15" hidden="false" customHeight="false" outlineLevel="0" collapsed="false">
      <c r="A22" s="47" t="n">
        <v>3</v>
      </c>
      <c r="B22" s="5" t="s">
        <v>110</v>
      </c>
      <c r="C22" s="66" t="n">
        <v>46300</v>
      </c>
      <c r="D22" s="67" t="s">
        <v>1479</v>
      </c>
      <c r="E22" s="6" t="s">
        <v>1480</v>
      </c>
    </row>
    <row r="23" customFormat="false" ht="15" hidden="false" customHeight="false" outlineLevel="0" collapsed="false">
      <c r="A23" s="47" t="n">
        <v>3</v>
      </c>
      <c r="B23" s="5" t="s">
        <v>110</v>
      </c>
      <c r="C23" s="66" t="n">
        <v>46300</v>
      </c>
      <c r="D23" s="67" t="s">
        <v>1481</v>
      </c>
      <c r="E23" s="6" t="s">
        <v>1482</v>
      </c>
    </row>
    <row r="24" customFormat="false" ht="15" hidden="false" customHeight="false" outlineLevel="0" collapsed="false">
      <c r="A24" s="47" t="n">
        <v>3</v>
      </c>
      <c r="B24" s="5" t="s">
        <v>110</v>
      </c>
      <c r="C24" s="66" t="n">
        <v>46300</v>
      </c>
      <c r="D24" s="67" t="s">
        <v>1483</v>
      </c>
      <c r="E24" s="6" t="s">
        <v>1484</v>
      </c>
    </row>
    <row r="25" customFormat="false" ht="23.85" hidden="false" customHeight="false" outlineLevel="0" collapsed="false">
      <c r="A25" s="47" t="n">
        <v>3</v>
      </c>
      <c r="B25" s="5" t="s">
        <v>121</v>
      </c>
      <c r="C25" s="66" t="n">
        <v>46301</v>
      </c>
      <c r="D25" s="67" t="s">
        <v>1465</v>
      </c>
      <c r="E25" s="6" t="s">
        <v>1485</v>
      </c>
    </row>
    <row r="26" customFormat="false" ht="15" hidden="false" customHeight="false" outlineLevel="0" collapsed="false">
      <c r="A26" s="47" t="n">
        <v>3</v>
      </c>
      <c r="B26" s="5" t="s">
        <v>121</v>
      </c>
      <c r="C26" s="66" t="n">
        <v>46301</v>
      </c>
      <c r="D26" s="67" t="s">
        <v>1486</v>
      </c>
      <c r="E26" s="6" t="s">
        <v>1487</v>
      </c>
    </row>
    <row r="27" customFormat="false" ht="15" hidden="false" customHeight="false" outlineLevel="0" collapsed="false">
      <c r="A27" s="47" t="n">
        <v>3</v>
      </c>
      <c r="B27" s="5" t="s">
        <v>130</v>
      </c>
      <c r="C27" s="66" t="n">
        <v>46302</v>
      </c>
      <c r="D27" s="67" t="s">
        <v>1488</v>
      </c>
      <c r="E27" s="6" t="s">
        <v>1489</v>
      </c>
    </row>
    <row r="28" customFormat="false" ht="15" hidden="false" customHeight="false" outlineLevel="0" collapsed="false">
      <c r="A28" s="47" t="n">
        <v>3</v>
      </c>
      <c r="B28" s="5" t="s">
        <v>130</v>
      </c>
      <c r="C28" s="66" t="n">
        <v>46302</v>
      </c>
      <c r="D28" s="67" t="s">
        <v>1490</v>
      </c>
      <c r="E28" s="6" t="s">
        <v>1491</v>
      </c>
    </row>
    <row r="29" customFormat="false" ht="15" hidden="false" customHeight="false" outlineLevel="0" collapsed="false">
      <c r="A29" s="47" t="n">
        <v>3</v>
      </c>
      <c r="B29" s="5" t="s">
        <v>130</v>
      </c>
      <c r="C29" s="66" t="n">
        <v>46302</v>
      </c>
      <c r="D29" s="67" t="s">
        <v>1481</v>
      </c>
      <c r="E29" s="6" t="s">
        <v>1492</v>
      </c>
    </row>
    <row r="30" customFormat="false" ht="15" hidden="false" customHeight="false" outlineLevel="0" collapsed="false">
      <c r="A30" s="47" t="n">
        <v>3</v>
      </c>
      <c r="B30" s="5" t="s">
        <v>144</v>
      </c>
      <c r="C30" s="66" t="n">
        <v>46304</v>
      </c>
      <c r="D30" s="67" t="s">
        <v>1493</v>
      </c>
      <c r="E30" s="6" t="s">
        <v>1494</v>
      </c>
    </row>
    <row r="31" customFormat="false" ht="15" hidden="false" customHeight="false" outlineLevel="0" collapsed="false">
      <c r="A31" s="47" t="n">
        <v>3</v>
      </c>
      <c r="B31" s="5" t="s">
        <v>144</v>
      </c>
      <c r="C31" s="66" t="n">
        <v>46304</v>
      </c>
      <c r="D31" s="67" t="s">
        <v>1488</v>
      </c>
      <c r="E31" s="6" t="s">
        <v>1495</v>
      </c>
    </row>
    <row r="32" customFormat="false" ht="15" hidden="false" customHeight="false" outlineLevel="0" collapsed="false">
      <c r="A32" s="47" t="n">
        <v>4</v>
      </c>
      <c r="B32" s="5" t="s">
        <v>158</v>
      </c>
      <c r="C32" s="66" t="n">
        <v>46311</v>
      </c>
      <c r="D32" s="67" t="s">
        <v>1488</v>
      </c>
      <c r="E32" s="6" t="s">
        <v>1496</v>
      </c>
    </row>
    <row r="33" customFormat="false" ht="15" hidden="false" customHeight="false" outlineLevel="0" collapsed="false">
      <c r="A33" s="47" t="n">
        <v>4</v>
      </c>
      <c r="B33" s="5" t="s">
        <v>158</v>
      </c>
      <c r="C33" s="66" t="n">
        <v>46311</v>
      </c>
      <c r="D33" s="67" t="s">
        <v>1481</v>
      </c>
      <c r="E33" s="6" t="s">
        <v>1497</v>
      </c>
    </row>
    <row r="34" customFormat="false" ht="23.85" hidden="false" customHeight="false" outlineLevel="0" collapsed="false">
      <c r="A34" s="47" t="n">
        <v>4</v>
      </c>
      <c r="B34" s="5" t="s">
        <v>158</v>
      </c>
      <c r="C34" s="66" t="n">
        <v>46311</v>
      </c>
      <c r="D34" s="67" t="s">
        <v>1498</v>
      </c>
      <c r="E34" s="6" t="s">
        <v>1499</v>
      </c>
    </row>
    <row r="35" customFormat="false" ht="15" hidden="false" customHeight="false" outlineLevel="0" collapsed="false">
      <c r="A35" s="47" t="n">
        <v>4</v>
      </c>
      <c r="B35" s="5" t="s">
        <v>169</v>
      </c>
      <c r="C35" s="66" t="n">
        <v>46314</v>
      </c>
      <c r="D35" s="67" t="s">
        <v>1445</v>
      </c>
      <c r="E35" s="6" t="s">
        <v>1500</v>
      </c>
    </row>
    <row r="36" customFormat="false" ht="15" hidden="false" customHeight="false" outlineLevel="0" collapsed="false">
      <c r="A36" s="47" t="n">
        <v>4</v>
      </c>
      <c r="B36" s="5" t="s">
        <v>169</v>
      </c>
      <c r="C36" s="66" t="n">
        <v>46314</v>
      </c>
      <c r="D36" s="67" t="s">
        <v>1453</v>
      </c>
      <c r="E36" s="6" t="s">
        <v>1501</v>
      </c>
    </row>
    <row r="37" customFormat="false" ht="15" hidden="false" customHeight="false" outlineLevel="0" collapsed="false">
      <c r="A37" s="47" t="n">
        <v>4</v>
      </c>
      <c r="B37" s="5" t="s">
        <v>169</v>
      </c>
      <c r="C37" s="66" t="n">
        <v>46314</v>
      </c>
      <c r="D37" s="67" t="s">
        <v>1502</v>
      </c>
      <c r="E37" s="6" t="s">
        <v>1503</v>
      </c>
    </row>
    <row r="38" customFormat="false" ht="23.85" hidden="false" customHeight="false" outlineLevel="0" collapsed="false">
      <c r="A38" s="47" t="n">
        <v>4</v>
      </c>
      <c r="B38" s="5" t="s">
        <v>178</v>
      </c>
      <c r="C38" s="66" t="n">
        <v>46315</v>
      </c>
      <c r="D38" s="67" t="s">
        <v>1504</v>
      </c>
      <c r="E38" s="6" t="s">
        <v>1505</v>
      </c>
    </row>
    <row r="39" customFormat="false" ht="15" hidden="false" customHeight="false" outlineLevel="0" collapsed="false">
      <c r="A39" s="47" t="n">
        <v>4</v>
      </c>
      <c r="B39" s="5" t="s">
        <v>178</v>
      </c>
      <c r="C39" s="66" t="n">
        <v>46315</v>
      </c>
      <c r="D39" s="67" t="s">
        <v>1506</v>
      </c>
      <c r="E39" s="6" t="s">
        <v>1507</v>
      </c>
    </row>
    <row r="40" customFormat="false" ht="23.85" hidden="false" customHeight="false" outlineLevel="0" collapsed="false">
      <c r="A40" s="47" t="n">
        <v>4</v>
      </c>
      <c r="B40" s="5" t="s">
        <v>178</v>
      </c>
      <c r="C40" s="66" t="n">
        <v>46315</v>
      </c>
      <c r="D40" s="67" t="s">
        <v>1508</v>
      </c>
      <c r="E40" s="6" t="s">
        <v>1509</v>
      </c>
    </row>
    <row r="41" customFormat="false" ht="15" hidden="false" customHeight="false" outlineLevel="0" collapsed="false">
      <c r="A41" s="47" t="n">
        <v>4</v>
      </c>
      <c r="B41" s="5" t="s">
        <v>190</v>
      </c>
      <c r="C41" s="66" t="n">
        <v>46316</v>
      </c>
      <c r="D41" s="67" t="s">
        <v>1510</v>
      </c>
      <c r="E41" s="6" t="s">
        <v>1511</v>
      </c>
    </row>
    <row r="42" customFormat="false" ht="15" hidden="false" customHeight="false" outlineLevel="0" collapsed="false">
      <c r="A42" s="47" t="n">
        <v>4</v>
      </c>
      <c r="B42" s="5" t="s">
        <v>190</v>
      </c>
      <c r="C42" s="66" t="n">
        <v>46316</v>
      </c>
      <c r="D42" s="67" t="s">
        <v>1512</v>
      </c>
      <c r="E42" s="6" t="s">
        <v>1513</v>
      </c>
    </row>
    <row r="43" customFormat="false" ht="15" hidden="false" customHeight="false" outlineLevel="0" collapsed="false">
      <c r="A43" s="47" t="n">
        <v>4</v>
      </c>
      <c r="B43" s="5" t="s">
        <v>190</v>
      </c>
      <c r="C43" s="66" t="n">
        <v>46316</v>
      </c>
      <c r="D43" s="67" t="s">
        <v>1514</v>
      </c>
      <c r="E43" s="6" t="s">
        <v>1515</v>
      </c>
    </row>
    <row r="44" customFormat="false" ht="23.85" hidden="false" customHeight="false" outlineLevel="0" collapsed="false">
      <c r="A44" s="47" t="n">
        <v>4</v>
      </c>
      <c r="B44" s="5" t="s">
        <v>201</v>
      </c>
      <c r="C44" s="66" t="n">
        <v>46317</v>
      </c>
      <c r="D44" s="67" t="s">
        <v>1516</v>
      </c>
      <c r="E44" s="6" t="s">
        <v>1517</v>
      </c>
    </row>
    <row r="45" customFormat="false" ht="15" hidden="false" customHeight="false" outlineLevel="0" collapsed="false">
      <c r="A45" s="47" t="n">
        <v>4</v>
      </c>
      <c r="B45" s="5" t="s">
        <v>201</v>
      </c>
      <c r="C45" s="66" t="n">
        <v>46317</v>
      </c>
      <c r="D45" s="67" t="s">
        <v>1518</v>
      </c>
      <c r="E45" s="6" t="s">
        <v>1519</v>
      </c>
    </row>
    <row r="46" customFormat="false" ht="15" hidden="false" customHeight="false" outlineLevel="0" collapsed="false">
      <c r="A46" s="47" t="n">
        <v>4</v>
      </c>
      <c r="B46" s="5" t="s">
        <v>201</v>
      </c>
      <c r="C46" s="66" t="n">
        <v>46317</v>
      </c>
      <c r="D46" s="67" t="s">
        <v>1520</v>
      </c>
      <c r="E46" s="6" t="s">
        <v>1521</v>
      </c>
    </row>
    <row r="47" customFormat="false" ht="15" hidden="false" customHeight="false" outlineLevel="0" collapsed="false">
      <c r="A47" s="47" t="n">
        <v>4</v>
      </c>
      <c r="B47" s="5" t="s">
        <v>209</v>
      </c>
      <c r="C47" s="66" t="n">
        <v>46318</v>
      </c>
      <c r="D47" s="67" t="s">
        <v>1522</v>
      </c>
      <c r="E47" s="6" t="s">
        <v>1523</v>
      </c>
    </row>
    <row r="48" customFormat="false" ht="23.85" hidden="false" customHeight="false" outlineLevel="0" collapsed="false">
      <c r="A48" s="47" t="n">
        <v>4</v>
      </c>
      <c r="B48" s="5" t="s">
        <v>209</v>
      </c>
      <c r="C48" s="66" t="n">
        <v>46318</v>
      </c>
      <c r="D48" s="67" t="s">
        <v>1524</v>
      </c>
      <c r="E48" s="6" t="s">
        <v>1525</v>
      </c>
    </row>
    <row r="49" customFormat="false" ht="15" hidden="false" customHeight="false" outlineLevel="0" collapsed="false">
      <c r="A49" s="47" t="n">
        <v>4</v>
      </c>
      <c r="B49" s="5" t="s">
        <v>209</v>
      </c>
      <c r="C49" s="66" t="n">
        <v>46318</v>
      </c>
      <c r="D49" s="67" t="s">
        <v>1526</v>
      </c>
      <c r="E49" s="6" t="s">
        <v>1527</v>
      </c>
    </row>
  </sheetData>
  <autoFilter ref="A1:E49"/>
  <hyperlinks>
    <hyperlink ref="C2" location="'Scope &amp; Sequence'!A2" display="#'Scope &amp; Sequence'.A2"/>
    <hyperlink ref="C3" location="'Scope &amp; Sequence'!A2" display="#'Scope &amp; Sequence'.A2"/>
    <hyperlink ref="C4" location="'Scope &amp; Sequence'!A2" display="#'Scope &amp; Sequence'.A2"/>
    <hyperlink ref="C5" location="'Scope &amp; Sequence'!A2" display="#'Scope &amp; Sequence'.A2"/>
    <hyperlink ref="C6" location="'Scope &amp; Sequence'!A2" display="#'Scope &amp; Sequence'.A2"/>
    <hyperlink ref="C7" location="'Scope &amp; Sequence'!A2" display="#'Scope &amp; Sequence'.A2"/>
    <hyperlink ref="C8" location="'Scope &amp; Sequence'!A2" display="#'Scope &amp; Sequence'.A2"/>
    <hyperlink ref="C9" location="'Scope &amp; Sequence'!A3" display="#'Scope &amp; Sequence'.A3"/>
    <hyperlink ref="C10" location="'Scope &amp; Sequence'!A3" display="#'Scope &amp; Sequence'.A3"/>
    <hyperlink ref="C11" location="'Scope &amp; Sequence'!A3" display="#'Scope &amp; Sequence'.A3"/>
    <hyperlink ref="C12" location="'Scope &amp; Sequence'!A4" display="#'Scope &amp; Sequence'.A4"/>
    <hyperlink ref="C13" location="'Scope &amp; Sequence'!A4" display="#'Scope &amp; Sequence'.A4"/>
    <hyperlink ref="C14" location="'Scope &amp; Sequence'!A4" display="#'Scope &amp; Sequence'.A4"/>
    <hyperlink ref="C15" location="'Scope &amp; Sequence'!A5" display="#'Scope &amp; Sequence'.A5"/>
    <hyperlink ref="C16" location="'Scope &amp; Sequence'!A5" display="#'Scope &amp; Sequence'.A5"/>
    <hyperlink ref="C17" location="'Scope &amp; Sequence'!A5" display="#'Scope &amp; Sequence'.A5"/>
    <hyperlink ref="C18" location="'Scope &amp; Sequence'!A6" display="#'Scope &amp; Sequence'.A6"/>
    <hyperlink ref="C19" location="'Scope &amp; Sequence'!A6" display="#'Scope &amp; Sequence'.A6"/>
    <hyperlink ref="C20" location="'Scope &amp; Sequence'!A7" display="#'Scope &amp; Sequence'.A7"/>
    <hyperlink ref="C21" location="'Scope &amp; Sequence'!A7" display="#'Scope &amp; Sequence'.A7"/>
    <hyperlink ref="C22" location="'Scope &amp; Sequence'!A10" display="#'Scope &amp; Sequence'.A10"/>
    <hyperlink ref="C23" location="'Scope &amp; Sequence'!A10" display="#'Scope &amp; Sequence'.A10"/>
    <hyperlink ref="C24" location="'Scope &amp; Sequence'!A10" display="#'Scope &amp; Sequence'.A10"/>
    <hyperlink ref="C25" location="'Scope &amp; Sequence'!A11" display="#'Scope &amp; Sequence'.A11"/>
    <hyperlink ref="C26" location="'Scope &amp; Sequence'!A11" display="#'Scope &amp; Sequence'.A11"/>
    <hyperlink ref="C27" location="'Scope &amp; Sequence'!A12" display="#'Scope &amp; Sequence'.A12"/>
    <hyperlink ref="C28" location="'Scope &amp; Sequence'!A12" display="#'Scope &amp; Sequence'.A12"/>
    <hyperlink ref="C29" location="'Scope &amp; Sequence'!A12" display="#'Scope &amp; Sequence'.A12"/>
    <hyperlink ref="C30" location="'Scope &amp; Sequence'!A14" display="#'Scope &amp; Sequence'.A14"/>
    <hyperlink ref="C31" location="'Scope &amp; Sequence'!A14" display="#'Scope &amp; Sequence'.A14"/>
    <hyperlink ref="C32" location="'Scope &amp; Sequence'!A18" display="#'Scope &amp; Sequence'.A18"/>
    <hyperlink ref="C33" location="'Scope &amp; Sequence'!A18" display="#'Scope &amp; Sequence'.A18"/>
    <hyperlink ref="C34" location="'Scope &amp; Sequence'!A18" display="#'Scope &amp; Sequence'.A18"/>
    <hyperlink ref="C35" location="'Scope &amp; Sequence'!A19" display="#'Scope &amp; Sequence'.A19"/>
    <hyperlink ref="C36" location="'Scope &amp; Sequence'!A19" display="#'Scope &amp; Sequence'.A19"/>
    <hyperlink ref="C37" location="'Scope &amp; Sequence'!A19" display="#'Scope &amp; Sequence'.A19"/>
    <hyperlink ref="C38" location="'Scope &amp; Sequence'!A20" display="#'Scope &amp; Sequence'.A20"/>
    <hyperlink ref="C39" location="'Scope &amp; Sequence'!A20" display="#'Scope &amp; Sequence'.A20"/>
    <hyperlink ref="C40" location="'Scope &amp; Sequence'!A20" display="#'Scope &amp; Sequence'.A20"/>
    <hyperlink ref="C41" location="'Scope &amp; Sequence'!A21" display="#'Scope &amp; Sequence'.A21"/>
    <hyperlink ref="C42" location="'Scope &amp; Sequence'!A21" display="#'Scope &amp; Sequence'.A21"/>
    <hyperlink ref="C43" location="'Scope &amp; Sequence'!A21" display="#'Scope &amp; Sequence'.A21"/>
    <hyperlink ref="C44" location="'Scope &amp; Sequence'!A22" display="#'Scope &amp; Sequence'.A22"/>
    <hyperlink ref="C45" location="'Scope &amp; Sequence'!A22" display="#'Scope &amp; Sequence'.A22"/>
    <hyperlink ref="C46" location="'Scope &amp; Sequence'!A22" display="#'Scope &amp; Sequence'.A22"/>
    <hyperlink ref="C47" location="'Scope &amp; Sequence'!A23" display="#'Scope &amp; Sequence'.A23"/>
    <hyperlink ref="C48" location="'Scope &amp; Sequence'!A23" display="#'Scope &amp; Sequence'.A23"/>
    <hyperlink ref="C49" location="'Scope &amp; Sequence'!A23" display="#'Scope &amp; Sequence'.A2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4" min="3" style="0" width="13"/>
    <col collapsed="false" customWidth="true" hidden="false" outlineLevel="0" max="5" min="5" style="0" width="9"/>
    <col collapsed="false" customWidth="true" hidden="false" outlineLevel="0" max="6" min="6" style="0" width="30"/>
    <col collapsed="false" customWidth="true" hidden="false" outlineLevel="0" max="7" min="7" style="0" width="10"/>
    <col collapsed="false" customWidth="true" hidden="false" outlineLevel="0" max="9" min="8" style="0" width="11"/>
    <col collapsed="false" customWidth="true" hidden="false" outlineLevel="0" max="11" min="10" style="0" width="10"/>
    <col collapsed="false" customWidth="true" hidden="false" outlineLevel="0" max="12" min="12" style="0" width="11"/>
    <col collapsed="false" customWidth="true" hidden="false" outlineLevel="0" max="13" min="13" style="0" width="12"/>
    <col collapsed="false" customWidth="true" hidden="false" outlineLevel="0" max="14" min="14" style="0" width="10"/>
  </cols>
  <sheetData>
    <row r="1" customFormat="false" ht="30" hidden="false" customHeight="true" outlineLevel="0" collapsed="false">
      <c r="A1" s="9" t="s">
        <v>30</v>
      </c>
      <c r="B1" s="9" t="s">
        <v>1528</v>
      </c>
      <c r="C1" s="9" t="s">
        <v>924</v>
      </c>
      <c r="D1" s="9" t="s">
        <v>925</v>
      </c>
      <c r="E1" s="9" t="s">
        <v>1529</v>
      </c>
      <c r="F1" s="9" t="s">
        <v>671</v>
      </c>
      <c r="G1" s="9" t="s">
        <v>1530</v>
      </c>
      <c r="H1" s="9" t="s">
        <v>1531</v>
      </c>
      <c r="I1" s="9" t="s">
        <v>1211</v>
      </c>
      <c r="J1" s="9" t="s">
        <v>1532</v>
      </c>
      <c r="K1" s="9" t="s">
        <v>1210</v>
      </c>
      <c r="L1" s="9" t="s">
        <v>1533</v>
      </c>
      <c r="M1" s="9" t="s">
        <v>1534</v>
      </c>
      <c r="N1" s="9" t="s">
        <v>1535</v>
      </c>
    </row>
    <row r="2" customFormat="false" ht="23.85" hidden="false" customHeight="false" outlineLevel="0" collapsed="false">
      <c r="A2" s="56" t="n">
        <v>1</v>
      </c>
      <c r="B2" s="6" t="s">
        <v>1536</v>
      </c>
      <c r="C2" s="53" t="s">
        <v>1213</v>
      </c>
      <c r="D2" s="7"/>
      <c r="E2" s="7"/>
      <c r="F2" s="6" t="s">
        <v>1537</v>
      </c>
      <c r="G2" s="8" t="str">
        <f aca="false">HYPERLINK(Links!$Q$22,"folder")</f>
        <v>folder</v>
      </c>
      <c r="H2" s="8" t="str">
        <f aca="false">HYPERLINK(Links!$Q$23,"open")</f>
        <v>open</v>
      </c>
      <c r="I2" s="8" t="str">
        <f aca="false">HYPERLINK(Links!$Q$24,"open")</f>
        <v>open</v>
      </c>
      <c r="J2" s="8" t="str">
        <f aca="false">HYPERLINK(Links!$Q$25,"open")</f>
        <v>open</v>
      </c>
      <c r="K2" s="8" t="str">
        <f aca="false">HYPERLINK(Links!$Q$26,"open")</f>
        <v>open</v>
      </c>
      <c r="L2" s="8" t="str">
        <f aca="false">HYPERLINK(Links!$Q$27,"open")</f>
        <v>open</v>
      </c>
      <c r="M2" s="8" t="str">
        <f aca="false">HYPERLINK(Links!$Q$28,"open")</f>
        <v>open</v>
      </c>
      <c r="N2" s="8" t="str">
        <f aca="false">HYPERLINK(Links!$Q$29,"folder")</f>
        <v>folder</v>
      </c>
    </row>
    <row r="3" customFormat="false" ht="23.85" hidden="false" customHeight="false" outlineLevel="0" collapsed="false">
      <c r="A3" s="56" t="n">
        <v>2</v>
      </c>
      <c r="B3" s="6" t="s">
        <v>1538</v>
      </c>
      <c r="C3" s="53" t="s">
        <v>1213</v>
      </c>
      <c r="D3" s="7"/>
      <c r="E3" s="7"/>
      <c r="F3" s="6" t="s">
        <v>1537</v>
      </c>
      <c r="G3" s="8" t="str">
        <f aca="false">HYPERLINK(Links!$Q$30,"folder")</f>
        <v>folder</v>
      </c>
      <c r="H3" s="8" t="str">
        <f aca="false">HYPERLINK(Links!$Q$31,"open")</f>
        <v>open</v>
      </c>
      <c r="I3" s="8" t="str">
        <f aca="false">HYPERLINK(Links!$Q$32,"open")</f>
        <v>open</v>
      </c>
      <c r="J3" s="8" t="str">
        <f aca="false">HYPERLINK(Links!$Q$33,"open")</f>
        <v>open</v>
      </c>
      <c r="K3" s="8" t="str">
        <f aca="false">HYPERLINK(Links!$Q$34,"open")</f>
        <v>open</v>
      </c>
      <c r="L3" s="8" t="str">
        <f aca="false">HYPERLINK(Links!$Q$35,"open")</f>
        <v>open</v>
      </c>
      <c r="M3" s="8" t="str">
        <f aca="false">HYPERLINK(Links!$Q$36,"open")</f>
        <v>open</v>
      </c>
      <c r="N3" s="8" t="str">
        <f aca="false">HYPERLINK(Links!$Q$37,"folder")</f>
        <v>folder</v>
      </c>
    </row>
    <row r="4" customFormat="false" ht="15" hidden="false" customHeight="false" outlineLevel="0" collapsed="false">
      <c r="A4" s="56" t="n">
        <v>3</v>
      </c>
      <c r="B4" s="6" t="s">
        <v>1539</v>
      </c>
      <c r="C4" s="52" t="n">
        <v>46288</v>
      </c>
      <c r="D4" s="52" t="n">
        <v>46310</v>
      </c>
      <c r="E4" s="47" t="n">
        <f aca="false">COUNTIF('Scope &amp; Sequence'!$C$2:$C$132,A4)</f>
        <v>16</v>
      </c>
      <c r="F4" s="6" t="s">
        <v>1540</v>
      </c>
      <c r="G4" s="8" t="str">
        <f aca="false">HYPERLINK(Links!$Q$38,"folder")</f>
        <v>folder</v>
      </c>
      <c r="H4" s="8" t="str">
        <f aca="false">HYPERLINK(Links!$Q$39,"open")</f>
        <v>open</v>
      </c>
      <c r="I4" s="8" t="str">
        <f aca="false">HYPERLINK(Links!$Q$40,"open")</f>
        <v>open</v>
      </c>
      <c r="J4" s="8" t="str">
        <f aca="false">HYPERLINK(Links!$Q$41,"open")</f>
        <v>open</v>
      </c>
      <c r="K4" s="8" t="str">
        <f aca="false">HYPERLINK(Links!$Q$42,"open")</f>
        <v>open</v>
      </c>
      <c r="L4" s="8" t="str">
        <f aca="false">HYPERLINK(Links!$Q$43,"open")</f>
        <v>open</v>
      </c>
      <c r="M4" s="8" t="str">
        <f aca="false">HYPERLINK(Links!$Q$44,"open")</f>
        <v>open</v>
      </c>
      <c r="N4" s="8" t="str">
        <f aca="false">HYPERLINK(Links!$Q$45,"folder")</f>
        <v>folder</v>
      </c>
    </row>
    <row r="5" customFormat="false" ht="15" hidden="false" customHeight="false" outlineLevel="0" collapsed="false">
      <c r="A5" s="56" t="n">
        <v>4</v>
      </c>
      <c r="B5" s="6" t="s">
        <v>1541</v>
      </c>
      <c r="C5" s="52" t="n">
        <v>46311</v>
      </c>
      <c r="D5" s="52" t="n">
        <v>46322</v>
      </c>
      <c r="E5" s="47" t="n">
        <f aca="false">COUNTIF('Scope &amp; Sequence'!$C$2:$C$132,A5)</f>
        <v>8</v>
      </c>
      <c r="F5" s="6" t="s">
        <v>1540</v>
      </c>
      <c r="G5" s="8" t="str">
        <f aca="false">HYPERLINK(Links!$Q$46,"folder")</f>
        <v>folder</v>
      </c>
      <c r="H5" s="8" t="str">
        <f aca="false">HYPERLINK(Links!$Q$47,"open")</f>
        <v>open</v>
      </c>
      <c r="I5" s="8" t="str">
        <f aca="false">HYPERLINK(Links!$Q$48,"open")</f>
        <v>open</v>
      </c>
      <c r="J5" s="8" t="str">
        <f aca="false">HYPERLINK(Links!$Q$49,"open")</f>
        <v>open</v>
      </c>
      <c r="K5" s="8" t="str">
        <f aca="false">HYPERLINK(Links!$Q$50,"open")</f>
        <v>open</v>
      </c>
      <c r="L5" s="8" t="str">
        <f aca="false">HYPERLINK(Links!$Q$51,"open")</f>
        <v>open</v>
      </c>
      <c r="M5" s="8" t="str">
        <f aca="false">HYPERLINK(Links!$Q$52,"open")</f>
        <v>open</v>
      </c>
      <c r="N5" s="8" t="str">
        <f aca="false">HYPERLINK(Links!$Q$53,"folder")</f>
        <v>folder</v>
      </c>
    </row>
    <row r="6" customFormat="false" ht="23.85" hidden="false" customHeight="false" outlineLevel="0" collapsed="false">
      <c r="A6" s="56" t="n">
        <v>5</v>
      </c>
      <c r="B6" s="6" t="s">
        <v>1542</v>
      </c>
      <c r="C6" s="52" t="n">
        <v>46323</v>
      </c>
      <c r="D6" s="52" t="n">
        <v>46332</v>
      </c>
      <c r="E6" s="47" t="n">
        <f aca="false">COUNTIF('Scope &amp; Sequence'!$C$2:$C$132,A6)</f>
        <v>8</v>
      </c>
      <c r="F6" s="53" t="s">
        <v>225</v>
      </c>
      <c r="G6" s="7"/>
      <c r="H6" s="7"/>
      <c r="I6" s="7"/>
      <c r="J6" s="7"/>
      <c r="K6" s="7"/>
      <c r="L6" s="7"/>
      <c r="M6" s="7"/>
      <c r="N6" s="7"/>
    </row>
    <row r="7" customFormat="false" ht="15" hidden="false" customHeight="false" outlineLevel="0" collapsed="false">
      <c r="A7" s="56" t="n">
        <v>6</v>
      </c>
      <c r="B7" s="6" t="s">
        <v>1543</v>
      </c>
      <c r="C7" s="52" t="n">
        <v>46335</v>
      </c>
      <c r="D7" s="52" t="n">
        <v>46358</v>
      </c>
      <c r="E7" s="47" t="n">
        <f aca="false">COUNTIF('Scope &amp; Sequence'!$C$2:$C$132,A7)</f>
        <v>12</v>
      </c>
      <c r="F7" s="53" t="s">
        <v>225</v>
      </c>
      <c r="G7" s="7"/>
      <c r="H7" s="7"/>
      <c r="I7" s="7"/>
      <c r="J7" s="7"/>
      <c r="K7" s="7"/>
      <c r="L7" s="7"/>
      <c r="M7" s="7"/>
      <c r="N7" s="7"/>
    </row>
    <row r="8" customFormat="false" ht="15" hidden="false" customHeight="false" outlineLevel="0" collapsed="false">
      <c r="A8" s="56" t="n">
        <v>7</v>
      </c>
      <c r="B8" s="6" t="s">
        <v>1544</v>
      </c>
      <c r="C8" s="52" t="n">
        <v>46359</v>
      </c>
      <c r="D8" s="52" t="n">
        <v>46367</v>
      </c>
      <c r="E8" s="47" t="n">
        <f aca="false">COUNTIF('Scope &amp; Sequence'!$C$2:$C$132,A8)</f>
        <v>7</v>
      </c>
      <c r="F8" s="53" t="s">
        <v>225</v>
      </c>
      <c r="G8" s="7"/>
      <c r="H8" s="7"/>
      <c r="I8" s="7"/>
      <c r="J8" s="7"/>
      <c r="K8" s="7"/>
      <c r="L8" s="7"/>
      <c r="M8" s="7"/>
      <c r="N8" s="7"/>
    </row>
    <row r="9" customFormat="false" ht="15" hidden="false" customHeight="false" outlineLevel="0" collapsed="false">
      <c r="A9" s="56" t="n">
        <v>8</v>
      </c>
      <c r="B9" s="6" t="s">
        <v>1545</v>
      </c>
      <c r="C9" s="52" t="n">
        <v>46373</v>
      </c>
      <c r="D9" s="52" t="n">
        <v>46395</v>
      </c>
      <c r="E9" s="47" t="n">
        <f aca="false">COUNTIF('Scope &amp; Sequence'!$C$2:$C$132,A9)</f>
        <v>5</v>
      </c>
      <c r="F9" s="53" t="s">
        <v>225</v>
      </c>
      <c r="G9" s="7"/>
      <c r="H9" s="7"/>
      <c r="I9" s="7"/>
      <c r="J9" s="7"/>
      <c r="K9" s="7"/>
      <c r="L9" s="7"/>
      <c r="M9" s="7"/>
      <c r="N9" s="7"/>
    </row>
    <row r="10" customFormat="false" ht="15" hidden="false" customHeight="false" outlineLevel="0" collapsed="false">
      <c r="A10" s="56" t="n">
        <v>9</v>
      </c>
      <c r="B10" s="6" t="s">
        <v>1546</v>
      </c>
      <c r="C10" s="52" t="n">
        <v>46398</v>
      </c>
      <c r="D10" s="52" t="n">
        <v>46409</v>
      </c>
      <c r="E10" s="47" t="n">
        <f aca="false">COUNTIF('Scope &amp; Sequence'!$C$2:$C$132,A10)</f>
        <v>9</v>
      </c>
      <c r="F10" s="53" t="s">
        <v>225</v>
      </c>
      <c r="G10" s="7"/>
      <c r="H10" s="7"/>
      <c r="I10" s="7"/>
      <c r="J10" s="7"/>
      <c r="K10" s="7"/>
      <c r="L10" s="7"/>
      <c r="M10" s="7"/>
      <c r="N10" s="7"/>
    </row>
    <row r="11" customFormat="false" ht="15" hidden="false" customHeight="false" outlineLevel="0" collapsed="false">
      <c r="A11" s="56" t="n">
        <v>10</v>
      </c>
      <c r="B11" s="6" t="s">
        <v>1547</v>
      </c>
      <c r="C11" s="52" t="n">
        <v>46412</v>
      </c>
      <c r="D11" s="52" t="n">
        <v>46423</v>
      </c>
      <c r="E11" s="47" t="n">
        <f aca="false">COUNTIF('Scope &amp; Sequence'!$C$2:$C$132,A11)</f>
        <v>10</v>
      </c>
      <c r="F11" s="53" t="s">
        <v>225</v>
      </c>
      <c r="G11" s="7"/>
      <c r="H11" s="7"/>
      <c r="I11" s="7"/>
      <c r="J11" s="7"/>
      <c r="K11" s="7"/>
      <c r="L11" s="7"/>
      <c r="M11" s="7"/>
      <c r="N11" s="7"/>
    </row>
    <row r="12" customFormat="false" ht="15" hidden="false" customHeight="false" outlineLevel="0" collapsed="false">
      <c r="A12" s="56" t="n">
        <v>11</v>
      </c>
      <c r="B12" s="6" t="s">
        <v>1548</v>
      </c>
      <c r="C12" s="52" t="n">
        <v>46426</v>
      </c>
      <c r="D12" s="52" t="n">
        <v>46440</v>
      </c>
      <c r="E12" s="47" t="n">
        <f aca="false">COUNTIF('Scope &amp; Sequence'!$C$2:$C$132,A12)</f>
        <v>10</v>
      </c>
      <c r="F12" s="53" t="s">
        <v>225</v>
      </c>
      <c r="G12" s="7"/>
      <c r="H12" s="7"/>
      <c r="I12" s="7"/>
      <c r="J12" s="7"/>
      <c r="K12" s="7"/>
      <c r="L12" s="7"/>
      <c r="M12" s="7"/>
      <c r="N12" s="7"/>
    </row>
    <row r="13" customFormat="false" ht="15" hidden="false" customHeight="false" outlineLevel="0" collapsed="false">
      <c r="A13" s="56" t="n">
        <v>12</v>
      </c>
      <c r="B13" s="6" t="s">
        <v>1549</v>
      </c>
      <c r="C13" s="52" t="n">
        <v>46441</v>
      </c>
      <c r="D13" s="52" t="n">
        <v>46456</v>
      </c>
      <c r="E13" s="47" t="n">
        <f aca="false">COUNTIF('Scope &amp; Sequence'!$C$2:$C$132,A13)</f>
        <v>11</v>
      </c>
      <c r="F13" s="53" t="s">
        <v>225</v>
      </c>
      <c r="G13" s="7"/>
      <c r="H13" s="7"/>
      <c r="I13" s="7"/>
      <c r="J13" s="7"/>
      <c r="K13" s="7"/>
      <c r="L13" s="7"/>
      <c r="M13" s="7"/>
      <c r="N13" s="7"/>
    </row>
    <row r="14" customFormat="false" ht="15" hidden="false" customHeight="false" outlineLevel="0" collapsed="false">
      <c r="A14" s="56" t="n">
        <v>13</v>
      </c>
      <c r="B14" s="6" t="s">
        <v>1550</v>
      </c>
      <c r="C14" s="52" t="n">
        <v>46457</v>
      </c>
      <c r="D14" s="52" t="n">
        <v>46476</v>
      </c>
      <c r="E14" s="47" t="n">
        <f aca="false">COUNTIF('Scope &amp; Sequence'!$C$2:$C$132,A14)</f>
        <v>9</v>
      </c>
      <c r="F14" s="53" t="s">
        <v>225</v>
      </c>
      <c r="G14" s="7"/>
      <c r="H14" s="7"/>
      <c r="I14" s="7"/>
      <c r="J14" s="7"/>
      <c r="K14" s="7"/>
      <c r="L14" s="7"/>
      <c r="M14" s="7"/>
      <c r="N14" s="7"/>
    </row>
    <row r="15" customFormat="false" ht="15" hidden="false" customHeight="false" outlineLevel="0" collapsed="false">
      <c r="A15" s="56" t="n">
        <v>14</v>
      </c>
      <c r="B15" s="6" t="s">
        <v>1551</v>
      </c>
      <c r="C15" s="52" t="n">
        <v>46477</v>
      </c>
      <c r="D15" s="52" t="n">
        <v>46483</v>
      </c>
      <c r="E15" s="47" t="n">
        <f aca="false">COUNTIF('Scope &amp; Sequence'!$C$2:$C$132,A15)</f>
        <v>5</v>
      </c>
      <c r="F15" s="53" t="s">
        <v>225</v>
      </c>
      <c r="G15" s="7"/>
      <c r="H15" s="7"/>
      <c r="I15" s="7"/>
      <c r="J15" s="7"/>
      <c r="K15" s="7"/>
      <c r="L15" s="7"/>
      <c r="M15" s="7"/>
      <c r="N15" s="7"/>
    </row>
    <row r="16" customFormat="false" ht="15" hidden="false" customHeight="false" outlineLevel="0" collapsed="false">
      <c r="A16" s="56" t="n">
        <v>15</v>
      </c>
      <c r="B16" s="6" t="s">
        <v>1552</v>
      </c>
      <c r="C16" s="52" t="n">
        <v>46484</v>
      </c>
      <c r="D16" s="52" t="n">
        <v>46496</v>
      </c>
      <c r="E16" s="47" t="n">
        <f aca="false">COUNTIF('Scope &amp; Sequence'!$C$2:$C$132,A16)</f>
        <v>8</v>
      </c>
      <c r="F16" s="53" t="s">
        <v>225</v>
      </c>
      <c r="G16" s="7"/>
      <c r="H16" s="7"/>
      <c r="I16" s="7"/>
      <c r="J16" s="7"/>
      <c r="K16" s="7"/>
      <c r="L16" s="7"/>
      <c r="M16" s="7"/>
      <c r="N16" s="7"/>
    </row>
    <row r="17" customFormat="false" ht="15" hidden="false" customHeight="false" outlineLevel="0" collapsed="false">
      <c r="A17" s="56" t="n">
        <v>16</v>
      </c>
      <c r="B17" s="6" t="s">
        <v>1553</v>
      </c>
      <c r="C17" s="52" t="n">
        <v>46497</v>
      </c>
      <c r="D17" s="52" t="n">
        <v>46500</v>
      </c>
      <c r="E17" s="47" t="n">
        <f aca="false">COUNTIF('Scope &amp; Sequence'!$C$2:$C$132,A17)</f>
        <v>4</v>
      </c>
      <c r="F17" s="53" t="s">
        <v>225</v>
      </c>
      <c r="G17" s="7"/>
      <c r="H17" s="7"/>
      <c r="I17" s="7"/>
      <c r="J17" s="7"/>
      <c r="K17" s="7"/>
      <c r="L17" s="7"/>
      <c r="M17" s="7"/>
      <c r="N17" s="7"/>
    </row>
    <row r="18" customFormat="false" ht="15" hidden="false" customHeight="false" outlineLevel="0" collapsed="false">
      <c r="A18" s="56" t="n">
        <v>17</v>
      </c>
      <c r="B18" s="6" t="s">
        <v>1554</v>
      </c>
      <c r="C18" s="52" t="n">
        <v>46503</v>
      </c>
      <c r="D18" s="52" t="n">
        <v>46507</v>
      </c>
      <c r="E18" s="47" t="n">
        <f aca="false">COUNTIF('Scope &amp; Sequence'!$C$2:$C$132,A18)</f>
        <v>5</v>
      </c>
      <c r="F18" s="53" t="s">
        <v>225</v>
      </c>
      <c r="G18" s="7"/>
      <c r="H18" s="7"/>
      <c r="I18" s="7"/>
      <c r="J18" s="7"/>
      <c r="K18" s="7"/>
      <c r="L18" s="7"/>
      <c r="M18" s="7"/>
      <c r="N18" s="7"/>
    </row>
    <row r="20" customFormat="false" ht="15" hidden="false" customHeight="false" outlineLevel="0" collapsed="false">
      <c r="A20" s="12" t="s">
        <v>1555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3"/>
    <col collapsed="false" customWidth="true" hidden="false" outlineLevel="0" max="4" min="4" style="0" width="16"/>
    <col collapsed="false" customWidth="true" hidden="false" outlineLevel="0" max="5" min="5" style="0" width="14"/>
    <col collapsed="false" customWidth="true" hidden="false" outlineLevel="0" max="6" min="6" style="0" width="24"/>
    <col collapsed="false" customWidth="true" hidden="false" outlineLevel="0" max="7" min="7" style="0" width="10"/>
    <col collapsed="false" customWidth="true" hidden="false" outlineLevel="0" max="8" min="8" style="0" width="14"/>
  </cols>
  <sheetData>
    <row r="1" customFormat="false" ht="30" hidden="false" customHeight="true" outlineLevel="0" collapsed="false">
      <c r="A1" s="9" t="s">
        <v>30</v>
      </c>
      <c r="B1" s="9" t="s">
        <v>2</v>
      </c>
      <c r="C1" s="9" t="s">
        <v>11</v>
      </c>
      <c r="D1" s="9" t="s">
        <v>13</v>
      </c>
      <c r="E1" s="9" t="s">
        <v>15</v>
      </c>
      <c r="F1" s="9" t="s">
        <v>1556</v>
      </c>
      <c r="G1" s="9" t="s">
        <v>16</v>
      </c>
      <c r="H1" s="9" t="s">
        <v>18</v>
      </c>
    </row>
    <row r="2" customFormat="false" ht="15" hidden="false" customHeight="false" outlineLevel="0" collapsed="false">
      <c r="A2" s="56" t="n">
        <v>1</v>
      </c>
      <c r="B2" s="5" t="s">
        <v>1557</v>
      </c>
      <c r="C2" s="8" t="str">
        <f aca="false">HYPERLINK(Links!$Q$54,"open")</f>
        <v>open</v>
      </c>
      <c r="D2" s="8" t="str">
        <f aca="false">HYPERLINK(Links!$Q$55,"open")</f>
        <v>open</v>
      </c>
      <c r="E2" s="8" t="str">
        <f aca="false">HYPERLINK(Links!$Q$56,"open")</f>
        <v>open</v>
      </c>
      <c r="F2" s="8" t="str">
        <f aca="false">HYPERLINK(Links!$Q$57,"open")</f>
        <v>open</v>
      </c>
      <c r="G2" s="8" t="str">
        <f aca="false">HYPERLINK(Links!$Q$58,"open")</f>
        <v>open</v>
      </c>
      <c r="H2" s="8" t="str">
        <f aca="false">HYPERLINK(Links!$Q$59,"open")</f>
        <v>open</v>
      </c>
    </row>
    <row r="3" customFormat="false" ht="15" hidden="false" customHeight="false" outlineLevel="0" collapsed="false">
      <c r="A3" s="56" t="n">
        <v>1</v>
      </c>
      <c r="B3" s="5" t="s">
        <v>1558</v>
      </c>
      <c r="C3" s="8" t="str">
        <f aca="false">HYPERLINK(Links!$Q$60,"open")</f>
        <v>open</v>
      </c>
      <c r="D3" s="8" t="str">
        <f aca="false">HYPERLINK(Links!$Q$61,"open")</f>
        <v>open</v>
      </c>
      <c r="E3" s="8" t="str">
        <f aca="false">HYPERLINK(Links!$Q$62,"open")</f>
        <v>open</v>
      </c>
      <c r="F3" s="8" t="str">
        <f aca="false">HYPERLINK(Links!$Q$63,"open")</f>
        <v>open</v>
      </c>
      <c r="G3" s="8" t="str">
        <f aca="false">HYPERLINK(Links!$Q$64,"open")</f>
        <v>open</v>
      </c>
      <c r="H3" s="8" t="str">
        <f aca="false">HYPERLINK(Links!$Q$65,"open")</f>
        <v>open</v>
      </c>
    </row>
    <row r="4" customFormat="false" ht="15" hidden="false" customHeight="false" outlineLevel="0" collapsed="false">
      <c r="A4" s="56" t="n">
        <v>1</v>
      </c>
      <c r="B4" s="5" t="s">
        <v>1559</v>
      </c>
      <c r="C4" s="8" t="str">
        <f aca="false">HYPERLINK(Links!$Q$66,"open")</f>
        <v>open</v>
      </c>
      <c r="D4" s="8" t="str">
        <f aca="false">HYPERLINK(Links!$Q$67,"open")</f>
        <v>open</v>
      </c>
      <c r="E4" s="8" t="str">
        <f aca="false">HYPERLINK(Links!$Q$68,"open")</f>
        <v>open</v>
      </c>
      <c r="F4" s="8" t="str">
        <f aca="false">HYPERLINK(Links!$Q$69,"open")</f>
        <v>open</v>
      </c>
      <c r="G4" s="8" t="str">
        <f aca="false">HYPERLINK(Links!$Q$70,"open")</f>
        <v>open</v>
      </c>
      <c r="H4" s="8" t="str">
        <f aca="false">HYPERLINK(Links!$Q$71,"open")</f>
        <v>open</v>
      </c>
    </row>
    <row r="5" customFormat="false" ht="15" hidden="false" customHeight="false" outlineLevel="0" collapsed="false">
      <c r="A5" s="56" t="n">
        <v>1</v>
      </c>
      <c r="B5" s="5" t="s">
        <v>1560</v>
      </c>
      <c r="C5" s="8" t="str">
        <f aca="false">HYPERLINK(Links!$Q$72,"open")</f>
        <v>open</v>
      </c>
      <c r="D5" s="8" t="str">
        <f aca="false">HYPERLINK(Links!$Q$73,"open")</f>
        <v>open</v>
      </c>
      <c r="E5" s="8" t="str">
        <f aca="false">HYPERLINK(Links!$Q$74,"open")</f>
        <v>open</v>
      </c>
      <c r="F5" s="8" t="str">
        <f aca="false">HYPERLINK(Links!$Q$75,"open")</f>
        <v>open</v>
      </c>
      <c r="G5" s="8" t="str">
        <f aca="false">HYPERLINK(Links!$Q$76,"open")</f>
        <v>open</v>
      </c>
      <c r="H5" s="8" t="str">
        <f aca="false">HYPERLINK(Links!$Q$77,"open")</f>
        <v>open</v>
      </c>
    </row>
    <row r="6" customFormat="false" ht="15" hidden="false" customHeight="false" outlineLevel="0" collapsed="false">
      <c r="A6" s="56" t="n">
        <v>1</v>
      </c>
      <c r="B6" s="5" t="s">
        <v>1561</v>
      </c>
      <c r="C6" s="8" t="str">
        <f aca="false">HYPERLINK(Links!$Q$78,"open")</f>
        <v>open</v>
      </c>
      <c r="D6" s="8" t="str">
        <f aca="false">HYPERLINK(Links!$Q$79,"open")</f>
        <v>open</v>
      </c>
      <c r="E6" s="8" t="str">
        <f aca="false">HYPERLINK(Links!$Q$80,"open")</f>
        <v>open</v>
      </c>
      <c r="F6" s="8" t="str">
        <f aca="false">HYPERLINK(Links!$Q$81,"open")</f>
        <v>open</v>
      </c>
      <c r="G6" s="8" t="str">
        <f aca="false">HYPERLINK(Links!$Q$82,"open")</f>
        <v>open</v>
      </c>
      <c r="H6" s="8" t="str">
        <f aca="false">HYPERLINK(Links!$Q$83,"open")</f>
        <v>open</v>
      </c>
    </row>
    <row r="7" customFormat="false" ht="15" hidden="false" customHeight="false" outlineLevel="0" collapsed="false">
      <c r="A7" s="56" t="n">
        <v>1</v>
      </c>
      <c r="B7" s="5" t="s">
        <v>1562</v>
      </c>
      <c r="C7" s="8" t="str">
        <f aca="false">HYPERLINK(Links!$Q$84,"open")</f>
        <v>open</v>
      </c>
      <c r="D7" s="8" t="str">
        <f aca="false">HYPERLINK(Links!$Q$85,"open")</f>
        <v>open</v>
      </c>
      <c r="E7" s="8" t="str">
        <f aca="false">HYPERLINK(Links!$Q$86,"open")</f>
        <v>open</v>
      </c>
      <c r="F7" s="8" t="str">
        <f aca="false">HYPERLINK(Links!$Q$87,"open")</f>
        <v>open</v>
      </c>
      <c r="G7" s="8" t="str">
        <f aca="false">HYPERLINK(Links!$Q$88,"open")</f>
        <v>open</v>
      </c>
      <c r="H7" s="8" t="str">
        <f aca="false">HYPERLINK(Links!$Q$89,"open")</f>
        <v>open</v>
      </c>
    </row>
    <row r="8" customFormat="false" ht="15" hidden="false" customHeight="false" outlineLevel="0" collapsed="false">
      <c r="A8" s="56" t="n">
        <v>1</v>
      </c>
      <c r="B8" s="5" t="s">
        <v>1563</v>
      </c>
      <c r="C8" s="8" t="str">
        <f aca="false">HYPERLINK(Links!$Q$90,"open")</f>
        <v>open</v>
      </c>
      <c r="D8" s="8" t="str">
        <f aca="false">HYPERLINK(Links!$Q$91,"open")</f>
        <v>open</v>
      </c>
      <c r="E8" s="8" t="str">
        <f aca="false">HYPERLINK(Links!$Q$92,"open")</f>
        <v>open</v>
      </c>
      <c r="F8" s="8" t="str">
        <f aca="false">HYPERLINK(Links!$Q$93,"open")</f>
        <v>open</v>
      </c>
      <c r="G8" s="8" t="str">
        <f aca="false">HYPERLINK(Links!$Q$94,"open")</f>
        <v>open</v>
      </c>
      <c r="H8" s="8" t="str">
        <f aca="false">HYPERLINK(Links!$Q$95,"open")</f>
        <v>open</v>
      </c>
    </row>
    <row r="9" customFormat="false" ht="15" hidden="false" customHeight="false" outlineLevel="0" collapsed="false">
      <c r="A9" s="56" t="n">
        <v>1</v>
      </c>
      <c r="B9" s="5" t="s">
        <v>1564</v>
      </c>
      <c r="C9" s="8" t="str">
        <f aca="false">HYPERLINK(Links!$Q$96,"open")</f>
        <v>open</v>
      </c>
      <c r="D9" s="8" t="str">
        <f aca="false">HYPERLINK(Links!$Q$97,"open")</f>
        <v>open</v>
      </c>
      <c r="E9" s="8" t="str">
        <f aca="false">HYPERLINK(Links!$Q$98,"open")</f>
        <v>open</v>
      </c>
      <c r="F9" s="8" t="str">
        <f aca="false">HYPERLINK(Links!$Q$99,"open")</f>
        <v>open</v>
      </c>
      <c r="G9" s="8" t="str">
        <f aca="false">HYPERLINK(Links!$Q$100,"open")</f>
        <v>open</v>
      </c>
      <c r="H9" s="8" t="str">
        <f aca="false">HYPERLINK(Links!$Q$101,"open")</f>
        <v>open</v>
      </c>
    </row>
    <row r="10" customFormat="false" ht="15" hidden="false" customHeight="false" outlineLevel="0" collapsed="false">
      <c r="A10" s="56" t="n">
        <v>1</v>
      </c>
      <c r="B10" s="5" t="s">
        <v>1565</v>
      </c>
      <c r="C10" s="8" t="str">
        <f aca="false">HYPERLINK(Links!$Q$102,"open")</f>
        <v>open</v>
      </c>
      <c r="D10" s="8" t="str">
        <f aca="false">HYPERLINK(Links!$Q$103,"open")</f>
        <v>open</v>
      </c>
      <c r="E10" s="8" t="str">
        <f aca="false">HYPERLINK(Links!$Q$104,"open")</f>
        <v>open</v>
      </c>
      <c r="F10" s="8" t="str">
        <f aca="false">HYPERLINK(Links!$Q$105,"open")</f>
        <v>open</v>
      </c>
      <c r="G10" s="8" t="str">
        <f aca="false">HYPERLINK(Links!$Q$106,"open")</f>
        <v>open</v>
      </c>
      <c r="H10" s="8" t="str">
        <f aca="false">HYPERLINK(Links!$Q$107,"open")</f>
        <v>open</v>
      </c>
    </row>
    <row r="11" customFormat="false" ht="15" hidden="false" customHeight="false" outlineLevel="0" collapsed="false">
      <c r="A11" s="56" t="n">
        <v>1</v>
      </c>
      <c r="B11" s="5" t="s">
        <v>1566</v>
      </c>
      <c r="C11" s="8" t="str">
        <f aca="false">HYPERLINK(Links!$Q$108,"open")</f>
        <v>open</v>
      </c>
      <c r="D11" s="8" t="str">
        <f aca="false">HYPERLINK(Links!$Q$109,"open")</f>
        <v>open</v>
      </c>
      <c r="E11" s="8" t="str">
        <f aca="false">HYPERLINK(Links!$Q$110,"open")</f>
        <v>open</v>
      </c>
      <c r="F11" s="8" t="str">
        <f aca="false">HYPERLINK(Links!$Q$111,"open")</f>
        <v>open</v>
      </c>
      <c r="G11" s="8" t="str">
        <f aca="false">HYPERLINK(Links!$Q$112,"open")</f>
        <v>open</v>
      </c>
      <c r="H11" s="8" t="str">
        <f aca="false">HYPERLINK(Links!$Q$113,"open")</f>
        <v>open</v>
      </c>
    </row>
    <row r="12" customFormat="false" ht="15" hidden="false" customHeight="false" outlineLevel="0" collapsed="false">
      <c r="A12" s="56" t="n">
        <v>2</v>
      </c>
      <c r="B12" s="5" t="s">
        <v>1567</v>
      </c>
      <c r="C12" s="8" t="str">
        <f aca="false">HYPERLINK(Links!$Q$114,"open")</f>
        <v>open</v>
      </c>
      <c r="D12" s="8" t="str">
        <f aca="false">HYPERLINK(Links!$Q$115,"open")</f>
        <v>open</v>
      </c>
      <c r="E12" s="8" t="str">
        <f aca="false">HYPERLINK(Links!$Q$116,"open")</f>
        <v>open</v>
      </c>
      <c r="F12" s="8" t="str">
        <f aca="false">HYPERLINK(Links!$Q$117,"open")</f>
        <v>open</v>
      </c>
      <c r="G12" s="8" t="str">
        <f aca="false">HYPERLINK(Links!$Q$118,"open")</f>
        <v>open</v>
      </c>
      <c r="H12" s="8" t="str">
        <f aca="false">HYPERLINK(Links!$Q$119,"open")</f>
        <v>open</v>
      </c>
    </row>
    <row r="13" customFormat="false" ht="15" hidden="false" customHeight="false" outlineLevel="0" collapsed="false">
      <c r="A13" s="56" t="n">
        <v>2</v>
      </c>
      <c r="B13" s="5" t="s">
        <v>1568</v>
      </c>
      <c r="C13" s="8" t="str">
        <f aca="false">HYPERLINK(Links!$Q$120,"open")</f>
        <v>open</v>
      </c>
      <c r="D13" s="8" t="str">
        <f aca="false">HYPERLINK(Links!$Q$121,"open")</f>
        <v>open</v>
      </c>
      <c r="E13" s="8" t="str">
        <f aca="false">HYPERLINK(Links!$Q$122,"open")</f>
        <v>open</v>
      </c>
      <c r="F13" s="8" t="str">
        <f aca="false">HYPERLINK(Links!$Q$123,"open")</f>
        <v>open</v>
      </c>
      <c r="G13" s="8" t="str">
        <f aca="false">HYPERLINK(Links!$Q$124,"open")</f>
        <v>open</v>
      </c>
      <c r="H13" s="8" t="str">
        <f aca="false">HYPERLINK(Links!$Q$125,"open")</f>
        <v>open</v>
      </c>
    </row>
    <row r="14" customFormat="false" ht="15" hidden="false" customHeight="false" outlineLevel="0" collapsed="false">
      <c r="A14" s="56" t="n">
        <v>2</v>
      </c>
      <c r="B14" s="5" t="s">
        <v>1569</v>
      </c>
      <c r="C14" s="8" t="str">
        <f aca="false">HYPERLINK(Links!$Q$126,"open")</f>
        <v>open</v>
      </c>
      <c r="D14" s="8" t="str">
        <f aca="false">HYPERLINK(Links!$Q$127,"open")</f>
        <v>open</v>
      </c>
      <c r="E14" s="8" t="str">
        <f aca="false">HYPERLINK(Links!$Q$128,"open")</f>
        <v>open</v>
      </c>
      <c r="F14" s="8" t="str">
        <f aca="false">HYPERLINK(Links!$Q$129,"open")</f>
        <v>open</v>
      </c>
      <c r="G14" s="8" t="str">
        <f aca="false">HYPERLINK(Links!$Q$130,"open")</f>
        <v>open</v>
      </c>
      <c r="H14" s="8" t="str">
        <f aca="false">HYPERLINK(Links!$Q$131,"open")</f>
        <v>open</v>
      </c>
    </row>
    <row r="15" customFormat="false" ht="15" hidden="false" customHeight="false" outlineLevel="0" collapsed="false">
      <c r="A15" s="56" t="n">
        <v>2</v>
      </c>
      <c r="B15" s="5" t="s">
        <v>1570</v>
      </c>
      <c r="C15" s="8" t="str">
        <f aca="false">HYPERLINK(Links!$Q$132,"open")</f>
        <v>open</v>
      </c>
      <c r="D15" s="8" t="str">
        <f aca="false">HYPERLINK(Links!$Q$133,"open")</f>
        <v>open</v>
      </c>
      <c r="E15" s="8" t="str">
        <f aca="false">HYPERLINK(Links!$Q$134,"open")</f>
        <v>open</v>
      </c>
      <c r="F15" s="8" t="str">
        <f aca="false">HYPERLINK(Links!$Q$135,"open")</f>
        <v>open</v>
      </c>
      <c r="G15" s="8" t="str">
        <f aca="false">HYPERLINK(Links!$Q$136,"open")</f>
        <v>open</v>
      </c>
      <c r="H15" s="8" t="str">
        <f aca="false">HYPERLINK(Links!$Q$137,"open")</f>
        <v>open</v>
      </c>
    </row>
    <row r="16" customFormat="false" ht="15" hidden="false" customHeight="false" outlineLevel="0" collapsed="false">
      <c r="A16" s="56" t="n">
        <v>2</v>
      </c>
      <c r="B16" s="5" t="s">
        <v>1571</v>
      </c>
      <c r="C16" s="8" t="str">
        <f aca="false">HYPERLINK(Links!$Q$138,"open")</f>
        <v>open</v>
      </c>
      <c r="D16" s="8" t="str">
        <f aca="false">HYPERLINK(Links!$Q$139,"open")</f>
        <v>open</v>
      </c>
      <c r="E16" s="8" t="str">
        <f aca="false">HYPERLINK(Links!$Q$140,"open")</f>
        <v>open</v>
      </c>
      <c r="F16" s="8" t="str">
        <f aca="false">HYPERLINK(Links!$Q$141,"open")</f>
        <v>open</v>
      </c>
      <c r="G16" s="8" t="str">
        <f aca="false">HYPERLINK(Links!$Q$142,"open")</f>
        <v>open</v>
      </c>
      <c r="H16" s="8" t="str">
        <f aca="false">HYPERLINK(Links!$Q$143,"open")</f>
        <v>open</v>
      </c>
    </row>
    <row r="17" customFormat="false" ht="15" hidden="false" customHeight="false" outlineLevel="0" collapsed="false">
      <c r="A17" s="56" t="n">
        <v>2</v>
      </c>
      <c r="B17" s="5" t="s">
        <v>1572</v>
      </c>
      <c r="C17" s="8" t="str">
        <f aca="false">HYPERLINK(Links!$Q$144,"open")</f>
        <v>open</v>
      </c>
      <c r="D17" s="8" t="str">
        <f aca="false">HYPERLINK(Links!$Q$145,"open")</f>
        <v>open</v>
      </c>
      <c r="E17" s="7"/>
      <c r="F17" s="8" t="str">
        <f aca="false">HYPERLINK(Links!$Q$146,"open")</f>
        <v>open</v>
      </c>
      <c r="G17" s="7"/>
      <c r="H17" s="8" t="str">
        <f aca="false">HYPERLINK(Links!$Q$147,"open")</f>
        <v>open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68" t="s">
        <v>1573</v>
      </c>
    </row>
    <row r="2" customFormat="false" ht="23.85" hidden="false" customHeight="false" outlineLevel="0" collapsed="false">
      <c r="A2" s="69" t="s">
        <v>1574</v>
      </c>
    </row>
    <row r="3" customFormat="false" ht="15" hidden="false" customHeight="false" outlineLevel="0" collapsed="false">
      <c r="A3" s="69"/>
    </row>
    <row r="4" customFormat="false" ht="15" hidden="false" customHeight="false" outlineLevel="0" collapsed="false">
      <c r="A4" s="68" t="s">
        <v>1575</v>
      </c>
    </row>
    <row r="5" customFormat="false" ht="23.85" hidden="false" customHeight="false" outlineLevel="0" collapsed="false">
      <c r="A5" s="69" t="s">
        <v>1576</v>
      </c>
    </row>
    <row r="6" customFormat="false" ht="35.05" hidden="false" customHeight="false" outlineLevel="0" collapsed="false">
      <c r="A6" s="69" t="s">
        <v>1577</v>
      </c>
    </row>
    <row r="7" customFormat="false" ht="23.85" hidden="false" customHeight="false" outlineLevel="0" collapsed="false">
      <c r="A7" s="69" t="s">
        <v>1578</v>
      </c>
    </row>
    <row r="8" customFormat="false" ht="15" hidden="false" customHeight="false" outlineLevel="0" collapsed="false">
      <c r="A8" s="69" t="s">
        <v>1579</v>
      </c>
    </row>
    <row r="9" customFormat="false" ht="15" hidden="false" customHeight="false" outlineLevel="0" collapsed="false">
      <c r="A9" s="69" t="s">
        <v>1580</v>
      </c>
    </row>
    <row r="10" customFormat="false" ht="15" hidden="false" customHeight="false" outlineLevel="0" collapsed="false">
      <c r="A10" s="69" t="s">
        <v>1581</v>
      </c>
    </row>
    <row r="11" customFormat="false" ht="15" hidden="false" customHeight="false" outlineLevel="0" collapsed="false">
      <c r="A11" s="69" t="s">
        <v>1582</v>
      </c>
    </row>
    <row r="12" customFormat="false" ht="15" hidden="false" customHeight="false" outlineLevel="0" collapsed="false">
      <c r="A12" s="69" t="s">
        <v>1583</v>
      </c>
    </row>
    <row r="13" customFormat="false" ht="15" hidden="false" customHeight="false" outlineLevel="0" collapsed="false">
      <c r="A13" s="69" t="s">
        <v>1584</v>
      </c>
    </row>
    <row r="14" customFormat="false" ht="15" hidden="false" customHeight="false" outlineLevel="0" collapsed="false">
      <c r="A14" s="69"/>
    </row>
    <row r="15" customFormat="false" ht="15" hidden="false" customHeight="false" outlineLevel="0" collapsed="false">
      <c r="A15" s="68" t="s">
        <v>1585</v>
      </c>
    </row>
    <row r="16" customFormat="false" ht="57.45" hidden="false" customHeight="false" outlineLevel="0" collapsed="false">
      <c r="A16" s="69" t="s">
        <v>1586</v>
      </c>
    </row>
    <row r="17" customFormat="false" ht="23.85" hidden="false" customHeight="false" outlineLevel="0" collapsed="false">
      <c r="A17" s="69" t="s">
        <v>1587</v>
      </c>
    </row>
    <row r="18" customFormat="false" ht="23.85" hidden="false" customHeight="false" outlineLevel="0" collapsed="false">
      <c r="A18" s="69" t="s">
        <v>1588</v>
      </c>
    </row>
    <row r="19" customFormat="false" ht="23.85" hidden="false" customHeight="false" outlineLevel="0" collapsed="false">
      <c r="A19" s="69" t="s">
        <v>1589</v>
      </c>
    </row>
    <row r="20" customFormat="false" ht="15" hidden="false" customHeight="false" outlineLevel="0" collapsed="false">
      <c r="A20" s="69" t="s">
        <v>1590</v>
      </c>
    </row>
    <row r="21" customFormat="false" ht="46.25" hidden="false" customHeight="false" outlineLevel="0" collapsed="false">
      <c r="A21" s="69" t="s">
        <v>1591</v>
      </c>
    </row>
    <row r="22" customFormat="false" ht="23.85" hidden="false" customHeight="false" outlineLevel="0" collapsed="false">
      <c r="A22" s="69" t="s">
        <v>1592</v>
      </c>
    </row>
    <row r="23" customFormat="false" ht="23.85" hidden="false" customHeight="false" outlineLevel="0" collapsed="false">
      <c r="A23" s="69" t="s">
        <v>1593</v>
      </c>
    </row>
    <row r="24" customFormat="false" ht="15" hidden="false" customHeight="false" outlineLevel="0" collapsed="false">
      <c r="A24" s="69"/>
    </row>
    <row r="25" customFormat="false" ht="15" hidden="false" customHeight="false" outlineLevel="0" collapsed="false">
      <c r="A25" s="68" t="s">
        <v>1594</v>
      </c>
    </row>
    <row r="26" customFormat="false" ht="46.25" hidden="false" customHeight="false" outlineLevel="0" collapsed="false">
      <c r="A26" s="69" t="s">
        <v>1595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70" t="s">
        <v>24</v>
      </c>
      <c r="B1" s="70" t="s">
        <v>11</v>
      </c>
      <c r="C1" s="70" t="s">
        <v>12</v>
      </c>
      <c r="D1" s="70" t="s">
        <v>13</v>
      </c>
      <c r="E1" s="70" t="s">
        <v>14</v>
      </c>
      <c r="F1" s="70" t="s">
        <v>15</v>
      </c>
      <c r="G1" s="70" t="s">
        <v>16</v>
      </c>
      <c r="H1" s="70" t="s">
        <v>17</v>
      </c>
      <c r="I1" s="70" t="s">
        <v>18</v>
      </c>
      <c r="J1" s="70" t="s">
        <v>19</v>
      </c>
      <c r="K1" s="70" t="s">
        <v>20</v>
      </c>
      <c r="L1" s="70" t="s">
        <v>21</v>
      </c>
      <c r="M1" s="70" t="s">
        <v>22</v>
      </c>
      <c r="N1" s="70"/>
      <c r="O1" s="70" t="s">
        <v>1596</v>
      </c>
      <c r="P1" s="70" t="s">
        <v>1597</v>
      </c>
      <c r="Q1" s="70" t="s">
        <v>1598</v>
      </c>
    </row>
    <row r="2" customFormat="false" ht="15" hidden="false" customHeight="false" outlineLevel="0" collapsed="false">
      <c r="A2" s="71" t="n">
        <v>46288</v>
      </c>
      <c r="B2" s="70" t="str">
        <f aca="false">IFERROR("https://drive.google.com/file/d/"&amp;VLOOKUP("kca740ef532ea",Drive!$A:$B,2,0)&amp;"/view","https://drive.google.com/drive/search?q=title:%22A7%203.01%20Product%20Laws%20of%20Exponents%20-%20Slides.pdf%22")</f>
        <v>https://drive.google.com/drive/search?q=title:%22A7%203.01%20Product%20Laws%20of%20Exponents%20-%20Slides.pdf%22</v>
      </c>
      <c r="C2" s="70" t="str">
        <f aca="false">IFERROR("https://drive.google.com/file/d/"&amp;VLOOKUP("k755f4b21301d",Drive!$A:$B,2,0)&amp;"/view","https://drive.google.com/drive/search?q=title:%22A7%203.01%20Product%20Laws%20of%20Exponents%20-%20Slides.pptx%22")</f>
        <v>https://drive.google.com/drive/search?q=title:%22A7%203.01%20Product%20Laws%20of%20Exponents%20-%20Slides.pptx%22</v>
      </c>
      <c r="D2" s="70" t="str">
        <f aca="false">IFERROR("https://drive.google.com/file/d/"&amp;VLOOKUP("k9fd6930d9f8c",Drive!$A:$B,2,0)&amp;"/view","https://drive.google.com/drive/search?q=title:%22A7%203.01%20Product%20Laws%20of%20Exponents%20-%20Teacher%20Edition.pdf%22")</f>
        <v>https://drive.google.com/drive/search?q=title:%22A7%203.01%20Product%20Laws%20of%20Exponents%20-%20Teacher%20Edition.pdf%22</v>
      </c>
      <c r="E2" s="70" t="str">
        <f aca="false">IFERROR("https://drive.google.com/file/d/"&amp;VLOOKUP("k1f39d9702bb1",Drive!$A:$B,2,0)&amp;"/view","https://drive.google.com/drive/search?q=title:%22A7%203.01%20Product%20Laws%20of%20Exponents%20-%20Lesson%20Plan.pdf%22")</f>
        <v>https://drive.google.com/drive/search?q=title:%22A7%203.01%20Product%20Laws%20of%20Exponents%20-%20Lesson%20Plan.pdf%22</v>
      </c>
      <c r="F2" s="70" t="str">
        <f aca="false">IFERROR("https://drive.google.com/file/d/"&amp;VLOOKUP("ka10984278283",Drive!$A:$B,2,0)&amp;"/view","https://drive.google.com/drive/search?q=title:%22A7%203.01%20Product%20Laws%20of%20Exponents%20-%20Question%20Bank.pdf%22")</f>
        <v>https://drive.google.com/drive/search?q=title:%22A7%203.01%20Product%20Laws%20of%20Exponents%20-%20Question%20Bank.pdf%22</v>
      </c>
      <c r="G2" s="70" t="str">
        <f aca="false">IFERROR("https://drive.google.com/file/d/"&amp;VLOOKUP("k5e8318edfc68",Drive!$A:$B,2,0)&amp;"/view","https://drive.google.com/drive/search?q=title:%22A7%203.01%20Product%20Laws%20of%20Exponents%20-%20Question%20Bank%20-%20Key.pdf%22")</f>
        <v>https://drive.google.com/drive/search?q=title:%22A7%203.01%20Product%20Laws%20of%20Exponents%20-%20Question%20Bank%20-%20Key.pdf%22</v>
      </c>
      <c r="H2" s="70" t="str">
        <f aca="false">IFERROR("https://drive.google.com/file/d/"&amp;VLOOKUP("ke3b0918a2db1",Drive!$A:$B,2,0)&amp;"/view","https://drive.google.com/drive/search?q=title:%22A7%203.01%20Product%20Laws%20of%20Exponents%20-%20Additional%20Question%20Bank.pdf%22")</f>
        <v>https://drive.google.com/drive/search?q=title:%22A7%203.01%20Product%20Laws%20of%20Exponents%20-%20Additional%20Question%20Bank.pdf%22</v>
      </c>
      <c r="I2" s="70" t="str">
        <f aca="false">IFERROR("https://drive.google.com/file/d/"&amp;VLOOKUP("kc204efefa696",Drive!$A:$B,2,0)&amp;"/view","https://drive.google.com/drive/search?q=title:%22A7%203.01%20Product%20Laws%20of%20Exponents%20-%20Additional%20Question%20Bank%20-%20Key.pdf%22")</f>
        <v>https://drive.google.com/drive/search?q=title:%22A7%203.01%20Product%20Laws%20of%20Exponents%20-%20Additional%20Question%20Bank%20-%20Key.pdf%22</v>
      </c>
      <c r="J2" s="70" t="str">
        <f aca="false">IFERROR("https://drive.google.com/file/d/"&amp;VLOOKUP("k900034b5c427",Drive!$A:$B,2,0)&amp;"/view","https://drive.google.com/drive/search?q=title:%22A7%203.01%20Product%20Laws%20of%20Exponents%20-%20Independent%20Set.pdf%22")</f>
        <v>https://drive.google.com/drive/search?q=title:%22A7%203.01%20Product%20Laws%20of%20Exponents%20-%20Independent%20Set.pdf%22</v>
      </c>
      <c r="K2" s="70" t="str">
        <f aca="false">IFERROR("https://drive.google.com/file/d/"&amp;VLOOKUP("kfc989677154a",Drive!$A:$B,2,0)&amp;"/view","https://drive.google.com/drive/search?q=title:%22A7%203.01%20Product%20Laws%20of%20Exponents%20-%20Independent%20Set%20-%20Key.pdf%22")</f>
        <v>https://drive.google.com/drive/search?q=title:%22A7%203.01%20Product%20Laws%20of%20Exponents%20-%20Independent%20Set%20-%20Key.pdf%22</v>
      </c>
      <c r="L2"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2" s="70" t="s">
        <v>1599</v>
      </c>
      <c r="N2" s="70"/>
      <c r="O2" s="70" t="s">
        <v>1600</v>
      </c>
      <c r="P2" s="70" t="s">
        <v>1601</v>
      </c>
      <c r="Q2" s="70" t="str">
        <f aca="false">IFERROR("https://drive.google.com/file/d/"&amp;VLOOKUP("k999a58eef73f",Drive!$A:$B,2,0)&amp;"/view","https://drive.google.com/drive/search?q=title:%22A7%20Unit%201%20Equations%20and%20Inequalities%20-%20Test.pdf%22")</f>
        <v>https://drive.google.com/drive/search?q=title:%22A7%20Unit%201%20Equations%20and%20Inequalities%20-%20Test.pdf%22</v>
      </c>
    </row>
    <row r="3" customFormat="false" ht="15" hidden="false" customHeight="false" outlineLevel="0" collapsed="false">
      <c r="A3" s="71" t="n">
        <v>46289</v>
      </c>
      <c r="B3" s="70" t="str">
        <f aca="false">IFERROR("https://drive.google.com/file/d/"&amp;VLOOKUP("k748004d6d4f2",Drive!$A:$B,2,0)&amp;"/view","https://drive.google.com/drive/search?q=title:%22A7%203.02%20Quotient%20Laws%20of%20Exponents%20-%20Slides.pdf%22")</f>
        <v>https://drive.google.com/drive/search?q=title:%22A7%203.02%20Quotient%20Laws%20of%20Exponents%20-%20Slides.pdf%22</v>
      </c>
      <c r="C3" s="70" t="str">
        <f aca="false">IFERROR("https://drive.google.com/file/d/"&amp;VLOOKUP("k06d6eea38238",Drive!$A:$B,2,0)&amp;"/view","https://drive.google.com/drive/search?q=title:%22A7%203.02%20Quotient%20Laws%20of%20Exponents%20-%20Slides.pptx%22")</f>
        <v>https://drive.google.com/drive/search?q=title:%22A7%203.02%20Quotient%20Laws%20of%20Exponents%20-%20Slides.pptx%22</v>
      </c>
      <c r="D3" s="70" t="str">
        <f aca="false">IFERROR("https://drive.google.com/file/d/"&amp;VLOOKUP("ke71051640668",Drive!$A:$B,2,0)&amp;"/view","https://drive.google.com/drive/search?q=title:%22A7%203.02%20Quotient%20Laws%20of%20Exponents%20-%20Teacher%20Edition.pdf%22")</f>
        <v>https://drive.google.com/drive/search?q=title:%22A7%203.02%20Quotient%20Laws%20of%20Exponents%20-%20Teacher%20Edition.pdf%22</v>
      </c>
      <c r="E3" s="70" t="str">
        <f aca="false">IFERROR("https://drive.google.com/file/d/"&amp;VLOOKUP("k4f080c02f3d9",Drive!$A:$B,2,0)&amp;"/view","https://drive.google.com/drive/search?q=title:%22A7%203.02%20Quotient%20Laws%20of%20Exponents%20-%20Lesson%20Plan.pdf%22")</f>
        <v>https://drive.google.com/drive/search?q=title:%22A7%203.02%20Quotient%20Laws%20of%20Exponents%20-%20Lesson%20Plan.pdf%22</v>
      </c>
      <c r="F3" s="70" t="str">
        <f aca="false">IFERROR("https://drive.google.com/file/d/"&amp;VLOOKUP("ke25b44d5ce7b",Drive!$A:$B,2,0)&amp;"/view","https://drive.google.com/drive/search?q=title:%22A7%203.02%20Quotient%20Laws%20of%20Exponents%20-%20Question%20Bank.pdf%22")</f>
        <v>https://drive.google.com/drive/search?q=title:%22A7%203.02%20Quotient%20Laws%20of%20Exponents%20-%20Question%20Bank.pdf%22</v>
      </c>
      <c r="G3" s="70" t="str">
        <f aca="false">IFERROR("https://drive.google.com/file/d/"&amp;VLOOKUP("k1b2f17db5cd8",Drive!$A:$B,2,0)&amp;"/view","https://drive.google.com/drive/search?q=title:%22A7%203.02%20Quotient%20Laws%20of%20Exponents%20-%20Question%20Bank%20-%20Key.pdf%22")</f>
        <v>https://drive.google.com/drive/search?q=title:%22A7%203.02%20Quotient%20Laws%20of%20Exponents%20-%20Question%20Bank%20-%20Key.pdf%22</v>
      </c>
      <c r="H3" s="70" t="str">
        <f aca="false">IFERROR("https://drive.google.com/file/d/"&amp;VLOOKUP("k3c5c58f8bc5d",Drive!$A:$B,2,0)&amp;"/view","https://drive.google.com/drive/search?q=title:%22A7%203.02%20Quotient%20Laws%20of%20Exponents%20-%20Additional%20Question%20Bank.pdf%22")</f>
        <v>https://drive.google.com/drive/search?q=title:%22A7%203.02%20Quotient%20Laws%20of%20Exponents%20-%20Additional%20Question%20Bank.pdf%22</v>
      </c>
      <c r="I3" s="70" t="str">
        <f aca="false">IFERROR("https://drive.google.com/file/d/"&amp;VLOOKUP("k2290f45043c5",Drive!$A:$B,2,0)&amp;"/view","https://drive.google.com/drive/search?q=title:%22A7%203.02%20Quotient%20Laws%20of%20Exponents%20-%20Additional%20Question%20Bank%20-%20Key.pdf%22")</f>
        <v>https://drive.google.com/drive/search?q=title:%22A7%203.02%20Quotient%20Laws%20of%20Exponents%20-%20Additional%20Question%20Bank%20-%20Key.pdf%22</v>
      </c>
      <c r="J3" s="70" t="str">
        <f aca="false">IFERROR("https://drive.google.com/file/d/"&amp;VLOOKUP("kbe80ae93ad85",Drive!$A:$B,2,0)&amp;"/view","https://drive.google.com/drive/search?q=title:%22A7%203.02%20Quotient%20Laws%20of%20Exponents%20-%20Independent%20Set.pdf%22")</f>
        <v>https://drive.google.com/drive/search?q=title:%22A7%203.02%20Quotient%20Laws%20of%20Exponents%20-%20Independent%20Set.pdf%22</v>
      </c>
      <c r="K3" s="70" t="str">
        <f aca="false">IFERROR("https://drive.google.com/file/d/"&amp;VLOOKUP("kea8e012c5dc9",Drive!$A:$B,2,0)&amp;"/view","https://drive.google.com/drive/search?q=title:%22A7%203.02%20Quotient%20Laws%20of%20Exponents%20-%20Independent%20Set%20-%20Key.pdf%22")</f>
        <v>https://drive.google.com/drive/search?q=title:%22A7%203.02%20Quotient%20Laws%20of%20Exponents%20-%20Independent%20Set%20-%20Key.pdf%22</v>
      </c>
      <c r="L3"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3" s="70" t="s">
        <v>1602</v>
      </c>
      <c r="N3" s="70"/>
      <c r="O3" s="70" t="s">
        <v>1603</v>
      </c>
      <c r="P3" s="70" t="s">
        <v>1601</v>
      </c>
      <c r="Q3" s="70" t="str">
        <f aca="false">IFERROR("https://drive.google.com/file/d/"&amp;VLOOKUP("k6b0883f744a4",Drive!$A:$B,2,0)&amp;"/view","https://drive.google.com/drive/search?q=title:%22A7%20Unit%201%20Equations%20and%20Inequalities%20-%20Test%20-%20Key.pdf%22")</f>
        <v>https://drive.google.com/drive/search?q=title:%22A7%20Unit%201%20Equations%20and%20Inequalities%20-%20Test%20-%20Key.pdf%22</v>
      </c>
    </row>
    <row r="4" customFormat="false" ht="15" hidden="false" customHeight="false" outlineLevel="0" collapsed="false">
      <c r="A4" s="71" t="n">
        <v>46290</v>
      </c>
      <c r="B4" s="70" t="str">
        <f aca="false">IFERROR("https://drive.google.com/file/d/"&amp;VLOOKUP("kc90423d940c0",Drive!$A:$B,2,0)&amp;"/view","https://drive.google.com/drive/search?q=title:%22A7%203.03%20Exponential%20Expressions%20-%20Slides.pdf%22")</f>
        <v>https://drive.google.com/drive/search?q=title:%22A7%203.03%20Exponential%20Expressions%20-%20Slides.pdf%22</v>
      </c>
      <c r="C4" s="70" t="str">
        <f aca="false">IFERROR("https://drive.google.com/file/d/"&amp;VLOOKUP("k4eea9ff73989",Drive!$A:$B,2,0)&amp;"/view","https://drive.google.com/drive/search?q=title:%22A7%203.03%20Exponential%20Expressions%20-%20Slides.pptx%22")</f>
        <v>https://drive.google.com/drive/search?q=title:%22A7%203.03%20Exponential%20Expressions%20-%20Slides.pptx%22</v>
      </c>
      <c r="D4" s="70" t="str">
        <f aca="false">IFERROR("https://drive.google.com/file/d/"&amp;VLOOKUP("kf9b1902bcfb2",Drive!$A:$B,2,0)&amp;"/view","https://drive.google.com/drive/search?q=title:%22A7%203.03%20Exponential%20Expressions%20-%20Teacher%20Edition.pdf%22")</f>
        <v>https://drive.google.com/drive/search?q=title:%22A7%203.03%20Exponential%20Expressions%20-%20Teacher%20Edition.pdf%22</v>
      </c>
      <c r="E4" s="70" t="str">
        <f aca="false">IFERROR("https://drive.google.com/file/d/"&amp;VLOOKUP("k6a7e07901a9b",Drive!$A:$B,2,0)&amp;"/view","https://drive.google.com/drive/search?q=title:%22A7%203.03%20Exponential%20Expressions%20-%20Lesson%20Plan.pdf%22")</f>
        <v>https://drive.google.com/drive/search?q=title:%22A7%203.03%20Exponential%20Expressions%20-%20Lesson%20Plan.pdf%22</v>
      </c>
      <c r="F4" s="70" t="str">
        <f aca="false">IFERROR("https://drive.google.com/file/d/"&amp;VLOOKUP("k20464f5bd850",Drive!$A:$B,2,0)&amp;"/view","https://drive.google.com/drive/search?q=title:%22A7%203.03%20Exponential%20Expressions%20-%20Question%20Bank.pdf%22")</f>
        <v>https://drive.google.com/drive/search?q=title:%22A7%203.03%20Exponential%20Expressions%20-%20Question%20Bank.pdf%22</v>
      </c>
      <c r="G4" s="70" t="str">
        <f aca="false">IFERROR("https://drive.google.com/file/d/"&amp;VLOOKUP("k426ae72c89e1",Drive!$A:$B,2,0)&amp;"/view","https://drive.google.com/drive/search?q=title:%22A7%203.03%20Exponential%20Expressions%20-%20Question%20Bank%20-%20Key.pdf%22")</f>
        <v>https://drive.google.com/drive/search?q=title:%22A7%203.03%20Exponential%20Expressions%20-%20Question%20Bank%20-%20Key.pdf%22</v>
      </c>
      <c r="H4" s="70" t="str">
        <f aca="false">IFERROR("https://drive.google.com/file/d/"&amp;VLOOKUP("k5e05f82d74eb",Drive!$A:$B,2,0)&amp;"/view","https://drive.google.com/drive/search?q=title:%22A7%203.03%20Exponential%20Expressions%20-%20Additional%20Question%20Bank.pdf%22")</f>
        <v>https://drive.google.com/drive/search?q=title:%22A7%203.03%20Exponential%20Expressions%20-%20Additional%20Question%20Bank.pdf%22</v>
      </c>
      <c r="I4" s="70" t="str">
        <f aca="false">IFERROR("https://drive.google.com/file/d/"&amp;VLOOKUP("kaef37870b383",Drive!$A:$B,2,0)&amp;"/view","https://drive.google.com/drive/search?q=title:%22A7%203.03%20Exponential%20Expressions%20-%20Additional%20Question%20Bank%20-%20Key.pdf%22")</f>
        <v>https://drive.google.com/drive/search?q=title:%22A7%203.03%20Exponential%20Expressions%20-%20Additional%20Question%20Bank%20-%20Key.pdf%22</v>
      </c>
      <c r="J4" s="70" t="str">
        <f aca="false">IFERROR("https://drive.google.com/file/d/"&amp;VLOOKUP("k5b39554e8817",Drive!$A:$B,2,0)&amp;"/view","https://drive.google.com/drive/search?q=title:%22A7%203.03%20Exponential%20Expressions%20-%20Independent%20Set.pdf%22")</f>
        <v>https://drive.google.com/drive/search?q=title:%22A7%203.03%20Exponential%20Expressions%20-%20Independent%20Set.pdf%22</v>
      </c>
      <c r="K4" s="70" t="str">
        <f aca="false">IFERROR("https://drive.google.com/file/d/"&amp;VLOOKUP("k7f38f36eaf86",Drive!$A:$B,2,0)&amp;"/view","https://drive.google.com/drive/search?q=title:%22A7%203.03%20Exponential%20Expressions%20-%20Independent%20Set%20-%20Key.pdf%22")</f>
        <v>https://drive.google.com/drive/search?q=title:%22A7%203.03%20Exponential%20Expressions%20-%20Independent%20Set%20-%20Key.pdf%22</v>
      </c>
      <c r="L4"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4" s="70" t="s">
        <v>1604</v>
      </c>
      <c r="N4" s="70"/>
      <c r="O4" s="70" t="s">
        <v>1605</v>
      </c>
      <c r="P4" s="70" t="s">
        <v>1601</v>
      </c>
      <c r="Q4" s="70" t="str">
        <f aca="false">IFERROR("https://drive.google.com/file/d/"&amp;VLOOKUP("k4e34d1ba5135",Drive!$A:$B,2,0)&amp;"/view","https://drive.google.com/drive/search?q=title:%22A7%20Unit%201%20Equations%20and%20Inequalities%20-%20Review.pdf%22")</f>
        <v>https://drive.google.com/drive/search?q=title:%22A7%20Unit%201%20Equations%20and%20Inequalities%20-%20Review.pdf%22</v>
      </c>
    </row>
    <row r="5" customFormat="false" ht="15" hidden="false" customHeight="false" outlineLevel="0" collapsed="false">
      <c r="A5" s="71" t="n">
        <v>46293</v>
      </c>
      <c r="B5" s="70" t="str">
        <f aca="false">IFERROR("https://drive.google.com/file/d/"&amp;VLOOKUP("k6a4a44fa7229",Drive!$A:$B,2,0)&amp;"/view","https://drive.google.com/drive/search?q=title:%22A7%203.04%20Negative%20Exponent%20Law%20-%20Slides.pdf%22")</f>
        <v>https://drive.google.com/drive/search?q=title:%22A7%203.04%20Negative%20Exponent%20Law%20-%20Slides.pdf%22</v>
      </c>
      <c r="C5" s="70" t="str">
        <f aca="false">IFERROR("https://drive.google.com/file/d/"&amp;VLOOKUP("k33620394314f",Drive!$A:$B,2,0)&amp;"/view","https://drive.google.com/drive/search?q=title:%22A7%203.04%20Negative%20Exponent%20Law%20-%20Slides.pptx%22")</f>
        <v>https://drive.google.com/drive/search?q=title:%22A7%203.04%20Negative%20Exponent%20Law%20-%20Slides.pptx%22</v>
      </c>
      <c r="D5" s="70" t="str">
        <f aca="false">IFERROR("https://drive.google.com/file/d/"&amp;VLOOKUP("kbe6e6ca3ceb1",Drive!$A:$B,2,0)&amp;"/view","https://drive.google.com/drive/search?q=title:%22A7%203.04%20Negative%20Exponent%20Law%20-%20Teacher%20Edition.pdf%22")</f>
        <v>https://drive.google.com/drive/search?q=title:%22A7%203.04%20Negative%20Exponent%20Law%20-%20Teacher%20Edition.pdf%22</v>
      </c>
      <c r="E5" s="70" t="str">
        <f aca="false">IFERROR("https://drive.google.com/file/d/"&amp;VLOOKUP("ke1cfad9a36ee",Drive!$A:$B,2,0)&amp;"/view","https://drive.google.com/drive/search?q=title:%22A7%203.04%20Negative%20Exponent%20Law%20-%20Lesson%20Plan.pdf%22")</f>
        <v>https://drive.google.com/drive/search?q=title:%22A7%203.04%20Negative%20Exponent%20Law%20-%20Lesson%20Plan.pdf%22</v>
      </c>
      <c r="F5" s="70" t="str">
        <f aca="false">IFERROR("https://drive.google.com/file/d/"&amp;VLOOKUP("ka5fdacc4d9bf",Drive!$A:$B,2,0)&amp;"/view","https://drive.google.com/drive/search?q=title:%22A7%203.04%20Negative%20Exponent%20Law%20-%20Question%20Bank.pdf%22")</f>
        <v>https://drive.google.com/drive/search?q=title:%22A7%203.04%20Negative%20Exponent%20Law%20-%20Question%20Bank.pdf%22</v>
      </c>
      <c r="G5" s="70" t="str">
        <f aca="false">IFERROR("https://drive.google.com/file/d/"&amp;VLOOKUP("k138d173c1a14",Drive!$A:$B,2,0)&amp;"/view","https://drive.google.com/drive/search?q=title:%22A7%203.04%20Negative%20Exponent%20Law%20-%20Question%20Bank%20-%20Key.pdf%22")</f>
        <v>https://drive.google.com/drive/search?q=title:%22A7%203.04%20Negative%20Exponent%20Law%20-%20Question%20Bank%20-%20Key.pdf%22</v>
      </c>
      <c r="H5" s="70" t="str">
        <f aca="false">IFERROR("https://drive.google.com/file/d/"&amp;VLOOKUP("k166bced96248",Drive!$A:$B,2,0)&amp;"/view","https://drive.google.com/drive/search?q=title:%22A7%203.04%20Negative%20Exponent%20Law%20-%20Additional%20Question%20Bank.pdf%22")</f>
        <v>https://drive.google.com/drive/search?q=title:%22A7%203.04%20Negative%20Exponent%20Law%20-%20Additional%20Question%20Bank.pdf%22</v>
      </c>
      <c r="I5" s="70" t="str">
        <f aca="false">IFERROR("https://drive.google.com/file/d/"&amp;VLOOKUP("k76d606271ec0",Drive!$A:$B,2,0)&amp;"/view","https://drive.google.com/drive/search?q=title:%22A7%203.04%20Negative%20Exponent%20Law%20-%20Additional%20Question%20Bank%20-%20Key.pdf%22")</f>
        <v>https://drive.google.com/drive/search?q=title:%22A7%203.04%20Negative%20Exponent%20Law%20-%20Additional%20Question%20Bank%20-%20Key.pdf%22</v>
      </c>
      <c r="J5" s="70" t="str">
        <f aca="false">IFERROR("https://drive.google.com/file/d/"&amp;VLOOKUP("kb5d50b9e6f2e",Drive!$A:$B,2,0)&amp;"/view","https://drive.google.com/drive/search?q=title:%22A7%203.04%20Negative%20Exponent%20Law%20-%20Independent%20Set.pdf%22")</f>
        <v>https://drive.google.com/drive/search?q=title:%22A7%203.04%20Negative%20Exponent%20Law%20-%20Independent%20Set.pdf%22</v>
      </c>
      <c r="K5" s="70" t="str">
        <f aca="false">IFERROR("https://drive.google.com/file/d/"&amp;VLOOKUP("k4bd9a3c0be3e",Drive!$A:$B,2,0)&amp;"/view","https://drive.google.com/drive/search?q=title:%22A7%203.04%20Negative%20Exponent%20Law%20-%20Independent%20Set%20-%20Key.pdf%22")</f>
        <v>https://drive.google.com/drive/search?q=title:%22A7%203.04%20Negative%20Exponent%20Law%20-%20Independent%20Set%20-%20Key.pdf%22</v>
      </c>
      <c r="L5"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5" s="70" t="s">
        <v>1606</v>
      </c>
      <c r="N5" s="70"/>
      <c r="O5" s="70" t="s">
        <v>1607</v>
      </c>
      <c r="P5" s="70" t="s">
        <v>1601</v>
      </c>
      <c r="Q5" s="70" t="str">
        <f aca="false">IFERROR("https://drive.google.com/file/d/"&amp;VLOOKUP("k654621d73a39",Drive!$A:$B,2,0)&amp;"/view","https://drive.google.com/drive/search?q=title:%22A7%20Unit%201%20Equations%20and%20Inequalities%20-%20Review%20-%20Key.pdf%22")</f>
        <v>https://drive.google.com/drive/search?q=title:%22A7%20Unit%201%20Equations%20and%20Inequalities%20-%20Review%20-%20Key.pdf%22</v>
      </c>
    </row>
    <row r="6" customFormat="false" ht="15" hidden="false" customHeight="false" outlineLevel="0" collapsed="false">
      <c r="A6" s="71" t="n">
        <v>46294</v>
      </c>
      <c r="B6" s="70" t="str">
        <f aca="false">IFERROR("https://drive.google.com/file/d/"&amp;VLOOKUP("k7490a741d736",Drive!$A:$B,2,0)&amp;"/view","https://drive.google.com/drive/search?q=title:%22A7%203.05%20Applying%20Exponent%20Laws%20-%20Slides.pdf%22")</f>
        <v>https://drive.google.com/drive/search?q=title:%22A7%203.05%20Applying%20Exponent%20Laws%20-%20Slides.pdf%22</v>
      </c>
      <c r="C6" s="70" t="str">
        <f aca="false">IFERROR("https://drive.google.com/file/d/"&amp;VLOOKUP("kdb2d4c07cbe6",Drive!$A:$B,2,0)&amp;"/view","https://drive.google.com/drive/search?q=title:%22A7%203.05%20Applying%20Exponent%20Laws%20-%20Slides.pptx%22")</f>
        <v>https://drive.google.com/drive/search?q=title:%22A7%203.05%20Applying%20Exponent%20Laws%20-%20Slides.pptx%22</v>
      </c>
      <c r="D6" s="70" t="str">
        <f aca="false">IFERROR("https://drive.google.com/file/d/"&amp;VLOOKUP("k386f51762fa1",Drive!$A:$B,2,0)&amp;"/view","https://drive.google.com/drive/search?q=title:%22A7%203.05%20Applying%20Exponent%20Laws%20-%20Teacher%20Edition.pdf%22")</f>
        <v>https://drive.google.com/drive/search?q=title:%22A7%203.05%20Applying%20Exponent%20Laws%20-%20Teacher%20Edition.pdf%22</v>
      </c>
      <c r="E6" s="70" t="str">
        <f aca="false">IFERROR("https://drive.google.com/file/d/"&amp;VLOOKUP("kaaec03a81c48",Drive!$A:$B,2,0)&amp;"/view","https://drive.google.com/drive/search?q=title:%22A7%203.05%20Applying%20Exponent%20Laws%20-%20Lesson%20Plan.pdf%22")</f>
        <v>https://drive.google.com/drive/search?q=title:%22A7%203.05%20Applying%20Exponent%20Laws%20-%20Lesson%20Plan.pdf%22</v>
      </c>
      <c r="F6" s="70" t="str">
        <f aca="false">IFERROR("https://drive.google.com/file/d/"&amp;VLOOKUP("k26691f41d518",Drive!$A:$B,2,0)&amp;"/view","https://drive.google.com/drive/search?q=title:%22A7%203.05%20Applying%20Exponent%20Laws%20-%20Question%20Bank.pdf%22")</f>
        <v>https://drive.google.com/drive/search?q=title:%22A7%203.05%20Applying%20Exponent%20Laws%20-%20Question%20Bank.pdf%22</v>
      </c>
      <c r="G6" s="70" t="str">
        <f aca="false">IFERROR("https://drive.google.com/file/d/"&amp;VLOOKUP("k128638d4aa54",Drive!$A:$B,2,0)&amp;"/view","https://drive.google.com/drive/search?q=title:%22A7%203.05%20Applying%20Exponent%20Laws%20-%20Question%20Bank%20-%20Key.pdf%22")</f>
        <v>https://drive.google.com/drive/search?q=title:%22A7%203.05%20Applying%20Exponent%20Laws%20-%20Question%20Bank%20-%20Key.pdf%22</v>
      </c>
      <c r="H6" s="70" t="str">
        <f aca="false">IFERROR("https://drive.google.com/file/d/"&amp;VLOOKUP("k11e208207f67",Drive!$A:$B,2,0)&amp;"/view","https://drive.google.com/drive/search?q=title:%22A7%203.05%20Applying%20Exponent%20Laws%20-%20Additional%20Question%20Bank.pdf%22")</f>
        <v>https://drive.google.com/drive/search?q=title:%22A7%203.05%20Applying%20Exponent%20Laws%20-%20Additional%20Question%20Bank.pdf%22</v>
      </c>
      <c r="I6" s="70" t="str">
        <f aca="false">IFERROR("https://drive.google.com/file/d/"&amp;VLOOKUP("kc32e555fe895",Drive!$A:$B,2,0)&amp;"/view","https://drive.google.com/drive/search?q=title:%22A7%203.05%20Applying%20Exponent%20Laws%20-%20Additional%20Question%20Bank%20-%20Key.pdf%22")</f>
        <v>https://drive.google.com/drive/search?q=title:%22A7%203.05%20Applying%20Exponent%20Laws%20-%20Additional%20Question%20Bank%20-%20Key.pdf%22</v>
      </c>
      <c r="J6" s="70" t="str">
        <f aca="false">IFERROR("https://drive.google.com/file/d/"&amp;VLOOKUP("kb0e185f9e2d1",Drive!$A:$B,2,0)&amp;"/view","https://drive.google.com/drive/search?q=title:%22A7%203.05%20Applying%20Exponent%20Laws%20-%20Independent%20Set.pdf%22")</f>
        <v>https://drive.google.com/drive/search?q=title:%22A7%203.05%20Applying%20Exponent%20Laws%20-%20Independent%20Set.pdf%22</v>
      </c>
      <c r="K6" s="70" t="str">
        <f aca="false">IFERROR("https://drive.google.com/file/d/"&amp;VLOOKUP("kabfed14e4e2c",Drive!$A:$B,2,0)&amp;"/view","https://drive.google.com/drive/search?q=title:%22A7%203.05%20Applying%20Exponent%20Laws%20-%20Independent%20Set%20-%20Key.pdf%22")</f>
        <v>https://drive.google.com/drive/search?q=title:%22A7%203.05%20Applying%20Exponent%20Laws%20-%20Independent%20Set%20-%20Key.pdf%22</v>
      </c>
      <c r="L6"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6" s="70" t="s">
        <v>1608</v>
      </c>
      <c r="N6" s="70"/>
      <c r="O6" s="70" t="s">
        <v>1609</v>
      </c>
      <c r="P6" s="70" t="s">
        <v>1601</v>
      </c>
      <c r="Q6" s="70" t="str">
        <f aca="false">IFERROR("https://drive.google.com/file/d/"&amp;VLOOKUP("k05aafdefef87",Drive!$A:$B,2,0)&amp;"/view","https://drive.google.com/drive/search?q=title:%22A7%20Unit%201%20Equations%20and%20Inequalities%20-%20Reference%20Sheet.pdf%22")</f>
        <v>https://drive.google.com/drive/search?q=title:%22A7%20Unit%201%20Equations%20and%20Inequalities%20-%20Reference%20Sheet.pdf%22</v>
      </c>
    </row>
    <row r="7" customFormat="false" ht="15" hidden="false" customHeight="false" outlineLevel="0" collapsed="false">
      <c r="A7" s="71" t="n">
        <v>46295</v>
      </c>
      <c r="B7" s="70" t="str">
        <f aca="false">IFERROR("https://drive.google.com/file/d/"&amp;VLOOKUP("ke2ca304fa0cb",Drive!$A:$B,2,0)&amp;"/view","https://drive.google.com/drive/search?q=title:%22A7%203.06%20Evaluating%20and%20Equivalent%20Expressions%20-%20Slides.pdf%22")</f>
        <v>https://drive.google.com/drive/search?q=title:%22A7%203.06%20Evaluating%20and%20Equivalent%20Expressions%20-%20Slides.pdf%22</v>
      </c>
      <c r="C7" s="70" t="str">
        <f aca="false">IFERROR("https://drive.google.com/file/d/"&amp;VLOOKUP("k31a025fed775",Drive!$A:$B,2,0)&amp;"/view","https://drive.google.com/drive/search?q=title:%22A7%203.06%20Evaluating%20and%20Equivalent%20Expressions%20-%20Slides.pptx%22")</f>
        <v>https://drive.google.com/drive/search?q=title:%22A7%203.06%20Evaluating%20and%20Equivalent%20Expressions%20-%20Slides.pptx%22</v>
      </c>
      <c r="D7" s="70" t="str">
        <f aca="false">IFERROR("https://drive.google.com/file/d/"&amp;VLOOKUP("k9e8574958f00",Drive!$A:$B,2,0)&amp;"/view","https://drive.google.com/drive/search?q=title:%22A7%203.06%20Evaluating%20and%20Equivalent%20Expressions%20-%20Teacher%20Edition.pdf%22")</f>
        <v>https://drive.google.com/drive/search?q=title:%22A7%203.06%20Evaluating%20and%20Equivalent%20Expressions%20-%20Teacher%20Edition.pdf%22</v>
      </c>
      <c r="E7" s="70" t="str">
        <f aca="false">IFERROR("https://drive.google.com/file/d/"&amp;VLOOKUP("kd615fd97b74b",Drive!$A:$B,2,0)&amp;"/view","https://drive.google.com/drive/search?q=title:%22A7%203.06%20Evaluating%20and%20Equivalent%20Expressions%20-%20Lesson%20Plan.pdf%22")</f>
        <v>https://drive.google.com/drive/search?q=title:%22A7%203.06%20Evaluating%20and%20Equivalent%20Expressions%20-%20Lesson%20Plan.pdf%22</v>
      </c>
      <c r="F7" s="70" t="str">
        <f aca="false">IFERROR("https://drive.google.com/file/d/"&amp;VLOOKUP("kb517b11263d5",Drive!$A:$B,2,0)&amp;"/view","https://drive.google.com/drive/search?q=title:%22A7%203.06%20Evaluating%20and%20Equivalent%20Expressions%20-%20Question%20Bank.pdf%22")</f>
        <v>https://drive.google.com/drive/search?q=title:%22A7%203.06%20Evaluating%20and%20Equivalent%20Expressions%20-%20Question%20Bank.pdf%22</v>
      </c>
      <c r="G7" s="70" t="str">
        <f aca="false">IFERROR("https://drive.google.com/file/d/"&amp;VLOOKUP("k1f0d6465ec94",Drive!$A:$B,2,0)&amp;"/view","https://drive.google.com/drive/search?q=title:%22A7%203.06%20Evaluating%20and%20Equivalent%20Expressions%20-%20Question%20Bank%20-%20Key.pdf%22")</f>
        <v>https://drive.google.com/drive/search?q=title:%22A7%203.06%20Evaluating%20and%20Equivalent%20Expressions%20-%20Question%20Bank%20-%20Key.pdf%22</v>
      </c>
      <c r="H7" s="70" t="str">
        <f aca="false">IFERROR("https://drive.google.com/file/d/"&amp;VLOOKUP("k9261bb533475",Drive!$A:$B,2,0)&amp;"/view","https://drive.google.com/drive/search?q=title:%22A7%203.06%20Evaluating%20and%20Equivalent%20Expressions%20-%20Additional%20Question%20Bank.pdf%22")</f>
        <v>https://drive.google.com/drive/search?q=title:%22A7%203.06%20Evaluating%20and%20Equivalent%20Expressions%20-%20Additional%20Question%20Bank.pdf%22</v>
      </c>
      <c r="I7" s="70" t="str">
        <f aca="false">IFERROR("https://drive.google.com/file/d/"&amp;VLOOKUP("kfa79a8d7332f",Drive!$A:$B,2,0)&amp;"/view","https://drive.google.com/drive/search?q=title:%22A7%203.06%20Evaluating%20and%20Equivalent%20Expressions%20-%20Additional%20Question%20Bank%20-%20Key.pdf%22")</f>
        <v>https://drive.google.com/drive/search?q=title:%22A7%203.06%20Evaluating%20and%20Equivalent%20Expressions%20-%20Additional%20Question%20Bank%20-%20Key.pdf%22</v>
      </c>
      <c r="J7" s="70" t="str">
        <f aca="false">IFERROR("https://drive.google.com/file/d/"&amp;VLOOKUP("k2a61c80ca47e",Drive!$A:$B,2,0)&amp;"/view","https://drive.google.com/drive/search?q=title:%22A7%203.06%20Evaluating%20and%20Equivalent%20Expressions%20-%20Independent%20Set.pdf%22")</f>
        <v>https://drive.google.com/drive/search?q=title:%22A7%203.06%20Evaluating%20and%20Equivalent%20Expressions%20-%20Independent%20Set.pdf%22</v>
      </c>
      <c r="K7" s="70" t="str">
        <f aca="false">IFERROR("https://drive.google.com/file/d/"&amp;VLOOKUP("k982118abeb06",Drive!$A:$B,2,0)&amp;"/view","https://drive.google.com/drive/search?q=title:%22A7%203.06%20Evaluating%20and%20Equivalent%20Expressions%20-%20Independent%20Set%20-%20Key.pdf%22")</f>
        <v>https://drive.google.com/drive/search?q=title:%22A7%203.06%20Evaluating%20and%20Equivalent%20Expressions%20-%20Independent%20Set%20-%20Key.pdf%22</v>
      </c>
      <c r="L7"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7" s="70" t="s">
        <v>1610</v>
      </c>
      <c r="N7" s="70"/>
      <c r="O7" s="70" t="s">
        <v>1611</v>
      </c>
      <c r="P7" s="70" t="s">
        <v>1601</v>
      </c>
      <c r="Q7" s="70" t="str">
        <f aca="false">IFERROR("https://drive.google.com/file/d/"&amp;VLOOKUP("k0fe1632a0900",Drive!$A:$B,2,0)&amp;"/view","https://drive.google.com/drive/search?q=title:%22A7%20Unit%202%20Real%20Numbers%2C%20Square%20Roots%20and%20Cube%20Roots%20-%20Test.pdf%22")</f>
        <v>https://drive.google.com/drive/search?q=title:%22A7%20Unit%202%20Real%20Numbers%2C%20Square%20Roots%20and%20Cube%20Roots%20-%20Test.pdf%22</v>
      </c>
    </row>
    <row r="8" customFormat="false" ht="15" hidden="false" customHeight="false" outlineLevel="0" collapsed="false">
      <c r="A8" s="71" t="n">
        <v>46296</v>
      </c>
      <c r="B8" s="70"/>
      <c r="C8" s="70"/>
      <c r="D8" s="70"/>
      <c r="E8" s="70"/>
      <c r="F8" s="70"/>
      <c r="G8" s="70"/>
      <c r="H8" s="70"/>
      <c r="I8" s="70"/>
      <c r="J8" s="70"/>
      <c r="K8" s="70"/>
      <c r="L8"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8" s="70"/>
      <c r="N8" s="70"/>
      <c r="O8" s="70" t="s">
        <v>1612</v>
      </c>
      <c r="P8" s="70" t="s">
        <v>1601</v>
      </c>
      <c r="Q8" s="70" t="str">
        <f aca="false">IFERROR("https://drive.google.com/file/d/"&amp;VLOOKUP("kadb8b2686141",Drive!$A:$B,2,0)&amp;"/view","https://drive.google.com/drive/search?q=title:%22A7%20Unit%202%20Real%20Numbers%2C%20Square%20Roots%20and%20Cube%20Roots%20-%20Test%20-%20Key.pdf%22")</f>
        <v>https://drive.google.com/drive/search?q=title:%22A7%20Unit%202%20Real%20Numbers%2C%20Square%20Roots%20and%20Cube%20Roots%20-%20Test%20-%20Key.pdf%22</v>
      </c>
    </row>
    <row r="9" customFormat="false" ht="15" hidden="false" customHeight="false" outlineLevel="0" collapsed="false">
      <c r="A9" s="71" t="n">
        <v>46297</v>
      </c>
      <c r="B9" s="70"/>
      <c r="C9" s="70"/>
      <c r="D9" s="70"/>
      <c r="E9" s="70"/>
      <c r="F9" s="70"/>
      <c r="G9" s="70"/>
      <c r="H9" s="70"/>
      <c r="I9" s="70"/>
      <c r="J9" s="70"/>
      <c r="K9" s="70"/>
      <c r="L9"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9" s="70"/>
      <c r="N9" s="70"/>
      <c r="O9" s="70" t="s">
        <v>1613</v>
      </c>
      <c r="P9" s="70" t="s">
        <v>1601</v>
      </c>
      <c r="Q9" s="70" t="str">
        <f aca="false">IFERROR("https://drive.google.com/file/d/"&amp;VLOOKUP("k4c613b2b0958",Drive!$A:$B,2,0)&amp;"/view","https://drive.google.com/drive/search?q=title:%22A7%20Unit%202%20Real%20Numbers%2C%20Square%20Roots%20and%20Cube%20Roots%20-%20Review.pdf%22")</f>
        <v>https://drive.google.com/drive/search?q=title:%22A7%20Unit%202%20Real%20Numbers%2C%20Square%20Roots%20and%20Cube%20Roots%20-%20Review.pdf%22</v>
      </c>
    </row>
    <row r="10" customFormat="false" ht="15" hidden="false" customHeight="false" outlineLevel="0" collapsed="false">
      <c r="A10" s="71" t="n">
        <v>46300</v>
      </c>
      <c r="B10" s="70" t="str">
        <f aca="false">IFERROR("https://drive.google.com/file/d/"&amp;VLOOKUP("kfafe7e10ff02",Drive!$A:$B,2,0)&amp;"/view","https://drive.google.com/drive/search?q=title:%22A7%203.T1%20Exponent%20Laws%20with%20Variable%20Bases%20-%20Slides.pdf%22")</f>
        <v>https://drive.google.com/drive/search?q=title:%22A7%203.T1%20Exponent%20Laws%20with%20Variable%20Bases%20-%20Slides.pdf%22</v>
      </c>
      <c r="C10" s="70" t="str">
        <f aca="false">IFERROR("https://drive.google.com/file/d/"&amp;VLOOKUP("k89af96094f29",Drive!$A:$B,2,0)&amp;"/view","https://drive.google.com/drive/search?q=title:%22A7%203.T1%20Exponent%20Laws%20with%20Variable%20Bases%20-%20Slides.pptx%22")</f>
        <v>https://drive.google.com/drive/search?q=title:%22A7%203.T1%20Exponent%20Laws%20with%20Variable%20Bases%20-%20Slides.pptx%22</v>
      </c>
      <c r="D10" s="70" t="str">
        <f aca="false">IFERROR("https://drive.google.com/file/d/"&amp;VLOOKUP("k6f59ad605e85",Drive!$A:$B,2,0)&amp;"/view","https://drive.google.com/drive/search?q=title:%22A7%203.T1%20Exponent%20Laws%20with%20Variable%20Bases%20-%20Teacher%20Edition.pdf%22")</f>
        <v>https://drive.google.com/drive/search?q=title:%22A7%203.T1%20Exponent%20Laws%20with%20Variable%20Bases%20-%20Teacher%20Edition.pdf%22</v>
      </c>
      <c r="E10" s="70" t="str">
        <f aca="false">IFERROR("https://drive.google.com/file/d/"&amp;VLOOKUP("k66e2a1695f3b",Drive!$A:$B,2,0)&amp;"/view","https://drive.google.com/drive/search?q=title:%22A7%203.T1%20Exponent%20Laws%20with%20Variable%20Bases%20-%20Lesson%20Plan.pdf%22")</f>
        <v>https://drive.google.com/drive/search?q=title:%22A7%203.T1%20Exponent%20Laws%20with%20Variable%20Bases%20-%20Lesson%20Plan.pdf%22</v>
      </c>
      <c r="F10" s="70" t="str">
        <f aca="false">IFERROR("https://drive.google.com/file/d/"&amp;VLOOKUP("k9c9ab73e856a",Drive!$A:$B,2,0)&amp;"/view","https://drive.google.com/drive/search?q=title:%22A7%203.T1%20Exponent%20Laws%20with%20Variable%20Bases%20-%20Question%20Bank.pdf%22")</f>
        <v>https://drive.google.com/drive/search?q=title:%22A7%203.T1%20Exponent%20Laws%20with%20Variable%20Bases%20-%20Question%20Bank.pdf%22</v>
      </c>
      <c r="G10" s="70" t="str">
        <f aca="false">IFERROR("https://drive.google.com/file/d/"&amp;VLOOKUP("kda2b357388d7",Drive!$A:$B,2,0)&amp;"/view","https://drive.google.com/drive/search?q=title:%22A7%203.T1%20Exponent%20Laws%20with%20Variable%20Bases%20-%20Question%20Bank%20-%20Key.pdf%22")</f>
        <v>https://drive.google.com/drive/search?q=title:%22A7%203.T1%20Exponent%20Laws%20with%20Variable%20Bases%20-%20Question%20Bank%20-%20Key.pdf%22</v>
      </c>
      <c r="H10" s="70" t="str">
        <f aca="false">IFERROR("https://drive.google.com/file/d/"&amp;VLOOKUP("kd341aadb1b37",Drive!$A:$B,2,0)&amp;"/view","https://drive.google.com/drive/search?q=title:%22A7%203.T1%20Exponent%20Laws%20with%20Variable%20Bases%20-%20Additional%20Question%20Bank.pdf%22")</f>
        <v>https://drive.google.com/drive/search?q=title:%22A7%203.T1%20Exponent%20Laws%20with%20Variable%20Bases%20-%20Additional%20Question%20Bank.pdf%22</v>
      </c>
      <c r="I10" s="70" t="str">
        <f aca="false">IFERROR("https://drive.google.com/file/d/"&amp;VLOOKUP("k62640bd35936",Drive!$A:$B,2,0)&amp;"/view","https://drive.google.com/drive/search?q=title:%22A7%203.T1%20Exponent%20Laws%20with%20Variable%20Bases%20-%20Additional%20Question%20Bank%20-%20Key.pdf%22")</f>
        <v>https://drive.google.com/drive/search?q=title:%22A7%203.T1%20Exponent%20Laws%20with%20Variable%20Bases%20-%20Additional%20Question%20Bank%20-%20Key.pdf%22</v>
      </c>
      <c r="J10" s="70" t="str">
        <f aca="false">IFERROR("https://drive.google.com/file/d/"&amp;VLOOKUP("k121c3685548f",Drive!$A:$B,2,0)&amp;"/view","https://drive.google.com/drive/search?q=title:%22A7%203.T1%20Exponent%20Laws%20with%20Variable%20Bases%20-%20Independent%20Set.pdf%22")</f>
        <v>https://drive.google.com/drive/search?q=title:%22A7%203.T1%20Exponent%20Laws%20with%20Variable%20Bases%20-%20Independent%20Set.pdf%22</v>
      </c>
      <c r="K10" s="70" t="str">
        <f aca="false">IFERROR("https://drive.google.com/file/d/"&amp;VLOOKUP("k21fffe414593",Drive!$A:$B,2,0)&amp;"/view","https://drive.google.com/drive/search?q=title:%22A7%203.T1%20Exponent%20Laws%20with%20Variable%20Bases%20-%20Independent%20Set%20-%20Key.pdf%22")</f>
        <v>https://drive.google.com/drive/search?q=title:%22A7%203.T1%20Exponent%20Laws%20with%20Variable%20Bases%20-%20Independent%20Set%20-%20Key.pdf%22</v>
      </c>
      <c r="L10"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0" s="70" t="s">
        <v>1614</v>
      </c>
      <c r="N10" s="70"/>
      <c r="O10" s="70" t="s">
        <v>1615</v>
      </c>
      <c r="P10" s="70" t="s">
        <v>1601</v>
      </c>
      <c r="Q10" s="70" t="str">
        <f aca="false">IFERROR("https://drive.google.com/file/d/"&amp;VLOOKUP("kd60a700332eb",Drive!$A:$B,2,0)&amp;"/view","https://drive.google.com/drive/search?q=title:%22A7%20Unit%202%20Real%20Numbers%2C%20Square%20Roots%20and%20Cube%20Roots%20-%20Review%20-%20Key.pdf%22")</f>
        <v>https://drive.google.com/drive/search?q=title:%22A7%20Unit%202%20Real%20Numbers%2C%20Square%20Roots%20and%20Cube%20Roots%20-%20Review%20-%20Key.pdf%22</v>
      </c>
    </row>
    <row r="11" customFormat="false" ht="15" hidden="false" customHeight="false" outlineLevel="0" collapsed="false">
      <c r="A11" s="71" t="n">
        <v>46301</v>
      </c>
      <c r="B11" s="70" t="str">
        <f aca="false">IFERROR("https://drive.google.com/file/d/"&amp;VLOOKUP("k9155ed4816cc",Drive!$A:$B,2,0)&amp;"/view","https://drive.google.com/drive/search?q=title:%22A7%203.T2%20Negative%20Exponents%20with%20Variable%20Bases%20-%20Slides.pdf%22")</f>
        <v>https://drive.google.com/drive/search?q=title:%22A7%203.T2%20Negative%20Exponents%20with%20Variable%20Bases%20-%20Slides.pdf%22</v>
      </c>
      <c r="C11" s="70" t="str">
        <f aca="false">IFERROR("https://drive.google.com/file/d/"&amp;VLOOKUP("k98eb8af8a15c",Drive!$A:$B,2,0)&amp;"/view","https://drive.google.com/drive/search?q=title:%22A7%203.T2%20Negative%20Exponents%20with%20Variable%20Bases%20-%20Slides.pptx%22")</f>
        <v>https://drive.google.com/drive/search?q=title:%22A7%203.T2%20Negative%20Exponents%20with%20Variable%20Bases%20-%20Slides.pptx%22</v>
      </c>
      <c r="D11" s="70" t="str">
        <f aca="false">IFERROR("https://drive.google.com/file/d/"&amp;VLOOKUP("k47bb1c9f73c5",Drive!$A:$B,2,0)&amp;"/view","https://drive.google.com/drive/search?q=title:%22A7%203.T2%20Negative%20Exponents%20with%20Variable%20Bases%20-%20Teacher%20Edition.pdf%22")</f>
        <v>https://drive.google.com/drive/search?q=title:%22A7%203.T2%20Negative%20Exponents%20with%20Variable%20Bases%20-%20Teacher%20Edition.pdf%22</v>
      </c>
      <c r="E11" s="70" t="str">
        <f aca="false">IFERROR("https://drive.google.com/file/d/"&amp;VLOOKUP("k5c961c739532",Drive!$A:$B,2,0)&amp;"/view","https://drive.google.com/drive/search?q=title:%22A7%203.T2%20Negative%20Exponents%20with%20Variable%20Bases%20-%20Lesson%20Plan.pdf%22")</f>
        <v>https://drive.google.com/drive/search?q=title:%22A7%203.T2%20Negative%20Exponents%20with%20Variable%20Bases%20-%20Lesson%20Plan.pdf%22</v>
      </c>
      <c r="F11" s="70" t="str">
        <f aca="false">IFERROR("https://drive.google.com/file/d/"&amp;VLOOKUP("ke98ab4f6bb50",Drive!$A:$B,2,0)&amp;"/view","https://drive.google.com/drive/search?q=title:%22A7%203.T2%20Negative%20Exponents%20with%20Variable%20Bases%20-%20Question%20Bank.pdf%22")</f>
        <v>https://drive.google.com/drive/search?q=title:%22A7%203.T2%20Negative%20Exponents%20with%20Variable%20Bases%20-%20Question%20Bank.pdf%22</v>
      </c>
      <c r="G11" s="70" t="str">
        <f aca="false">IFERROR("https://drive.google.com/file/d/"&amp;VLOOKUP("kb685c9aa7fcc",Drive!$A:$B,2,0)&amp;"/view","https://drive.google.com/drive/search?q=title:%22A7%203.T2%20Negative%20Exponents%20with%20Variable%20Bases%20-%20Question%20Bank%20-%20Key.pdf%22")</f>
        <v>https://drive.google.com/drive/search?q=title:%22A7%203.T2%20Negative%20Exponents%20with%20Variable%20Bases%20-%20Question%20Bank%20-%20Key.pdf%22</v>
      </c>
      <c r="H11" s="70" t="str">
        <f aca="false">IFERROR("https://drive.google.com/file/d/"&amp;VLOOKUP("k2dae30ec0dcc",Drive!$A:$B,2,0)&amp;"/view","https://drive.google.com/drive/search?q=title:%22A7%203.T2%20Negative%20Exponents%20with%20Variable%20Bases%20-%20Additional%20Question%20Bank.pdf%22")</f>
        <v>https://drive.google.com/drive/search?q=title:%22A7%203.T2%20Negative%20Exponents%20with%20Variable%20Bases%20-%20Additional%20Question%20Bank.pdf%22</v>
      </c>
      <c r="I11" s="70" t="str">
        <f aca="false">IFERROR("https://drive.google.com/file/d/"&amp;VLOOKUP("k7f181c6809a8",Drive!$A:$B,2,0)&amp;"/view","https://drive.google.com/drive/search?q=title:%22A7%203.T2%20Negative%20Exponents%20with%20Variable%20Bases%20-%20Additional%20Question%20Bank%20-%20Key.pdf%22")</f>
        <v>https://drive.google.com/drive/search?q=title:%22A7%203.T2%20Negative%20Exponents%20with%20Variable%20Bases%20-%20Additional%20Question%20Bank%20-%20Key.pdf%22</v>
      </c>
      <c r="J11" s="70" t="str">
        <f aca="false">IFERROR("https://drive.google.com/file/d/"&amp;VLOOKUP("k145a96b3e686",Drive!$A:$B,2,0)&amp;"/view","https://drive.google.com/drive/search?q=title:%22A7%203.T2%20Negative%20Exponents%20with%20Variable%20Bases%20-%20Independent%20Set.pdf%22")</f>
        <v>https://drive.google.com/drive/search?q=title:%22A7%203.T2%20Negative%20Exponents%20with%20Variable%20Bases%20-%20Independent%20Set.pdf%22</v>
      </c>
      <c r="K11" s="70" t="str">
        <f aca="false">IFERROR("https://drive.google.com/file/d/"&amp;VLOOKUP("k6f71b7f33e48",Drive!$A:$B,2,0)&amp;"/view","https://drive.google.com/drive/search?q=title:%22A7%203.T2%20Negative%20Exponents%20with%20Variable%20Bases%20-%20Independent%20Set%20-%20Key.pdf%22")</f>
        <v>https://drive.google.com/drive/search?q=title:%22A7%203.T2%20Negative%20Exponents%20with%20Variable%20Bases%20-%20Independent%20Set%20-%20Key.pdf%22</v>
      </c>
      <c r="L11"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1" s="70" t="s">
        <v>1616</v>
      </c>
      <c r="N11" s="70"/>
      <c r="O11" s="70" t="s">
        <v>1617</v>
      </c>
      <c r="P11" s="70" t="s">
        <v>1601</v>
      </c>
      <c r="Q11" s="70" t="str">
        <f aca="false">IFERROR("https://drive.google.com/file/d/"&amp;VLOOKUP("k509a716d7468",Drive!$A:$B,2,0)&amp;"/view","https://drive.google.com/drive/search?q=title:%22A7%20Unit%202%20Real%20Numbers%2C%20Square%20Roots%20and%20Cube%20Roots%20-%20Reference%20Sheet.pdf%22")</f>
        <v>https://drive.google.com/drive/search?q=title:%22A7%20Unit%202%20Real%20Numbers%2C%20Square%20Roots%20and%20Cube%20Roots%20-%20Reference%20Sheet.pdf%22</v>
      </c>
    </row>
    <row r="12" customFormat="false" ht="15" hidden="false" customHeight="false" outlineLevel="0" collapsed="false">
      <c r="A12" s="71" t="n">
        <v>46302</v>
      </c>
      <c r="B12" s="70" t="str">
        <f aca="false">IFERROR("https://drive.google.com/file/d/"&amp;VLOOKUP("k893d3cbb2ff5",Drive!$A:$B,2,0)&amp;"/view","https://drive.google.com/drive/search?q=title:%22A7%203.08%20Writing%20Large%20Numbers%20in%20Scientific%20Notation%20-%20Slides.pdf%22")</f>
        <v>https://drive.google.com/drive/search?q=title:%22A7%203.08%20Writing%20Large%20Numbers%20in%20Scientific%20Notation%20-%20Slides.pdf%22</v>
      </c>
      <c r="C12" s="70" t="str">
        <f aca="false">IFERROR("https://drive.google.com/file/d/"&amp;VLOOKUP("kda34696931d2",Drive!$A:$B,2,0)&amp;"/view","https://drive.google.com/drive/search?q=title:%22A7%203.08%20Writing%20Large%20Numbers%20in%20Scientific%20Notation%20-%20Slides.pptx%22")</f>
        <v>https://drive.google.com/drive/search?q=title:%22A7%203.08%20Writing%20Large%20Numbers%20in%20Scientific%20Notation%20-%20Slides.pptx%22</v>
      </c>
      <c r="D12" s="70" t="str">
        <f aca="false">IFERROR("https://drive.google.com/file/d/"&amp;VLOOKUP("k555f3b17acda",Drive!$A:$B,2,0)&amp;"/view","https://drive.google.com/drive/search?q=title:%22A7%203.08%20Writing%20Large%20Numbers%20in%20Scientific%20Notation%20-%20Teacher%20Edition.pdf%22")</f>
        <v>https://drive.google.com/drive/search?q=title:%22A7%203.08%20Writing%20Large%20Numbers%20in%20Scientific%20Notation%20-%20Teacher%20Edition.pdf%22</v>
      </c>
      <c r="E12" s="70" t="str">
        <f aca="false">IFERROR("https://drive.google.com/file/d/"&amp;VLOOKUP("k4ae5b1295f0b",Drive!$A:$B,2,0)&amp;"/view","https://drive.google.com/drive/search?q=title:%22A7%203.08%20Writing%20Large%20Numbers%20in%20Scientific%20Notation%20-%20Lesson%20Plan.pdf%22")</f>
        <v>https://drive.google.com/drive/search?q=title:%22A7%203.08%20Writing%20Large%20Numbers%20in%20Scientific%20Notation%20-%20Lesson%20Plan.pdf%22</v>
      </c>
      <c r="F12" s="70" t="str">
        <f aca="false">IFERROR("https://drive.google.com/file/d/"&amp;VLOOKUP("k351d2cf1be33",Drive!$A:$B,2,0)&amp;"/view","https://drive.google.com/drive/search?q=title:%22A7%203.08%20Writing%20Large%20Numbers%20in%20Scientific%20Notation%20-%20Question%20Bank.pdf%22")</f>
        <v>https://drive.google.com/drive/search?q=title:%22A7%203.08%20Writing%20Large%20Numbers%20in%20Scientific%20Notation%20-%20Question%20Bank.pdf%22</v>
      </c>
      <c r="G12" s="70" t="str">
        <f aca="false">IFERROR("https://drive.google.com/file/d/"&amp;VLOOKUP("k6d8330cc40ae",Drive!$A:$B,2,0)&amp;"/view","https://drive.google.com/drive/search?q=title:%22A7%203.08%20Writing%20Large%20Numbers%20in%20Scientific%20Notation%20-%20Question%20Bank%20-%20Key.pdf%22")</f>
        <v>https://drive.google.com/drive/search?q=title:%22A7%203.08%20Writing%20Large%20Numbers%20in%20Scientific%20Notation%20-%20Question%20Bank%20-%20Key.pdf%22</v>
      </c>
      <c r="H12" s="70" t="str">
        <f aca="false">IFERROR("https://drive.google.com/file/d/"&amp;VLOOKUP("k24bc0868d6b4",Drive!$A:$B,2,0)&amp;"/view","https://drive.google.com/drive/search?q=title:%22A7%203.08%20Writing%20Large%20Numbers%20in%20Scientific%20Notation%20-%20Additional%20Question%20Bank.pdf%22")</f>
        <v>https://drive.google.com/drive/search?q=title:%22A7%203.08%20Writing%20Large%20Numbers%20in%20Scientific%20Notation%20-%20Additional%20Question%20Bank.pdf%22</v>
      </c>
      <c r="I12" s="70" t="str">
        <f aca="false">IFERROR("https://drive.google.com/file/d/"&amp;VLOOKUP("kd4bcc070b88a",Drive!$A:$B,2,0)&amp;"/view","https://drive.google.com/drive/search?q=title:%22A7%203.08%20Writing%20Large%20Numbers%20in%20Scientific%20Notation%20-%20Additional%20Question%20Bank%20-%20Key.pdf%22")</f>
        <v>https://drive.google.com/drive/search?q=title:%22A7%203.08%20Writing%20Large%20Numbers%20in%20Scientific%20Notation%20-%20Additional%20Question%20Bank%20-%20Key.pdf%22</v>
      </c>
      <c r="J12" s="70" t="str">
        <f aca="false">IFERROR("https://drive.google.com/file/d/"&amp;VLOOKUP("k8063b5e77d22",Drive!$A:$B,2,0)&amp;"/view","https://drive.google.com/drive/search?q=title:%22A7%203.08%20Writing%20Large%20Numbers%20in%20Scientific%20Notation%20-%20Independent%20Set.pdf%22")</f>
        <v>https://drive.google.com/drive/search?q=title:%22A7%203.08%20Writing%20Large%20Numbers%20in%20Scientific%20Notation%20-%20Independent%20Set.pdf%22</v>
      </c>
      <c r="K12" s="70" t="str">
        <f aca="false">IFERROR("https://drive.google.com/file/d/"&amp;VLOOKUP("k82e97162cff6",Drive!$A:$B,2,0)&amp;"/view","https://drive.google.com/drive/search?q=title:%22A7%203.08%20Writing%20Large%20Numbers%20in%20Scientific%20Notation%20-%20Independent%20Set%20-%20Key.pdf%22")</f>
        <v>https://drive.google.com/drive/search?q=title:%22A7%203.08%20Writing%20Large%20Numbers%20in%20Scientific%20Notation%20-%20Independent%20Set%20-%20Key.pdf%22</v>
      </c>
      <c r="L12"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2" s="70" t="s">
        <v>1618</v>
      </c>
      <c r="N12" s="70"/>
      <c r="O12" s="70" t="s">
        <v>1619</v>
      </c>
      <c r="P12" s="70" t="s">
        <v>1601</v>
      </c>
      <c r="Q12" s="70" t="str">
        <f aca="false">IFERROR("https://drive.google.com/file/d/"&amp;VLOOKUP("ke52ff0df0d4b",Drive!$A:$B,2,0)&amp;"/view","https://drive.google.com/drive/search?q=title:%22A7%20Unit%203%20Exponents%20and%20Scientific%20Notation%20-%20Test.pdf%22")</f>
        <v>https://drive.google.com/drive/search?q=title:%22A7%20Unit%203%20Exponents%20and%20Scientific%20Notation%20-%20Test.pdf%22</v>
      </c>
    </row>
    <row r="13" customFormat="false" ht="15" hidden="false" customHeight="false" outlineLevel="0" collapsed="false">
      <c r="A13" s="71" t="n">
        <v>46303</v>
      </c>
      <c r="B13" s="70"/>
      <c r="C13" s="70"/>
      <c r="D13" s="70"/>
      <c r="E13" s="70"/>
      <c r="F13" s="70"/>
      <c r="G13" s="70"/>
      <c r="H13" s="70"/>
      <c r="I13" s="70"/>
      <c r="J13" s="70"/>
      <c r="K13" s="70"/>
      <c r="L13"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3" s="70"/>
      <c r="N13" s="70"/>
      <c r="O13" s="70" t="s">
        <v>1620</v>
      </c>
      <c r="P13" s="70" t="s">
        <v>1601</v>
      </c>
      <c r="Q13" s="70" t="str">
        <f aca="false">IFERROR("https://drive.google.com/file/d/"&amp;VLOOKUP("kf990f1c33e7d",Drive!$A:$B,2,0)&amp;"/view","https://drive.google.com/drive/search?q=title:%22A7%20Unit%203%20Exponents%20and%20Scientific%20Notation%20-%20Test%20-%20Key.pdf%22")</f>
        <v>https://drive.google.com/drive/search?q=title:%22A7%20Unit%203%20Exponents%20and%20Scientific%20Notation%20-%20Test%20-%20Key.pdf%22</v>
      </c>
    </row>
    <row r="14" customFormat="false" ht="15" hidden="false" customHeight="false" outlineLevel="0" collapsed="false">
      <c r="A14" s="71" t="n">
        <v>46304</v>
      </c>
      <c r="B14" s="70" t="str">
        <f aca="false">IFERROR("https://drive.google.com/file/d/"&amp;VLOOKUP("kb2d4b21f33c0",Drive!$A:$B,2,0)&amp;"/view","https://drive.google.com/drive/search?q=title:%22A7%203.09%20Writing%20Small%20Numbers%20in%20Scientific%20Notation%20-%20Slides.pdf%22")</f>
        <v>https://drive.google.com/drive/search?q=title:%22A7%203.09%20Writing%20Small%20Numbers%20in%20Scientific%20Notation%20-%20Slides.pdf%22</v>
      </c>
      <c r="C14" s="70" t="str">
        <f aca="false">IFERROR("https://drive.google.com/file/d/"&amp;VLOOKUP("kb52414f64bb2",Drive!$A:$B,2,0)&amp;"/view","https://drive.google.com/drive/search?q=title:%22A7%203.09%20Writing%20Small%20Numbers%20in%20Scientific%20Notation%20-%20Slides.pptx%22")</f>
        <v>https://drive.google.com/drive/search?q=title:%22A7%203.09%20Writing%20Small%20Numbers%20in%20Scientific%20Notation%20-%20Slides.pptx%22</v>
      </c>
      <c r="D14" s="70" t="str">
        <f aca="false">IFERROR("https://drive.google.com/file/d/"&amp;VLOOKUP("kc13228a003de",Drive!$A:$B,2,0)&amp;"/view","https://drive.google.com/drive/search?q=title:%22A7%203.09%20Writing%20Small%20Numbers%20in%20Scientific%20Notation%20-%20Teacher%20Edition.pdf%22")</f>
        <v>https://drive.google.com/drive/search?q=title:%22A7%203.09%20Writing%20Small%20Numbers%20in%20Scientific%20Notation%20-%20Teacher%20Edition.pdf%22</v>
      </c>
      <c r="E14" s="70" t="str">
        <f aca="false">IFERROR("https://drive.google.com/file/d/"&amp;VLOOKUP("ke80365259437",Drive!$A:$B,2,0)&amp;"/view","https://drive.google.com/drive/search?q=title:%22A7%203.09%20Writing%20Small%20Numbers%20in%20Scientific%20Notation%20-%20Lesson%20Plan.pdf%22")</f>
        <v>https://drive.google.com/drive/search?q=title:%22A7%203.09%20Writing%20Small%20Numbers%20in%20Scientific%20Notation%20-%20Lesson%20Plan.pdf%22</v>
      </c>
      <c r="F14" s="70" t="str">
        <f aca="false">IFERROR("https://drive.google.com/file/d/"&amp;VLOOKUP("k190830142932",Drive!$A:$B,2,0)&amp;"/view","https://drive.google.com/drive/search?q=title:%22A7%203.09%20Writing%20Small%20Numbers%20in%20Scientific%20Notation%20-%20Question%20Bank.pdf%22")</f>
        <v>https://drive.google.com/drive/search?q=title:%22A7%203.09%20Writing%20Small%20Numbers%20in%20Scientific%20Notation%20-%20Question%20Bank.pdf%22</v>
      </c>
      <c r="G14" s="70" t="str">
        <f aca="false">IFERROR("https://drive.google.com/file/d/"&amp;VLOOKUP("k6873a33ae932",Drive!$A:$B,2,0)&amp;"/view","https://drive.google.com/drive/search?q=title:%22A7%203.09%20Writing%20Small%20Numbers%20in%20Scientific%20Notation%20-%20Question%20Bank%20-%20Key.pdf%22")</f>
        <v>https://drive.google.com/drive/search?q=title:%22A7%203.09%20Writing%20Small%20Numbers%20in%20Scientific%20Notation%20-%20Question%20Bank%20-%20Key.pdf%22</v>
      </c>
      <c r="H14" s="70" t="str">
        <f aca="false">IFERROR("https://drive.google.com/file/d/"&amp;VLOOKUP("k44346ec89135",Drive!$A:$B,2,0)&amp;"/view","https://drive.google.com/drive/search?q=title:%22A7%203.09%20Writing%20Small%20Numbers%20in%20Scientific%20Notation%20-%20Additional%20Question%20Bank.pdf%22")</f>
        <v>https://drive.google.com/drive/search?q=title:%22A7%203.09%20Writing%20Small%20Numbers%20in%20Scientific%20Notation%20-%20Additional%20Question%20Bank.pdf%22</v>
      </c>
      <c r="I14" s="70" t="str">
        <f aca="false">IFERROR("https://drive.google.com/file/d/"&amp;VLOOKUP("k7f53cfc630ab",Drive!$A:$B,2,0)&amp;"/view","https://drive.google.com/drive/search?q=title:%22A7%203.09%20Writing%20Small%20Numbers%20in%20Scientific%20Notation%20-%20Additional%20Question%20Bank%20-%20Key.pdf%22")</f>
        <v>https://drive.google.com/drive/search?q=title:%22A7%203.09%20Writing%20Small%20Numbers%20in%20Scientific%20Notation%20-%20Additional%20Question%20Bank%20-%20Key.pdf%22</v>
      </c>
      <c r="J14" s="70" t="str">
        <f aca="false">IFERROR("https://drive.google.com/file/d/"&amp;VLOOKUP("kffb6d56584df",Drive!$A:$B,2,0)&amp;"/view","https://drive.google.com/drive/search?q=title:%22A7%203.09%20Writing%20Small%20Numbers%20in%20Scientific%20Notation%20-%20Independent%20Set.pdf%22")</f>
        <v>https://drive.google.com/drive/search?q=title:%22A7%203.09%20Writing%20Small%20Numbers%20in%20Scientific%20Notation%20-%20Independent%20Set.pdf%22</v>
      </c>
      <c r="K14" s="70" t="str">
        <f aca="false">IFERROR("https://drive.google.com/file/d/"&amp;VLOOKUP("k392c6b8a3c03",Drive!$A:$B,2,0)&amp;"/view","https://drive.google.com/drive/search?q=title:%22A7%203.09%20Writing%20Small%20Numbers%20in%20Scientific%20Notation%20-%20Independent%20Set%20-%20Key.pdf%22")</f>
        <v>https://drive.google.com/drive/search?q=title:%22A7%203.09%20Writing%20Small%20Numbers%20in%20Scientific%20Notation%20-%20Independent%20Set%20-%20Key.pdf%22</v>
      </c>
      <c r="L14"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4" s="70" t="s">
        <v>1621</v>
      </c>
      <c r="N14" s="70"/>
      <c r="O14" s="70" t="s">
        <v>1622</v>
      </c>
      <c r="P14" s="70" t="s">
        <v>1601</v>
      </c>
      <c r="Q14" s="70" t="str">
        <f aca="false">IFERROR("https://drive.google.com/file/d/"&amp;VLOOKUP("kb93ffed6ca63",Drive!$A:$B,2,0)&amp;"/view","https://drive.google.com/drive/search?q=title:%22A7%20Unit%203%20Exponents%20and%20Scientific%20Notation%20-%20Review.pdf%22")</f>
        <v>https://drive.google.com/drive/search?q=title:%22A7%20Unit%203%20Exponents%20and%20Scientific%20Notation%20-%20Review.pdf%22</v>
      </c>
    </row>
    <row r="15" customFormat="false" ht="15" hidden="false" customHeight="false" outlineLevel="0" collapsed="false">
      <c r="A15" s="71" t="n">
        <v>46308</v>
      </c>
      <c r="B15" s="70" t="str">
        <f aca="false">IFERROR("https://drive.google.com/file/d/"&amp;VLOOKUP("kb93ffed6ca63",Drive!$A:$B,2,0)&amp;"/view","https://drive.google.com/drive/search?q=title:%22A7%20Unit%203%20Exponents%20and%20Scientific%20Notation%20-%20Review.pdf%22")</f>
        <v>https://drive.google.com/drive/search?q=title:%22A7%20Unit%203%20Exponents%20and%20Scientific%20Notation%20-%20Review.pdf%22</v>
      </c>
      <c r="C15" s="70"/>
      <c r="D15" s="70"/>
      <c r="E15" s="70"/>
      <c r="F15" s="70"/>
      <c r="G15" s="70" t="str">
        <f aca="false">IFERROR("https://drive.google.com/file/d/"&amp;VLOOKUP("k467ef44c3569",Drive!$A:$B,2,0)&amp;"/view","https://drive.google.com/drive/search?q=title:%22A7%20Unit%203%20Exponents%20and%20Scientific%20Notation%20-%20Review%20-%20Key.pdf%22")</f>
        <v>https://drive.google.com/drive/search?q=title:%22A7%20Unit%203%20Exponents%20and%20Scientific%20Notation%20-%20Review%20-%20Key.pdf%22</v>
      </c>
      <c r="H15" s="70"/>
      <c r="I15" s="70"/>
      <c r="J15" s="70"/>
      <c r="K15" s="70"/>
      <c r="L15"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5" s="70"/>
      <c r="N15" s="70"/>
      <c r="O15" s="70" t="s">
        <v>1623</v>
      </c>
      <c r="P15" s="70" t="s">
        <v>1601</v>
      </c>
      <c r="Q15" s="70" t="str">
        <f aca="false">IFERROR("https://drive.google.com/file/d/"&amp;VLOOKUP("k467ef44c3569",Drive!$A:$B,2,0)&amp;"/view","https://drive.google.com/drive/search?q=title:%22A7%20Unit%203%20Exponents%20and%20Scientific%20Notation%20-%20Review%20-%20Key.pdf%22")</f>
        <v>https://drive.google.com/drive/search?q=title:%22A7%20Unit%203%20Exponents%20and%20Scientific%20Notation%20-%20Review%20-%20Key.pdf%22</v>
      </c>
    </row>
    <row r="16" customFormat="false" ht="15" hidden="false" customHeight="false" outlineLevel="0" collapsed="false">
      <c r="A16" s="71" t="n">
        <v>46309</v>
      </c>
      <c r="B16" s="70" t="str">
        <f aca="false">IFERROR("https://drive.google.com/file/d/"&amp;VLOOKUP("kb93ffed6ca63",Drive!$A:$B,2,0)&amp;"/view","https://drive.google.com/drive/search?q=title:%22A7%20Unit%203%20Exponents%20and%20Scientific%20Notation%20-%20Review.pdf%22")</f>
        <v>https://drive.google.com/drive/search?q=title:%22A7%20Unit%203%20Exponents%20and%20Scientific%20Notation%20-%20Review.pdf%22</v>
      </c>
      <c r="C16" s="70"/>
      <c r="D16" s="70"/>
      <c r="E16" s="70"/>
      <c r="F16" s="70"/>
      <c r="G16" s="70" t="str">
        <f aca="false">IFERROR("https://drive.google.com/file/d/"&amp;VLOOKUP("k467ef44c3569",Drive!$A:$B,2,0)&amp;"/view","https://drive.google.com/drive/search?q=title:%22A7%20Unit%203%20Exponents%20and%20Scientific%20Notation%20-%20Review%20-%20Key.pdf%22")</f>
        <v>https://drive.google.com/drive/search?q=title:%22A7%20Unit%203%20Exponents%20and%20Scientific%20Notation%20-%20Review%20-%20Key.pdf%22</v>
      </c>
      <c r="H16" s="70"/>
      <c r="I16" s="70"/>
      <c r="J16" s="70"/>
      <c r="K16" s="70"/>
      <c r="L16"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6" s="70"/>
      <c r="N16" s="70"/>
      <c r="O16" s="70" t="s">
        <v>1624</v>
      </c>
      <c r="P16" s="70" t="s">
        <v>1601</v>
      </c>
      <c r="Q16" s="70" t="str">
        <f aca="false">IFERROR("https://drive.google.com/file/d/"&amp;VLOOKUP("k1f816ed6a0ec",Drive!$A:$B,2,0)&amp;"/view","https://drive.google.com/drive/search?q=title:%22A7%20Unit%203%20Exponents%20and%20Scientific%20Notation%20-%20Reference%20Sheet.pdf%22")</f>
        <v>https://drive.google.com/drive/search?q=title:%22A7%20Unit%203%20Exponents%20and%20Scientific%20Notation%20-%20Reference%20Sheet.pdf%22</v>
      </c>
    </row>
    <row r="17" customFormat="false" ht="15" hidden="false" customHeight="false" outlineLevel="0" collapsed="false">
      <c r="A17" s="71" t="n">
        <v>46310</v>
      </c>
      <c r="B17" s="70" t="str">
        <f aca="false">IFERROR("https://drive.google.com/file/d/"&amp;VLOOKUP("ke52ff0df0d4b",Drive!$A:$B,2,0)&amp;"/view","https://drive.google.com/drive/search?q=title:%22A7%20Unit%203%20Exponents%20and%20Scientific%20Notation%20-%20Test.pdf%22")</f>
        <v>https://drive.google.com/drive/search?q=title:%22A7%20Unit%203%20Exponents%20and%20Scientific%20Notation%20-%20Test.pdf%22</v>
      </c>
      <c r="C17" s="70"/>
      <c r="D17" s="70"/>
      <c r="E17" s="70"/>
      <c r="F17" s="70"/>
      <c r="G17" s="70" t="str">
        <f aca="false">IFERROR("https://drive.google.com/file/d/"&amp;VLOOKUP("kf990f1c33e7d",Drive!$A:$B,2,0)&amp;"/view","https://drive.google.com/drive/search?q=title:%22A7%20Unit%203%20Exponents%20and%20Scientific%20Notation%20-%20Test%20-%20Key.pdf%22")</f>
        <v>https://drive.google.com/drive/search?q=title:%22A7%20Unit%203%20Exponents%20and%20Scientific%20Notation%20-%20Test%20-%20Key.pdf%22</v>
      </c>
      <c r="H17" s="70"/>
      <c r="I17" s="70"/>
      <c r="J17" s="70"/>
      <c r="K17" s="70"/>
      <c r="L17"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c r="M17" s="70"/>
      <c r="N17" s="70"/>
      <c r="O17" s="70" t="s">
        <v>1625</v>
      </c>
      <c r="P17" s="70" t="s">
        <v>1601</v>
      </c>
      <c r="Q17" s="70" t="str">
        <f aca="false">IFERROR("https://drive.google.com/file/d/"&amp;VLOOKUP("k7c17b9b2eea3",Drive!$A:$B,2,0)&amp;"/view","https://drive.google.com/drive/search?q=title:%22A7%20Unit%204%20Solving%20Problems%20with%20Rational%20Numbers%20-%20Test.pdf%22")</f>
        <v>https://drive.google.com/drive/search?q=title:%22A7%20Unit%204%20Solving%20Problems%20with%20Rational%20Numbers%20-%20Test.pdf%22</v>
      </c>
    </row>
    <row r="18" customFormat="false" ht="15" hidden="false" customHeight="false" outlineLevel="0" collapsed="false">
      <c r="A18" s="71" t="n">
        <v>46311</v>
      </c>
      <c r="B18" s="70" t="str">
        <f aca="false">IFERROR("https://drive.google.com/file/d/"&amp;VLOOKUP("ke3f2334719df",Drive!$A:$B,2,0)&amp;"/view","https://drive.google.com/drive/search?q=title:%22A7%204.01%20Adding%20and%20Subtracting%20in%20Scientific%20Notation%20-%20Slides.pdf%22")</f>
        <v>https://drive.google.com/drive/search?q=title:%22A7%204.01%20Adding%20and%20Subtracting%20in%20Scientific%20Notation%20-%20Slides.pdf%22</v>
      </c>
      <c r="C18" s="70" t="str">
        <f aca="false">IFERROR("https://drive.google.com/file/d/"&amp;VLOOKUP("k832cf0398976",Drive!$A:$B,2,0)&amp;"/view","https://drive.google.com/drive/search?q=title:%22A7%204.01%20Adding%20and%20Subtracting%20in%20Scientific%20Notation%20-%20Slides.pptx%22")</f>
        <v>https://drive.google.com/drive/search?q=title:%22A7%204.01%20Adding%20and%20Subtracting%20in%20Scientific%20Notation%20-%20Slides.pptx%22</v>
      </c>
      <c r="D18" s="70" t="str">
        <f aca="false">IFERROR("https://drive.google.com/file/d/"&amp;VLOOKUP("kc863ee368adb",Drive!$A:$B,2,0)&amp;"/view","https://drive.google.com/drive/search?q=title:%22A7%204.01%20Adding%20and%20Subtracting%20in%20Scientific%20Notation%20-%20Teacher%20Edition.pdf%22")</f>
        <v>https://drive.google.com/drive/search?q=title:%22A7%204.01%20Adding%20and%20Subtracting%20in%20Scientific%20Notation%20-%20Teacher%20Edition.pdf%22</v>
      </c>
      <c r="E18" s="70" t="str">
        <f aca="false">IFERROR("https://drive.google.com/file/d/"&amp;VLOOKUP("k814e6f2de532",Drive!$A:$B,2,0)&amp;"/view","https://drive.google.com/drive/search?q=title:%22A7%204.01%20Adding%20and%20Subtracting%20in%20Scientific%20Notation%20-%20Lesson%20Plan.pdf%22")</f>
        <v>https://drive.google.com/drive/search?q=title:%22A7%204.01%20Adding%20and%20Subtracting%20in%20Scientific%20Notation%20-%20Lesson%20Plan.pdf%22</v>
      </c>
      <c r="F18" s="70" t="str">
        <f aca="false">IFERROR("https://drive.google.com/file/d/"&amp;VLOOKUP("k931bd96660b9",Drive!$A:$B,2,0)&amp;"/view","https://drive.google.com/drive/search?q=title:%22A7%204.01%20Adding%20and%20Subtracting%20in%20Scientific%20Notation%20-%20Question%20Bank.pdf%22")</f>
        <v>https://drive.google.com/drive/search?q=title:%22A7%204.01%20Adding%20and%20Subtracting%20in%20Scientific%20Notation%20-%20Question%20Bank.pdf%22</v>
      </c>
      <c r="G18" s="70" t="str">
        <f aca="false">IFERROR("https://drive.google.com/file/d/"&amp;VLOOKUP("k0064df2b7e9a",Drive!$A:$B,2,0)&amp;"/view","https://drive.google.com/drive/search?q=title:%22A7%204.01%20Adding%20and%20Subtracting%20in%20Scientific%20Notation%20-%20Question%20Bank%20-%20Key.pdf%22")</f>
        <v>https://drive.google.com/drive/search?q=title:%22A7%204.01%20Adding%20and%20Subtracting%20in%20Scientific%20Notation%20-%20Question%20Bank%20-%20Key.pdf%22</v>
      </c>
      <c r="H18" s="70" t="str">
        <f aca="false">IFERROR("https://drive.google.com/file/d/"&amp;VLOOKUP("k205338343d2c",Drive!$A:$B,2,0)&amp;"/view","https://drive.google.com/drive/search?q=title:%22A7%204.01%20Adding%20and%20Subtracting%20in%20Scientific%20Notation%20-%20Additional%20Question%20Bank.pdf%22")</f>
        <v>https://drive.google.com/drive/search?q=title:%22A7%204.01%20Adding%20and%20Subtracting%20in%20Scientific%20Notation%20-%20Additional%20Question%20Bank.pdf%22</v>
      </c>
      <c r="I18" s="70" t="str">
        <f aca="false">IFERROR("https://drive.google.com/file/d/"&amp;VLOOKUP("k88bae2887c1e",Drive!$A:$B,2,0)&amp;"/view","https://drive.google.com/drive/search?q=title:%22A7%204.01%20Adding%20and%20Subtracting%20in%20Scientific%20Notation%20-%20Additional%20Question%20Bank%20-%20Key.pdf%22")</f>
        <v>https://drive.google.com/drive/search?q=title:%22A7%204.01%20Adding%20and%20Subtracting%20in%20Scientific%20Notation%20-%20Additional%20Question%20Bank%20-%20Key.pdf%22</v>
      </c>
      <c r="J18" s="70" t="str">
        <f aca="false">IFERROR("https://drive.google.com/file/d/"&amp;VLOOKUP("k070e33922e15",Drive!$A:$B,2,0)&amp;"/view","https://drive.google.com/drive/search?q=title:%22A7%204.01%20Adding%20and%20Subtracting%20in%20Scientific%20Notation%20-%20Independent%20Set.pdf%22")</f>
        <v>https://drive.google.com/drive/search?q=title:%22A7%204.01%20Adding%20and%20Subtracting%20in%20Scientific%20Notation%20-%20Independent%20Set.pdf%22</v>
      </c>
      <c r="K18" s="70" t="str">
        <f aca="false">IFERROR("https://drive.google.com/file/d/"&amp;VLOOKUP("k3b0104b10ec6",Drive!$A:$B,2,0)&amp;"/view","https://drive.google.com/drive/search?q=title:%22A7%204.01%20Adding%20and%20Subtracting%20in%20Scientific%20Notation%20-%20Independent%20Set%20-%20Key.pdf%22")</f>
        <v>https://drive.google.com/drive/search?q=title:%22A7%204.01%20Adding%20and%20Subtracting%20in%20Scientific%20Notation%20-%20Independent%20Set%20-%20Key.pdf%22</v>
      </c>
      <c r="L18"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18" s="70" t="s">
        <v>1626</v>
      </c>
      <c r="N18" s="70"/>
      <c r="O18" s="70" t="s">
        <v>1627</v>
      </c>
      <c r="P18" s="70" t="s">
        <v>1601</v>
      </c>
      <c r="Q18" s="70" t="str">
        <f aca="false">IFERROR("https://drive.google.com/file/d/"&amp;VLOOKUP("k584fc57b9722",Drive!$A:$B,2,0)&amp;"/view","https://drive.google.com/drive/search?q=title:%22A7%20Unit%204%20Solving%20Problems%20with%20Rational%20Numbers%20-%20Test%20-%20Key.pdf%22")</f>
        <v>https://drive.google.com/drive/search?q=title:%22A7%20Unit%204%20Solving%20Problems%20with%20Rational%20Numbers%20-%20Test%20-%20Key.pdf%22</v>
      </c>
    </row>
    <row r="19" customFormat="false" ht="15" hidden="false" customHeight="false" outlineLevel="0" collapsed="false">
      <c r="A19" s="71" t="n">
        <v>46314</v>
      </c>
      <c r="B19" s="70" t="str">
        <f aca="false">IFERROR("https://drive.google.com/file/d/"&amp;VLOOKUP("k987f2ff0d293",Drive!$A:$B,2,0)&amp;"/view","https://drive.google.com/drive/search?q=title:%22A7%204.02%20Multiplying%20and%20Dividing%20in%20Scientific%20Notation%20-%20Slides.pdf%22")</f>
        <v>https://drive.google.com/drive/search?q=title:%22A7%204.02%20Multiplying%20and%20Dividing%20in%20Scientific%20Notation%20-%20Slides.pdf%22</v>
      </c>
      <c r="C19" s="70" t="str">
        <f aca="false">IFERROR("https://drive.google.com/file/d/"&amp;VLOOKUP("k6d020beb8a95",Drive!$A:$B,2,0)&amp;"/view","https://drive.google.com/drive/search?q=title:%22A7%204.02%20Multiplying%20and%20Dividing%20in%20Scientific%20Notation%20-%20Slides.pptx%22")</f>
        <v>https://drive.google.com/drive/search?q=title:%22A7%204.02%20Multiplying%20and%20Dividing%20in%20Scientific%20Notation%20-%20Slides.pptx%22</v>
      </c>
      <c r="D19" s="70" t="str">
        <f aca="false">IFERROR("https://drive.google.com/file/d/"&amp;VLOOKUP("k244a4155840c",Drive!$A:$B,2,0)&amp;"/view","https://drive.google.com/drive/search?q=title:%22A7%204.02%20Multiplying%20and%20Dividing%20in%20Scientific%20Notation%20-%20Teacher%20Edition.pdf%22")</f>
        <v>https://drive.google.com/drive/search?q=title:%22A7%204.02%20Multiplying%20and%20Dividing%20in%20Scientific%20Notation%20-%20Teacher%20Edition.pdf%22</v>
      </c>
      <c r="E19" s="70" t="str">
        <f aca="false">IFERROR("https://drive.google.com/file/d/"&amp;VLOOKUP("k16c8c42e47d6",Drive!$A:$B,2,0)&amp;"/view","https://drive.google.com/drive/search?q=title:%22A7%204.02%20Multiplying%20and%20Dividing%20in%20Scientific%20Notation%20-%20Lesson%20Plan.pdf%22")</f>
        <v>https://drive.google.com/drive/search?q=title:%22A7%204.02%20Multiplying%20and%20Dividing%20in%20Scientific%20Notation%20-%20Lesson%20Plan.pdf%22</v>
      </c>
      <c r="F19" s="70" t="str">
        <f aca="false">IFERROR("https://drive.google.com/file/d/"&amp;VLOOKUP("kd2ea5d6330c3",Drive!$A:$B,2,0)&amp;"/view","https://drive.google.com/drive/search?q=title:%22A7%204.02%20Multiplying%20and%20Dividing%20in%20Scientific%20Notation%20-%20Question%20Bank.pdf%22")</f>
        <v>https://drive.google.com/drive/search?q=title:%22A7%204.02%20Multiplying%20and%20Dividing%20in%20Scientific%20Notation%20-%20Question%20Bank.pdf%22</v>
      </c>
      <c r="G19" s="70" t="str">
        <f aca="false">IFERROR("https://drive.google.com/file/d/"&amp;VLOOKUP("ka18e088938fd",Drive!$A:$B,2,0)&amp;"/view","https://drive.google.com/drive/search?q=title:%22A7%204.02%20Multiplying%20and%20Dividing%20in%20Scientific%20Notation%20-%20Question%20Bank%20-%20Key.pdf%22")</f>
        <v>https://drive.google.com/drive/search?q=title:%22A7%204.02%20Multiplying%20and%20Dividing%20in%20Scientific%20Notation%20-%20Question%20Bank%20-%20Key.pdf%22</v>
      </c>
      <c r="H19" s="70" t="str">
        <f aca="false">IFERROR("https://drive.google.com/file/d/"&amp;VLOOKUP("kb1b889fdbcc6",Drive!$A:$B,2,0)&amp;"/view","https://drive.google.com/drive/search?q=title:%22A7%204.02%20Multiplying%20and%20Dividing%20in%20Scientific%20Notation%20-%20Additional%20Question%20Bank.pdf%22")</f>
        <v>https://drive.google.com/drive/search?q=title:%22A7%204.02%20Multiplying%20and%20Dividing%20in%20Scientific%20Notation%20-%20Additional%20Question%20Bank.pdf%22</v>
      </c>
      <c r="I19" s="70" t="str">
        <f aca="false">IFERROR("https://drive.google.com/file/d/"&amp;VLOOKUP("k0904423a0053",Drive!$A:$B,2,0)&amp;"/view","https://drive.google.com/drive/search?q=title:%22A7%204.02%20Multiplying%20and%20Dividing%20in%20Scientific%20Notation%20-%20Additional%20Question%20Bank%20-%20Key.pdf%22")</f>
        <v>https://drive.google.com/drive/search?q=title:%22A7%204.02%20Multiplying%20and%20Dividing%20in%20Scientific%20Notation%20-%20Additional%20Question%20Bank%20-%20Key.pdf%22</v>
      </c>
      <c r="J19" s="70" t="str">
        <f aca="false">IFERROR("https://drive.google.com/file/d/"&amp;VLOOKUP("k1efd2834e505",Drive!$A:$B,2,0)&amp;"/view","https://drive.google.com/drive/search?q=title:%22A7%204.02%20Multiplying%20and%20Dividing%20in%20Scientific%20Notation%20-%20Independent%20Set.pdf%22")</f>
        <v>https://drive.google.com/drive/search?q=title:%22A7%204.02%20Multiplying%20and%20Dividing%20in%20Scientific%20Notation%20-%20Independent%20Set.pdf%22</v>
      </c>
      <c r="K19" s="70" t="str">
        <f aca="false">IFERROR("https://drive.google.com/file/d/"&amp;VLOOKUP("k7d90cf07c2a0",Drive!$A:$B,2,0)&amp;"/view","https://drive.google.com/drive/search?q=title:%22A7%204.02%20Multiplying%20and%20Dividing%20in%20Scientific%20Notation%20-%20Independent%20Set%20-%20Key.pdf%22")</f>
        <v>https://drive.google.com/drive/search?q=title:%22A7%204.02%20Multiplying%20and%20Dividing%20in%20Scientific%20Notation%20-%20Independent%20Set%20-%20Key.pdf%22</v>
      </c>
      <c r="L19"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19" s="70" t="s">
        <v>1628</v>
      </c>
      <c r="N19" s="70"/>
      <c r="O19" s="70" t="s">
        <v>1629</v>
      </c>
      <c r="P19" s="70" t="s">
        <v>1601</v>
      </c>
      <c r="Q19" s="70" t="str">
        <f aca="false">IFERROR("https://drive.google.com/file/d/"&amp;VLOOKUP("ke57d72cf0716",Drive!$A:$B,2,0)&amp;"/view","https://drive.google.com/drive/search?q=title:%22A7%20Unit%204%20Solving%20Problems%20with%20Rational%20Numbers%20-%20Review.pdf%22")</f>
        <v>https://drive.google.com/drive/search?q=title:%22A7%20Unit%204%20Solving%20Problems%20with%20Rational%20Numbers%20-%20Review.pdf%22</v>
      </c>
    </row>
    <row r="20" customFormat="false" ht="15" hidden="false" customHeight="false" outlineLevel="0" collapsed="false">
      <c r="A20" s="71" t="n">
        <v>46315</v>
      </c>
      <c r="B20" s="70" t="str">
        <f aca="false">IFERROR("https://drive.google.com/file/d/"&amp;VLOOKUP("kbbf47d304b5e",Drive!$A:$B,2,0)&amp;"/view","https://drive.google.com/drive/search?q=title:%22A7%204.04%20Real-World%20Problems%20and%20Significant%20Digits%20-%20Slides.pdf%22")</f>
        <v>https://drive.google.com/drive/search?q=title:%22A7%204.04%20Real-World%20Problems%20and%20Significant%20Digits%20-%20Slides.pdf%22</v>
      </c>
      <c r="C20" s="70" t="str">
        <f aca="false">IFERROR("https://drive.google.com/file/d/"&amp;VLOOKUP("k0353bf243f58",Drive!$A:$B,2,0)&amp;"/view","https://drive.google.com/drive/search?q=title:%22A7%204.04%20Real-World%20Problems%20and%20Significant%20Digits%20-%20Slides.pptx%22")</f>
        <v>https://drive.google.com/drive/search?q=title:%22A7%204.04%20Real-World%20Problems%20and%20Significant%20Digits%20-%20Slides.pptx%22</v>
      </c>
      <c r="D20" s="70" t="str">
        <f aca="false">IFERROR("https://drive.google.com/file/d/"&amp;VLOOKUP("k5b2c410c3252",Drive!$A:$B,2,0)&amp;"/view","https://drive.google.com/drive/search?q=title:%22A7%204.04%20Real-World%20Problems%20and%20Significant%20Digits%20-%20Teacher%20Edition.pdf%22")</f>
        <v>https://drive.google.com/drive/search?q=title:%22A7%204.04%20Real-World%20Problems%20and%20Significant%20Digits%20-%20Teacher%20Edition.pdf%22</v>
      </c>
      <c r="E20" s="70" t="str">
        <f aca="false">IFERROR("https://drive.google.com/file/d/"&amp;VLOOKUP("k3813ea24949c",Drive!$A:$B,2,0)&amp;"/view","https://drive.google.com/drive/search?q=title:%22A7%204.04%20Real-World%20Problems%20and%20Significant%20Digits%20-%20Lesson%20Plan.pdf%22")</f>
        <v>https://drive.google.com/drive/search?q=title:%22A7%204.04%20Real-World%20Problems%20and%20Significant%20Digits%20-%20Lesson%20Plan.pdf%22</v>
      </c>
      <c r="F20" s="70" t="str">
        <f aca="false">IFERROR("https://drive.google.com/file/d/"&amp;VLOOKUP("k4d6ef9f34ad6",Drive!$A:$B,2,0)&amp;"/view","https://drive.google.com/drive/search?q=title:%22A7%204.04%20Real-World%20Problems%20and%20Significant%20Digits%20-%20Question%20Bank.pdf%22")</f>
        <v>https://drive.google.com/drive/search?q=title:%22A7%204.04%20Real-World%20Problems%20and%20Significant%20Digits%20-%20Question%20Bank.pdf%22</v>
      </c>
      <c r="G20" s="70" t="str">
        <f aca="false">IFERROR("https://drive.google.com/file/d/"&amp;VLOOKUP("k964eb3594a17",Drive!$A:$B,2,0)&amp;"/view","https://drive.google.com/drive/search?q=title:%22A7%204.04%20Real-World%20Problems%20and%20Significant%20Digits%20-%20Question%20Bank%20-%20Key.pdf%22")</f>
        <v>https://drive.google.com/drive/search?q=title:%22A7%204.04%20Real-World%20Problems%20and%20Significant%20Digits%20-%20Question%20Bank%20-%20Key.pdf%22</v>
      </c>
      <c r="H20" s="70" t="str">
        <f aca="false">IFERROR("https://drive.google.com/file/d/"&amp;VLOOKUP("k90eaaafbf2f3",Drive!$A:$B,2,0)&amp;"/view","https://drive.google.com/drive/search?q=title:%22A7%204.04%20Real-World%20Problems%20and%20Significant%20Digits%20-%20Additional%20Question%20Bank.pdf%22")</f>
        <v>https://drive.google.com/drive/search?q=title:%22A7%204.04%20Real-World%20Problems%20and%20Significant%20Digits%20-%20Additional%20Question%20Bank.pdf%22</v>
      </c>
      <c r="I20" s="70" t="str">
        <f aca="false">IFERROR("https://drive.google.com/file/d/"&amp;VLOOKUP("k8c21f0d877b4",Drive!$A:$B,2,0)&amp;"/view","https://drive.google.com/drive/search?q=title:%22A7%204.04%20Real-World%20Problems%20and%20Significant%20Digits%20-%20Additional%20Question%20Bank%20-%20Key.pdf%22")</f>
        <v>https://drive.google.com/drive/search?q=title:%22A7%204.04%20Real-World%20Problems%20and%20Significant%20Digits%20-%20Additional%20Question%20Bank%20-%20Key.pdf%22</v>
      </c>
      <c r="J20" s="70" t="str">
        <f aca="false">IFERROR("https://drive.google.com/file/d/"&amp;VLOOKUP("k1e2e4a490c5e",Drive!$A:$B,2,0)&amp;"/view","https://drive.google.com/drive/search?q=title:%22A7%204.04%20Real-World%20Problems%20and%20Significant%20Digits%20-%20Independent%20Set.pdf%22")</f>
        <v>https://drive.google.com/drive/search?q=title:%22A7%204.04%20Real-World%20Problems%20and%20Significant%20Digits%20-%20Independent%20Set.pdf%22</v>
      </c>
      <c r="K20" s="70" t="str">
        <f aca="false">IFERROR("https://drive.google.com/file/d/"&amp;VLOOKUP("k033a7d08313f",Drive!$A:$B,2,0)&amp;"/view","https://drive.google.com/drive/search?q=title:%22A7%204.04%20Real-World%20Problems%20and%20Significant%20Digits%20-%20Independent%20Set%20-%20Key.pdf%22")</f>
        <v>https://drive.google.com/drive/search?q=title:%22A7%204.04%20Real-World%20Problems%20and%20Significant%20Digits%20-%20Independent%20Set%20-%20Key.pdf%22</v>
      </c>
      <c r="L20"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20" s="70" t="s">
        <v>1630</v>
      </c>
      <c r="N20" s="70"/>
      <c r="O20" s="70" t="s">
        <v>1631</v>
      </c>
      <c r="P20" s="70" t="s">
        <v>1601</v>
      </c>
      <c r="Q20" s="70" t="str">
        <f aca="false">IFERROR("https://drive.google.com/file/d/"&amp;VLOOKUP("k0dd5b368d2b0",Drive!$A:$B,2,0)&amp;"/view","https://drive.google.com/drive/search?q=title:%22A7%20Unit%204%20Solving%20Problems%20with%20Rational%20Numbers%20-%20Review%20-%20Key.pdf%22")</f>
        <v>https://drive.google.com/drive/search?q=title:%22A7%20Unit%204%20Solving%20Problems%20with%20Rational%20Numbers%20-%20Review%20-%20Key.pdf%22</v>
      </c>
    </row>
    <row r="21" customFormat="false" ht="15" hidden="false" customHeight="false" outlineLevel="0" collapsed="false">
      <c r="A21" s="71" t="n">
        <v>46316</v>
      </c>
      <c r="B21" s="70" t="str">
        <f aca="false">IFERROR("https://drive.google.com/file/d/"&amp;VLOOKUP("k04b566b6809a",Drive!$A:$B,2,0)&amp;"/view","https://drive.google.com/drive/search?q=title:%22A7%204.05%20Evaluating%20Expressions%20with%20Radicals%20-%20Slides.pdf%22")</f>
        <v>https://drive.google.com/drive/search?q=title:%22A7%204.05%20Evaluating%20Expressions%20with%20Radicals%20-%20Slides.pdf%22</v>
      </c>
      <c r="C21" s="70" t="str">
        <f aca="false">IFERROR("https://drive.google.com/file/d/"&amp;VLOOKUP("k5dbe251e44be",Drive!$A:$B,2,0)&amp;"/view","https://drive.google.com/drive/search?q=title:%22A7%204.05%20Evaluating%20Expressions%20with%20Radicals%20-%20Slides.pptx%22")</f>
        <v>https://drive.google.com/drive/search?q=title:%22A7%204.05%20Evaluating%20Expressions%20with%20Radicals%20-%20Slides.pptx%22</v>
      </c>
      <c r="D21" s="70" t="str">
        <f aca="false">IFERROR("https://drive.google.com/file/d/"&amp;VLOOKUP("k172b8c5e8d9e",Drive!$A:$B,2,0)&amp;"/view","https://drive.google.com/drive/search?q=title:%22A7%204.05%20Evaluating%20Expressions%20with%20Radicals%20-%20Teacher%20Edition.pdf%22")</f>
        <v>https://drive.google.com/drive/search?q=title:%22A7%204.05%20Evaluating%20Expressions%20with%20Radicals%20-%20Teacher%20Edition.pdf%22</v>
      </c>
      <c r="E21" s="70" t="str">
        <f aca="false">IFERROR("https://drive.google.com/file/d/"&amp;VLOOKUP("k95c48d375541",Drive!$A:$B,2,0)&amp;"/view","https://drive.google.com/drive/search?q=title:%22A7%204.05%20Evaluating%20Expressions%20with%20Radicals%20-%20Lesson%20Plan.pdf%22")</f>
        <v>https://drive.google.com/drive/search?q=title:%22A7%204.05%20Evaluating%20Expressions%20with%20Radicals%20-%20Lesson%20Plan.pdf%22</v>
      </c>
      <c r="F21" s="70" t="str">
        <f aca="false">IFERROR("https://drive.google.com/file/d/"&amp;VLOOKUP("ka4a979322eba",Drive!$A:$B,2,0)&amp;"/view","https://drive.google.com/drive/search?q=title:%22A7%204.05%20Evaluating%20Expressions%20with%20Radicals%20-%20Question%20Bank.pdf%22")</f>
        <v>https://drive.google.com/drive/search?q=title:%22A7%204.05%20Evaluating%20Expressions%20with%20Radicals%20-%20Question%20Bank.pdf%22</v>
      </c>
      <c r="G21" s="70" t="str">
        <f aca="false">IFERROR("https://drive.google.com/file/d/"&amp;VLOOKUP("kf7fb905017a3",Drive!$A:$B,2,0)&amp;"/view","https://drive.google.com/drive/search?q=title:%22A7%204.05%20Evaluating%20Expressions%20with%20Radicals%20-%20Question%20Bank%20-%20Key.pdf%22")</f>
        <v>https://drive.google.com/drive/search?q=title:%22A7%204.05%20Evaluating%20Expressions%20with%20Radicals%20-%20Question%20Bank%20-%20Key.pdf%22</v>
      </c>
      <c r="H21" s="70" t="str">
        <f aca="false">IFERROR("https://drive.google.com/file/d/"&amp;VLOOKUP("k991c8af040a4",Drive!$A:$B,2,0)&amp;"/view","https://drive.google.com/drive/search?q=title:%22A7%204.05%20Evaluating%20Expressions%20with%20Radicals%20-%20Additional%20Question%20Bank.pdf%22")</f>
        <v>https://drive.google.com/drive/search?q=title:%22A7%204.05%20Evaluating%20Expressions%20with%20Radicals%20-%20Additional%20Question%20Bank.pdf%22</v>
      </c>
      <c r="I21" s="70" t="str">
        <f aca="false">IFERROR("https://drive.google.com/file/d/"&amp;VLOOKUP("k6f7a5015967c",Drive!$A:$B,2,0)&amp;"/view","https://drive.google.com/drive/search?q=title:%22A7%204.05%20Evaluating%20Expressions%20with%20Radicals%20-%20Additional%20Question%20Bank%20-%20Key.pdf%22")</f>
        <v>https://drive.google.com/drive/search?q=title:%22A7%204.05%20Evaluating%20Expressions%20with%20Radicals%20-%20Additional%20Question%20Bank%20-%20Key.pdf%22</v>
      </c>
      <c r="J21" s="70" t="str">
        <f aca="false">IFERROR("https://drive.google.com/file/d/"&amp;VLOOKUP("k57e6fd0dd477",Drive!$A:$B,2,0)&amp;"/view","https://drive.google.com/drive/search?q=title:%22A7%204.05%20Evaluating%20Expressions%20with%20Radicals%20-%20Independent%20Set.pdf%22")</f>
        <v>https://drive.google.com/drive/search?q=title:%22A7%204.05%20Evaluating%20Expressions%20with%20Radicals%20-%20Independent%20Set.pdf%22</v>
      </c>
      <c r="K21" s="70" t="str">
        <f aca="false">IFERROR("https://drive.google.com/file/d/"&amp;VLOOKUP("kb827ccdbab7c",Drive!$A:$B,2,0)&amp;"/view","https://drive.google.com/drive/search?q=title:%22A7%204.05%20Evaluating%20Expressions%20with%20Radicals%20-%20Independent%20Set%20-%20Key.pdf%22")</f>
        <v>https://drive.google.com/drive/search?q=title:%22A7%204.05%20Evaluating%20Expressions%20with%20Radicals%20-%20Independent%20Set%20-%20Key.pdf%22</v>
      </c>
      <c r="L21"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21" s="70" t="s">
        <v>1632</v>
      </c>
      <c r="N21" s="70"/>
      <c r="O21" s="70" t="s">
        <v>1633</v>
      </c>
      <c r="P21" s="70" t="s">
        <v>1601</v>
      </c>
      <c r="Q21" s="70" t="str">
        <f aca="false">IFERROR("https://drive.google.com/file/d/"&amp;VLOOKUP("kdb2536de7152",Drive!$A:$B,2,0)&amp;"/view","https://drive.google.com/drive/search?q=title:%22A7%20Unit%204%20Solving%20Problems%20with%20Rational%20Numbers%20-%20Reference%20Sheet.pdf%22")</f>
        <v>https://drive.google.com/drive/search?q=title:%22A7%20Unit%204%20Solving%20Problems%20with%20Rational%20Numbers%20-%20Reference%20Sheet.pdf%22</v>
      </c>
    </row>
    <row r="22" customFormat="false" ht="15" hidden="false" customHeight="false" outlineLevel="0" collapsed="false">
      <c r="A22" s="71" t="n">
        <v>46317</v>
      </c>
      <c r="B22" s="70" t="str">
        <f aca="false">IFERROR("https://drive.google.com/file/d/"&amp;VLOOKUP("kbc450a2d5e52",Drive!$A:$B,2,0)&amp;"/view","https://drive.google.com/drive/search?q=title:%22A7%204.06%20Order%20of%20Operations%20with%20Radicals%20-%20Slides.pdf%22")</f>
        <v>https://drive.google.com/drive/search?q=title:%22A7%204.06%20Order%20of%20Operations%20with%20Radicals%20-%20Slides.pdf%22</v>
      </c>
      <c r="C22" s="70" t="str">
        <f aca="false">IFERROR("https://drive.google.com/file/d/"&amp;VLOOKUP("k762fd61d3ced",Drive!$A:$B,2,0)&amp;"/view","https://drive.google.com/drive/search?q=title:%22A7%204.06%20Order%20of%20Operations%20with%20Radicals%20-%20Slides.pptx%22")</f>
        <v>https://drive.google.com/drive/search?q=title:%22A7%204.06%20Order%20of%20Operations%20with%20Radicals%20-%20Slides.pptx%22</v>
      </c>
      <c r="D22" s="70" t="str">
        <f aca="false">IFERROR("https://drive.google.com/file/d/"&amp;VLOOKUP("kae51548a42aa",Drive!$A:$B,2,0)&amp;"/view","https://drive.google.com/drive/search?q=title:%22A7%204.06%20Order%20of%20Operations%20with%20Radicals%20-%20Teacher%20Edition.pdf%22")</f>
        <v>https://drive.google.com/drive/search?q=title:%22A7%204.06%20Order%20of%20Operations%20with%20Radicals%20-%20Teacher%20Edition.pdf%22</v>
      </c>
      <c r="E22" s="70" t="str">
        <f aca="false">IFERROR("https://drive.google.com/file/d/"&amp;VLOOKUP("k494bf59b698a",Drive!$A:$B,2,0)&amp;"/view","https://drive.google.com/drive/search?q=title:%22A7%204.06%20Order%20of%20Operations%20with%20Radicals%20-%20Lesson%20Plan.pdf%22")</f>
        <v>https://drive.google.com/drive/search?q=title:%22A7%204.06%20Order%20of%20Operations%20with%20Radicals%20-%20Lesson%20Plan.pdf%22</v>
      </c>
      <c r="F22" s="70" t="str">
        <f aca="false">IFERROR("https://drive.google.com/file/d/"&amp;VLOOKUP("k56eeb255aa11",Drive!$A:$B,2,0)&amp;"/view","https://drive.google.com/drive/search?q=title:%22A7%204.06%20Order%20of%20Operations%20with%20Radicals%20-%20Question%20Bank.pdf%22")</f>
        <v>https://drive.google.com/drive/search?q=title:%22A7%204.06%20Order%20of%20Operations%20with%20Radicals%20-%20Question%20Bank.pdf%22</v>
      </c>
      <c r="G22" s="70" t="str">
        <f aca="false">IFERROR("https://drive.google.com/file/d/"&amp;VLOOKUP("k0799527c516b",Drive!$A:$B,2,0)&amp;"/view","https://drive.google.com/drive/search?q=title:%22A7%204.06%20Order%20of%20Operations%20with%20Radicals%20-%20Question%20Bank%20-%20Key.pdf%22")</f>
        <v>https://drive.google.com/drive/search?q=title:%22A7%204.06%20Order%20of%20Operations%20with%20Radicals%20-%20Question%20Bank%20-%20Key.pdf%22</v>
      </c>
      <c r="H22" s="70" t="str">
        <f aca="false">IFERROR("https://drive.google.com/file/d/"&amp;VLOOKUP("kcf10d380dad7",Drive!$A:$B,2,0)&amp;"/view","https://drive.google.com/drive/search?q=title:%22A7%204.06%20Order%20of%20Operations%20with%20Radicals%20-%20Additional%20Question%20Bank.pdf%22")</f>
        <v>https://drive.google.com/drive/search?q=title:%22A7%204.06%20Order%20of%20Operations%20with%20Radicals%20-%20Additional%20Question%20Bank.pdf%22</v>
      </c>
      <c r="I22" s="70" t="str">
        <f aca="false">IFERROR("https://drive.google.com/file/d/"&amp;VLOOKUP("k759c1e4edf30",Drive!$A:$B,2,0)&amp;"/view","https://drive.google.com/drive/search?q=title:%22A7%204.06%20Order%20of%20Operations%20with%20Radicals%20-%20Additional%20Question%20Bank%20-%20Key.pdf%22")</f>
        <v>https://drive.google.com/drive/search?q=title:%22A7%204.06%20Order%20of%20Operations%20with%20Radicals%20-%20Additional%20Question%20Bank%20-%20Key.pdf%22</v>
      </c>
      <c r="J22" s="70" t="str">
        <f aca="false">IFERROR("https://drive.google.com/file/d/"&amp;VLOOKUP("kbdc26046af27",Drive!$A:$B,2,0)&amp;"/view","https://drive.google.com/drive/search?q=title:%22A7%204.06%20Order%20of%20Operations%20with%20Radicals%20-%20Independent%20Set.pdf%22")</f>
        <v>https://drive.google.com/drive/search?q=title:%22A7%204.06%20Order%20of%20Operations%20with%20Radicals%20-%20Independent%20Set.pdf%22</v>
      </c>
      <c r="K22" s="70" t="str">
        <f aca="false">IFERROR("https://drive.google.com/file/d/"&amp;VLOOKUP("kcce89b02d0fd",Drive!$A:$B,2,0)&amp;"/view","https://drive.google.com/drive/search?q=title:%22A7%204.06%20Order%20of%20Operations%20with%20Radicals%20-%20Independent%20Set%20-%20Key.pdf%22")</f>
        <v>https://drive.google.com/drive/search?q=title:%22A7%204.06%20Order%20of%20Operations%20with%20Radicals%20-%20Independent%20Set%20-%20Key.pdf%22</v>
      </c>
      <c r="L22"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22" s="70" t="s">
        <v>1634</v>
      </c>
      <c r="N22" s="70"/>
      <c r="O22" s="70" t="s">
        <v>1635</v>
      </c>
      <c r="P22" s="70" t="s">
        <v>1636</v>
      </c>
      <c r="Q22" s="70" t="str">
        <f aca="false">IFERROR("https://drive.google.com/drive/folders/"&amp;VLOOKUP("k2f48d7f422a9",Drive!$A:$B,2,0),"https://drive.google.com/drive/search?q=title:%22A7%20Unit%201%20-%20Equations%20and%20Inequalities%22%20type:folder")</f>
        <v>https://drive.google.com/drive/search?q=title:%22A7%20Unit%201%20-%20Equations%20and%20Inequalities%22%20type:folder</v>
      </c>
    </row>
    <row r="23" customFormat="false" ht="15" hidden="false" customHeight="false" outlineLevel="0" collapsed="false">
      <c r="A23" s="71" t="n">
        <v>46318</v>
      </c>
      <c r="B23" s="70" t="str">
        <f aca="false">IFERROR("https://drive.google.com/file/d/"&amp;VLOOKUP("kd64c18c22eb8",Drive!$A:$B,2,0)&amp;"/view","https://drive.google.com/drive/search?q=title:%22A7%204.07%20Real-World%20Order%20of%20Operations%20-%20Slides.pdf%22")</f>
        <v>https://drive.google.com/drive/search?q=title:%22A7%204.07%20Real-World%20Order%20of%20Operations%20-%20Slides.pdf%22</v>
      </c>
      <c r="C23" s="70" t="str">
        <f aca="false">IFERROR("https://drive.google.com/file/d/"&amp;VLOOKUP("k6a42d23ed2ec",Drive!$A:$B,2,0)&amp;"/view","https://drive.google.com/drive/search?q=title:%22A7%204.07%20Real-World%20Order%20of%20Operations%20-%20Slides.pptx%22")</f>
        <v>https://drive.google.com/drive/search?q=title:%22A7%204.07%20Real-World%20Order%20of%20Operations%20-%20Slides.pptx%22</v>
      </c>
      <c r="D23" s="70" t="str">
        <f aca="false">IFERROR("https://drive.google.com/file/d/"&amp;VLOOKUP("ke9304e887c6c",Drive!$A:$B,2,0)&amp;"/view","https://drive.google.com/drive/search?q=title:%22A7%204.07%20Real-World%20Order%20of%20Operations%20-%20Teacher%20Edition.pdf%22")</f>
        <v>https://drive.google.com/drive/search?q=title:%22A7%204.07%20Real-World%20Order%20of%20Operations%20-%20Teacher%20Edition.pdf%22</v>
      </c>
      <c r="E23" s="70" t="str">
        <f aca="false">IFERROR("https://drive.google.com/file/d/"&amp;VLOOKUP("kd1fe15f95112",Drive!$A:$B,2,0)&amp;"/view","https://drive.google.com/drive/search?q=title:%22A7%204.07%20Real-World%20Order%20of%20Operations%20-%20Lesson%20Plan.pdf%22")</f>
        <v>https://drive.google.com/drive/search?q=title:%22A7%204.07%20Real-World%20Order%20of%20Operations%20-%20Lesson%20Plan.pdf%22</v>
      </c>
      <c r="F23" s="70" t="str">
        <f aca="false">IFERROR("https://drive.google.com/file/d/"&amp;VLOOKUP("kf80d7216fc5d",Drive!$A:$B,2,0)&amp;"/view","https://drive.google.com/drive/search?q=title:%22A7%204.07%20Real-World%20Order%20of%20Operations%20-%20Question%20Bank.pdf%22")</f>
        <v>https://drive.google.com/drive/search?q=title:%22A7%204.07%20Real-World%20Order%20of%20Operations%20-%20Question%20Bank.pdf%22</v>
      </c>
      <c r="G23" s="70" t="str">
        <f aca="false">IFERROR("https://drive.google.com/file/d/"&amp;VLOOKUP("k009f6577875c",Drive!$A:$B,2,0)&amp;"/view","https://drive.google.com/drive/search?q=title:%22A7%204.07%20Real-World%20Order%20of%20Operations%20-%20Question%20Bank%20-%20Key.pdf%22")</f>
        <v>https://drive.google.com/drive/search?q=title:%22A7%204.07%20Real-World%20Order%20of%20Operations%20-%20Question%20Bank%20-%20Key.pdf%22</v>
      </c>
      <c r="H23" s="70" t="str">
        <f aca="false">IFERROR("https://drive.google.com/file/d/"&amp;VLOOKUP("kffb7496bbbd0",Drive!$A:$B,2,0)&amp;"/view","https://drive.google.com/drive/search?q=title:%22A7%204.07%20Real-World%20Order%20of%20Operations%20-%20Additional%20Question%20Bank.pdf%22")</f>
        <v>https://drive.google.com/drive/search?q=title:%22A7%204.07%20Real-World%20Order%20of%20Operations%20-%20Additional%20Question%20Bank.pdf%22</v>
      </c>
      <c r="I23" s="70" t="str">
        <f aca="false">IFERROR("https://drive.google.com/file/d/"&amp;VLOOKUP("k5540d8f54bc2",Drive!$A:$B,2,0)&amp;"/view","https://drive.google.com/drive/search?q=title:%22A7%204.07%20Real-World%20Order%20of%20Operations%20-%20Additional%20Question%20Bank%20-%20Key.pdf%22")</f>
        <v>https://drive.google.com/drive/search?q=title:%22A7%204.07%20Real-World%20Order%20of%20Operations%20-%20Additional%20Question%20Bank%20-%20Key.pdf%22</v>
      </c>
      <c r="J23" s="70" t="str">
        <f aca="false">IFERROR("https://drive.google.com/file/d/"&amp;VLOOKUP("k0796222f72b3",Drive!$A:$B,2,0)&amp;"/view","https://drive.google.com/drive/search?q=title:%22A7%204.07%20Real-World%20Order%20of%20Operations%20-%20Independent%20Set.pdf%22")</f>
        <v>https://drive.google.com/drive/search?q=title:%22A7%204.07%20Real-World%20Order%20of%20Operations%20-%20Independent%20Set.pdf%22</v>
      </c>
      <c r="K23" s="70" t="str">
        <f aca="false">IFERROR("https://drive.google.com/file/d/"&amp;VLOOKUP("kf209b016fa48",Drive!$A:$B,2,0)&amp;"/view","https://drive.google.com/drive/search?q=title:%22A7%204.07%20Real-World%20Order%20of%20Operations%20-%20Independent%20Set%20-%20Key.pdf%22")</f>
        <v>https://drive.google.com/drive/search?q=title:%22A7%204.07%20Real-World%20Order%20of%20Operations%20-%20Independent%20Set%20-%20Key.pdf%22</v>
      </c>
      <c r="L23"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23" s="70" t="s">
        <v>1637</v>
      </c>
      <c r="N23" s="70"/>
      <c r="O23" s="70" t="s">
        <v>1638</v>
      </c>
      <c r="P23" s="70" t="s">
        <v>1601</v>
      </c>
      <c r="Q23" s="70" t="str">
        <f aca="false">IFERROR("https://drive.google.com/file/d/"&amp;VLOOKUP("k8fdeab195866",Drive!$A:$B,2,0)&amp;"/view","https://drive.google.com/drive/search?q=title:%22A7%20Unit%201%20-%20Equations%20and%20Inequalities%22%20type:folder")</f>
        <v>https://drive.google.com/drive/search?q=title:%22A7%20Unit%201%20-%20Equations%20and%20Inequalities%22%20type:folder</v>
      </c>
    </row>
    <row r="24" customFormat="false" ht="15" hidden="false" customHeight="false" outlineLevel="0" collapsed="false">
      <c r="A24" s="71" t="n">
        <v>46321</v>
      </c>
      <c r="B24" s="70" t="str">
        <f aca="false">IFERROR("https://drive.google.com/file/d/"&amp;VLOOKUP("k7c17b9b2eea3",Drive!$A:$B,2,0)&amp;"/view","https://drive.google.com/drive/search?q=title:%22A7%20Unit%204%20Solving%20Problems%20with%20Rational%20Numbers%20-%20Test.pdf%22")</f>
        <v>https://drive.google.com/drive/search?q=title:%22A7%20Unit%204%20Solving%20Problems%20with%20Rational%20Numbers%20-%20Test.pdf%22</v>
      </c>
      <c r="C24" s="70"/>
      <c r="D24" s="70"/>
      <c r="E24" s="70"/>
      <c r="F24" s="70"/>
      <c r="G24" s="70" t="str">
        <f aca="false">IFERROR("https://drive.google.com/file/d/"&amp;VLOOKUP("k584fc57b9722",Drive!$A:$B,2,0)&amp;"/view","https://drive.google.com/drive/search?q=title:%22A7%20Unit%204%20Solving%20Problems%20with%20Rational%20Numbers%20-%20Test%20-%20Key.pdf%22")</f>
        <v>https://drive.google.com/drive/search?q=title:%22A7%20Unit%204%20Solving%20Problems%20with%20Rational%20Numbers%20-%20Test%20-%20Key.pdf%22</v>
      </c>
      <c r="H24" s="70"/>
      <c r="I24" s="70"/>
      <c r="J24" s="70"/>
      <c r="K24" s="70"/>
      <c r="L24"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24" s="70"/>
      <c r="N24" s="70"/>
      <c r="O24" s="70" t="s">
        <v>1639</v>
      </c>
      <c r="P24" s="70" t="s">
        <v>1601</v>
      </c>
      <c r="Q24" s="70" t="str">
        <f aca="false">IFERROR("https://drive.google.com/file/d/"&amp;VLOOKUP("k05aafdefef87",Drive!$A:$B,2,0)&amp;"/view","https://drive.google.com/drive/search?q=title:%22A7%20Unit%201%20Equations%20and%20Inequalities%20-%20Reference%20Sheet.pdf%22")</f>
        <v>https://drive.google.com/drive/search?q=title:%22A7%20Unit%201%20Equations%20and%20Inequalities%20-%20Reference%20Sheet.pdf%22</v>
      </c>
    </row>
    <row r="25" customFormat="false" ht="15" hidden="false" customHeight="false" outlineLevel="0" collapsed="false">
      <c r="A25" s="71" t="n">
        <v>46322</v>
      </c>
      <c r="B25" s="70" t="str">
        <f aca="false">IFERROR("https://drive.google.com/file/d/"&amp;VLOOKUP("k7c17b9b2eea3",Drive!$A:$B,2,0)&amp;"/view","https://drive.google.com/drive/search?q=title:%22A7%20Unit%204%20Solving%20Problems%20with%20Rational%20Numbers%20-%20Test.pdf%22")</f>
        <v>https://drive.google.com/drive/search?q=title:%22A7%20Unit%204%20Solving%20Problems%20with%20Rational%20Numbers%20-%20Test.pdf%22</v>
      </c>
      <c r="C25" s="70"/>
      <c r="D25" s="70"/>
      <c r="E25" s="70"/>
      <c r="F25" s="70"/>
      <c r="G25" s="70" t="str">
        <f aca="false">IFERROR("https://drive.google.com/file/d/"&amp;VLOOKUP("k584fc57b9722",Drive!$A:$B,2,0)&amp;"/view","https://drive.google.com/drive/search?q=title:%22A7%20Unit%204%20Solving%20Problems%20with%20Rational%20Numbers%20-%20Test%20-%20Key.pdf%22")</f>
        <v>https://drive.google.com/drive/search?q=title:%22A7%20Unit%204%20Solving%20Problems%20with%20Rational%20Numbers%20-%20Test%20-%20Key.pdf%22</v>
      </c>
      <c r="H25" s="70"/>
      <c r="I25" s="70"/>
      <c r="J25" s="70"/>
      <c r="K25" s="70"/>
      <c r="L25"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c r="M25" s="70"/>
      <c r="N25" s="70"/>
      <c r="O25" s="70" t="s">
        <v>1640</v>
      </c>
      <c r="P25" s="70" t="s">
        <v>1601</v>
      </c>
      <c r="Q25" s="70" t="str">
        <f aca="false">IFERROR("https://drive.google.com/file/d/"&amp;VLOOKUP("k4e34d1ba5135",Drive!$A:$B,2,0)&amp;"/view","https://drive.google.com/drive/search?q=title:%22A7%20Unit%201%20Equations%20and%20Inequalities%20-%20Review.pdf%22")</f>
        <v>https://drive.google.com/drive/search?q=title:%22A7%20Unit%201%20Equations%20and%20Inequalities%20-%20Review.pdf%22</v>
      </c>
    </row>
    <row r="26" customFormat="false" ht="15" hidden="false" customHeight="false" outlineLevel="0" collapsed="false">
      <c r="A26" s="71" t="n">
        <v>46323</v>
      </c>
      <c r="B26" s="70"/>
      <c r="C26" s="70"/>
      <c r="D26" s="70"/>
      <c r="E26" s="70"/>
      <c r="F26" s="70"/>
      <c r="G26" s="70"/>
      <c r="H26" s="70"/>
      <c r="I26" s="70"/>
      <c r="J26" s="70"/>
      <c r="K26" s="70"/>
      <c r="L26" s="70"/>
      <c r="M26" s="70" t="s">
        <v>1641</v>
      </c>
      <c r="N26" s="70"/>
      <c r="O26" s="70" t="s">
        <v>1642</v>
      </c>
      <c r="P26" s="70" t="s">
        <v>1601</v>
      </c>
      <c r="Q26" s="70" t="str">
        <f aca="false">IFERROR("https://drive.google.com/file/d/"&amp;VLOOKUP("k654621d73a39",Drive!$A:$B,2,0)&amp;"/view","https://drive.google.com/drive/search?q=title:%22A7%20Unit%201%20Equations%20and%20Inequalities%20-%20Review%20-%20Key.pdf%22")</f>
        <v>https://drive.google.com/drive/search?q=title:%22A7%20Unit%201%20Equations%20and%20Inequalities%20-%20Review%20-%20Key.pdf%22</v>
      </c>
    </row>
    <row r="27" customFormat="false" ht="15" hidden="false" customHeight="false" outlineLevel="0" collapsed="false">
      <c r="A27" s="71" t="n">
        <v>46324</v>
      </c>
      <c r="B27" s="70"/>
      <c r="C27" s="70"/>
      <c r="D27" s="70"/>
      <c r="E27" s="70"/>
      <c r="F27" s="70"/>
      <c r="G27" s="70"/>
      <c r="H27" s="70"/>
      <c r="I27" s="70"/>
      <c r="J27" s="70"/>
      <c r="K27" s="70"/>
      <c r="L27" s="70"/>
      <c r="M27" s="70" t="s">
        <v>1643</v>
      </c>
      <c r="N27" s="70"/>
      <c r="O27" s="70" t="s">
        <v>1644</v>
      </c>
      <c r="P27" s="70" t="s">
        <v>1601</v>
      </c>
      <c r="Q27" s="70" t="str">
        <f aca="false">IFERROR("https://drive.google.com/file/d/"&amp;VLOOKUP("k999a58eef73f",Drive!$A:$B,2,0)&amp;"/view","https://drive.google.com/drive/search?q=title:%22A7%20Unit%201%20Equations%20and%20Inequalities%20-%20Test.pdf%22")</f>
        <v>https://drive.google.com/drive/search?q=title:%22A7%20Unit%201%20Equations%20and%20Inequalities%20-%20Test.pdf%22</v>
      </c>
    </row>
    <row r="28" customFormat="false" ht="15" hidden="false" customHeight="false" outlineLevel="0" collapsed="false">
      <c r="A28" s="71" t="n">
        <v>46325</v>
      </c>
      <c r="B28" s="70"/>
      <c r="C28" s="70"/>
      <c r="D28" s="70"/>
      <c r="E28" s="70"/>
      <c r="F28" s="70"/>
      <c r="G28" s="70"/>
      <c r="H28" s="70"/>
      <c r="I28" s="70"/>
      <c r="J28" s="70"/>
      <c r="K28" s="70"/>
      <c r="L28" s="70"/>
      <c r="M28" s="70" t="s">
        <v>1645</v>
      </c>
      <c r="N28" s="70"/>
      <c r="O28" s="70" t="s">
        <v>1646</v>
      </c>
      <c r="P28" s="70" t="s">
        <v>1601</v>
      </c>
      <c r="Q28" s="70" t="str">
        <f aca="false">IFERROR("https://drive.google.com/file/d/"&amp;VLOOKUP("k6b0883f744a4",Drive!$A:$B,2,0)&amp;"/view","https://drive.google.com/drive/search?q=title:%22A7%20Unit%201%20Equations%20and%20Inequalities%20-%20Test%20-%20Key.pdf%22")</f>
        <v>https://drive.google.com/drive/search?q=title:%22A7%20Unit%201%20Equations%20and%20Inequalities%20-%20Test%20-%20Key.pdf%22</v>
      </c>
    </row>
    <row r="29" customFormat="false" ht="15" hidden="false" customHeight="false" outlineLevel="0" collapsed="false">
      <c r="A29" s="71" t="n">
        <v>46328</v>
      </c>
      <c r="B29" s="70"/>
      <c r="C29" s="70"/>
      <c r="D29" s="70"/>
      <c r="E29" s="70"/>
      <c r="F29" s="70"/>
      <c r="G29" s="70"/>
      <c r="H29" s="70"/>
      <c r="I29" s="70"/>
      <c r="J29" s="70"/>
      <c r="K29" s="70"/>
      <c r="L29" s="70"/>
      <c r="M29" s="70" t="s">
        <v>1647</v>
      </c>
      <c r="N29" s="70"/>
      <c r="O29" s="70" t="s">
        <v>1648</v>
      </c>
      <c r="P29" s="70" t="s">
        <v>1636</v>
      </c>
      <c r="Q29" s="70" t="str">
        <f aca="false">IFERROR("https://drive.google.com/drive/folders/"&amp;VLOOKUP("k2ed79628bc59",Drive!$A:$B,2,0),"https://drive.google.com/drive/search?q=title:%22A7%20Unit%201%20-%20Equations%20and%20Inequalities%22%20type:folder")</f>
        <v>https://drive.google.com/drive/search?q=title:%22A7%20Unit%201%20-%20Equations%20and%20Inequalities%22%20type:folder</v>
      </c>
    </row>
    <row r="30" customFormat="false" ht="15" hidden="false" customHeight="false" outlineLevel="0" collapsed="false">
      <c r="A30" s="71" t="n">
        <v>46329</v>
      </c>
      <c r="B30" s="70"/>
      <c r="C30" s="70"/>
      <c r="D30" s="70"/>
      <c r="E30" s="70"/>
      <c r="F30" s="70"/>
      <c r="G30" s="70"/>
      <c r="H30" s="70"/>
      <c r="I30" s="70"/>
      <c r="J30" s="70"/>
      <c r="K30" s="70"/>
      <c r="L30" s="70"/>
      <c r="M30" s="70" t="s">
        <v>1649</v>
      </c>
      <c r="N30" s="70"/>
      <c r="O30" s="70" t="s">
        <v>1650</v>
      </c>
      <c r="P30" s="70" t="s">
        <v>1636</v>
      </c>
      <c r="Q30" s="70" t="str">
        <f aca="false">IFERROR("https://drive.google.com/drive/folders/"&amp;VLOOKUP("kf1ee50ed8929",Drive!$A:$B,2,0),"https://drive.google.com/drive/search?q=title:%22A7%20Unit%202%20-%20Real%20Numbers%2C%20Square%20Roots%20and%20Cube%20Roots%22%20type:folder")</f>
        <v>https://drive.google.com/drive/search?q=title:%22A7%20Unit%202%20-%20Real%20Numbers%2C%20Square%20Roots%20and%20Cube%20Roots%22%20type:folder</v>
      </c>
    </row>
    <row r="31" customFormat="false" ht="15" hidden="false" customHeight="false" outlineLevel="0" collapsed="false">
      <c r="A31" s="71" t="n">
        <v>46330</v>
      </c>
      <c r="B31" s="70"/>
      <c r="C31" s="70"/>
      <c r="D31" s="70"/>
      <c r="E31" s="70"/>
      <c r="F31" s="70"/>
      <c r="G31" s="70"/>
      <c r="H31" s="70"/>
      <c r="I31" s="70"/>
      <c r="J31" s="70"/>
      <c r="K31" s="70"/>
      <c r="L31" s="70"/>
      <c r="M31" s="70" t="s">
        <v>1651</v>
      </c>
      <c r="N31" s="70"/>
      <c r="O31" s="70" t="s">
        <v>1652</v>
      </c>
      <c r="P31" s="70" t="s">
        <v>1601</v>
      </c>
      <c r="Q31" s="70" t="str">
        <f aca="false">IFERROR("https://drive.google.com/file/d/"&amp;VLOOKUP("k749da75b36af",Drive!$A:$B,2,0)&amp;"/view","https://drive.google.com/drive/search?q=title:%22A7%20Unit%202%20-%20Real%20Numbers%2C%20Square%20Roots%20and%20Cube%20Roots%22%20type:folder")</f>
        <v>https://drive.google.com/drive/search?q=title:%22A7%20Unit%202%20-%20Real%20Numbers%2C%20Square%20Roots%20and%20Cube%20Roots%22%20type:folder</v>
      </c>
    </row>
    <row r="32" customFormat="false" ht="15" hidden="false" customHeight="false" outlineLevel="0" collapsed="false">
      <c r="A32" s="71" t="n">
        <v>46331</v>
      </c>
      <c r="B32" s="70"/>
      <c r="C32" s="70"/>
      <c r="D32" s="70"/>
      <c r="E32" s="70"/>
      <c r="F32" s="70"/>
      <c r="G32" s="70"/>
      <c r="H32" s="70"/>
      <c r="I32" s="70"/>
      <c r="J32" s="70"/>
      <c r="K32" s="70"/>
      <c r="L32" s="70"/>
      <c r="M32" s="70"/>
      <c r="N32" s="70"/>
      <c r="O32" s="70" t="s">
        <v>1653</v>
      </c>
      <c r="P32" s="70" t="s">
        <v>1601</v>
      </c>
      <c r="Q32" s="70" t="str">
        <f aca="false">IFERROR("https://drive.google.com/file/d/"&amp;VLOOKUP("k509a716d7468",Drive!$A:$B,2,0)&amp;"/view","https://drive.google.com/drive/search?q=title:%22A7%20Unit%202%20Real%20Numbers%2C%20Square%20Roots%20and%20Cube%20Roots%20-%20Reference%20Sheet.pdf%22")</f>
        <v>https://drive.google.com/drive/search?q=title:%22A7%20Unit%202%20Real%20Numbers%2C%20Square%20Roots%20and%20Cube%20Roots%20-%20Reference%20Sheet.pdf%22</v>
      </c>
    </row>
    <row r="33" customFormat="false" ht="15" hidden="false" customHeight="false" outlineLevel="0" collapsed="false">
      <c r="A33" s="71" t="n">
        <v>46332</v>
      </c>
      <c r="B33" s="70"/>
      <c r="C33" s="70"/>
      <c r="D33" s="70"/>
      <c r="E33" s="70"/>
      <c r="F33" s="70"/>
      <c r="G33" s="70"/>
      <c r="H33" s="70"/>
      <c r="I33" s="70"/>
      <c r="J33" s="70"/>
      <c r="K33" s="70"/>
      <c r="L33" s="70"/>
      <c r="M33" s="70"/>
      <c r="N33" s="70"/>
      <c r="O33" s="70" t="s">
        <v>1654</v>
      </c>
      <c r="P33" s="70" t="s">
        <v>1601</v>
      </c>
      <c r="Q33" s="70" t="str">
        <f aca="false">IFERROR("https://drive.google.com/file/d/"&amp;VLOOKUP("k4c613b2b0958",Drive!$A:$B,2,0)&amp;"/view","https://drive.google.com/drive/search?q=title:%22A7%20Unit%202%20Real%20Numbers%2C%20Square%20Roots%20and%20Cube%20Roots%20-%20Review.pdf%22")</f>
        <v>https://drive.google.com/drive/search?q=title:%22A7%20Unit%202%20Real%20Numbers%2C%20Square%20Roots%20and%20Cube%20Roots%20-%20Review.pdf%22</v>
      </c>
    </row>
    <row r="34" customFormat="false" ht="15" hidden="false" customHeight="false" outlineLevel="0" collapsed="false">
      <c r="A34" s="71" t="n">
        <v>46335</v>
      </c>
      <c r="B34" s="70"/>
      <c r="C34" s="70"/>
      <c r="D34" s="70"/>
      <c r="E34" s="70"/>
      <c r="F34" s="70"/>
      <c r="G34" s="70"/>
      <c r="H34" s="70"/>
      <c r="I34" s="70"/>
      <c r="J34" s="70"/>
      <c r="K34" s="70"/>
      <c r="L34" s="70"/>
      <c r="M34" s="70" t="s">
        <v>1655</v>
      </c>
      <c r="N34" s="70"/>
      <c r="O34" s="70" t="s">
        <v>1656</v>
      </c>
      <c r="P34" s="70" t="s">
        <v>1601</v>
      </c>
      <c r="Q34" s="70" t="str">
        <f aca="false">IFERROR("https://drive.google.com/file/d/"&amp;VLOOKUP("kd60a700332eb",Drive!$A:$B,2,0)&amp;"/view","https://drive.google.com/drive/search?q=title:%22A7%20Unit%202%20Real%20Numbers%2C%20Square%20Roots%20and%20Cube%20Roots%20-%20Review%20-%20Key.pdf%22")</f>
        <v>https://drive.google.com/drive/search?q=title:%22A7%20Unit%202%20Real%20Numbers%2C%20Square%20Roots%20and%20Cube%20Roots%20-%20Review%20-%20Key.pdf%22</v>
      </c>
    </row>
    <row r="35" customFormat="false" ht="15" hidden="false" customHeight="false" outlineLevel="0" collapsed="false">
      <c r="A35" s="71" t="n">
        <v>46336</v>
      </c>
      <c r="B35" s="70"/>
      <c r="C35" s="70"/>
      <c r="D35" s="70"/>
      <c r="E35" s="70"/>
      <c r="F35" s="70"/>
      <c r="G35" s="70"/>
      <c r="H35" s="70"/>
      <c r="I35" s="70"/>
      <c r="J35" s="70"/>
      <c r="K35" s="70"/>
      <c r="L35" s="70"/>
      <c r="M35" s="70" t="s">
        <v>1657</v>
      </c>
      <c r="N35" s="70"/>
      <c r="O35" s="70" t="s">
        <v>1658</v>
      </c>
      <c r="P35" s="70" t="s">
        <v>1601</v>
      </c>
      <c r="Q35" s="70" t="str">
        <f aca="false">IFERROR("https://drive.google.com/file/d/"&amp;VLOOKUP("k0fe1632a0900",Drive!$A:$B,2,0)&amp;"/view","https://drive.google.com/drive/search?q=title:%22A7%20Unit%202%20Real%20Numbers%2C%20Square%20Roots%20and%20Cube%20Roots%20-%20Test.pdf%22")</f>
        <v>https://drive.google.com/drive/search?q=title:%22A7%20Unit%202%20Real%20Numbers%2C%20Square%20Roots%20and%20Cube%20Roots%20-%20Test.pdf%22</v>
      </c>
    </row>
    <row r="36" customFormat="false" ht="15" hidden="false" customHeight="false" outlineLevel="0" collapsed="false">
      <c r="A36" s="71" t="n">
        <v>46338</v>
      </c>
      <c r="B36" s="70"/>
      <c r="C36" s="70"/>
      <c r="D36" s="70"/>
      <c r="E36" s="70"/>
      <c r="F36" s="70"/>
      <c r="G36" s="70"/>
      <c r="H36" s="70"/>
      <c r="I36" s="70"/>
      <c r="J36" s="70"/>
      <c r="K36" s="70"/>
      <c r="L36" s="70"/>
      <c r="M36" s="70" t="s">
        <v>1659</v>
      </c>
      <c r="N36" s="70"/>
      <c r="O36" s="70" t="s">
        <v>1660</v>
      </c>
      <c r="P36" s="70" t="s">
        <v>1601</v>
      </c>
      <c r="Q36" s="70" t="str">
        <f aca="false">IFERROR("https://drive.google.com/file/d/"&amp;VLOOKUP("kadb8b2686141",Drive!$A:$B,2,0)&amp;"/view","https://drive.google.com/drive/search?q=title:%22A7%20Unit%202%20Real%20Numbers%2C%20Square%20Roots%20and%20Cube%20Roots%20-%20Test%20-%20Key.pdf%22")</f>
        <v>https://drive.google.com/drive/search?q=title:%22A7%20Unit%202%20Real%20Numbers%2C%20Square%20Roots%20and%20Cube%20Roots%20-%20Test%20-%20Key.pdf%22</v>
      </c>
    </row>
    <row r="37" customFormat="false" ht="15" hidden="false" customHeight="false" outlineLevel="0" collapsed="false">
      <c r="A37" s="71" t="n">
        <v>46339</v>
      </c>
      <c r="B37" s="70"/>
      <c r="C37" s="70"/>
      <c r="D37" s="70"/>
      <c r="E37" s="70"/>
      <c r="F37" s="70"/>
      <c r="G37" s="70"/>
      <c r="H37" s="70"/>
      <c r="I37" s="70"/>
      <c r="J37" s="70"/>
      <c r="K37" s="70"/>
      <c r="L37" s="70"/>
      <c r="M37" s="70" t="s">
        <v>1661</v>
      </c>
      <c r="N37" s="70"/>
      <c r="O37" s="70" t="s">
        <v>1662</v>
      </c>
      <c r="P37" s="70" t="s">
        <v>1636</v>
      </c>
      <c r="Q37" s="70" t="str">
        <f aca="false">IFERROR("https://drive.google.com/drive/folders/"&amp;VLOOKUP("k986a7bd5b0f8",Drive!$A:$B,2,0),"https://drive.google.com/drive/search?q=title:%22A7%20Unit%202%20-%20Real%20Numbers%2C%20Square%20Roots%20and%20Cube%20Roots%22%20type:folder")</f>
        <v>https://drive.google.com/drive/search?q=title:%22A7%20Unit%202%20-%20Real%20Numbers%2C%20Square%20Roots%20and%20Cube%20Roots%22%20type:folder</v>
      </c>
    </row>
    <row r="38" customFormat="false" ht="15" hidden="false" customHeight="false" outlineLevel="0" collapsed="false">
      <c r="A38" s="71" t="n">
        <v>46342</v>
      </c>
      <c r="B38" s="70"/>
      <c r="C38" s="70"/>
      <c r="D38" s="70"/>
      <c r="E38" s="70"/>
      <c r="F38" s="70"/>
      <c r="G38" s="70"/>
      <c r="H38" s="70"/>
      <c r="I38" s="70"/>
      <c r="J38" s="70"/>
      <c r="K38" s="70"/>
      <c r="L38" s="70"/>
      <c r="M38" s="70" t="s">
        <v>1663</v>
      </c>
      <c r="N38" s="70"/>
      <c r="O38" s="70" t="s">
        <v>1664</v>
      </c>
      <c r="P38" s="70" t="s">
        <v>1636</v>
      </c>
      <c r="Q38" s="70" t="str">
        <f aca="false">IFERROR("https://drive.google.com/drive/folders/"&amp;VLOOKUP("kb8fed8266c53",Drive!$A:$B,2,0),"https://drive.google.com/drive/search?q=title:%22A7%20Unit%203%20-%20Exponents%20and%20Scientific%20Notation%22%20type:folder")</f>
        <v>https://drive.google.com/drive/search?q=title:%22A7%20Unit%203%20-%20Exponents%20and%20Scientific%20Notation%22%20type:folder</v>
      </c>
    </row>
    <row r="39" customFormat="false" ht="15" hidden="false" customHeight="false" outlineLevel="0" collapsed="false">
      <c r="A39" s="71" t="n">
        <v>46343</v>
      </c>
      <c r="B39" s="70"/>
      <c r="C39" s="70"/>
      <c r="D39" s="70"/>
      <c r="E39" s="70"/>
      <c r="F39" s="70"/>
      <c r="G39" s="70"/>
      <c r="H39" s="70"/>
      <c r="I39" s="70"/>
      <c r="J39" s="70"/>
      <c r="K39" s="70"/>
      <c r="L39" s="70"/>
      <c r="M39" s="70" t="s">
        <v>1665</v>
      </c>
      <c r="N39" s="70"/>
      <c r="O39" s="70" t="s">
        <v>1666</v>
      </c>
      <c r="P39" s="70" t="s">
        <v>1601</v>
      </c>
      <c r="Q39" s="70" t="str">
        <f aca="false">IFERROR("https://drive.google.com/file/d/"&amp;VLOOKUP("kb737ddcb3701",Drive!$A:$B,2,0)&amp;"/view","https://drive.google.com/drive/search?q=title:%22A7%20Unit%203%20-%20Exponents%20and%20Scientific%20Notation%22%20type:folder")</f>
        <v>https://drive.google.com/drive/search?q=title:%22A7%20Unit%203%20-%20Exponents%20and%20Scientific%20Notation%22%20type:folder</v>
      </c>
    </row>
    <row r="40" customFormat="false" ht="15" hidden="false" customHeight="false" outlineLevel="0" collapsed="false">
      <c r="A40" s="71" t="n">
        <v>46344</v>
      </c>
      <c r="B40" s="70"/>
      <c r="C40" s="70"/>
      <c r="D40" s="70"/>
      <c r="E40" s="70"/>
      <c r="F40" s="70"/>
      <c r="G40" s="70"/>
      <c r="H40" s="70"/>
      <c r="I40" s="70"/>
      <c r="J40" s="70"/>
      <c r="K40" s="70"/>
      <c r="L40" s="70"/>
      <c r="M40" s="70" t="s">
        <v>1667</v>
      </c>
      <c r="N40" s="70"/>
      <c r="O40" s="70" t="s">
        <v>1668</v>
      </c>
      <c r="P40" s="70" t="s">
        <v>1601</v>
      </c>
      <c r="Q40" s="70" t="str">
        <f aca="false">IFERROR("https://drive.google.com/file/d/"&amp;VLOOKUP("k1f816ed6a0ec",Drive!$A:$B,2,0)&amp;"/view","https://drive.google.com/drive/search?q=title:%22A7%20Unit%203%20Exponents%20and%20Scientific%20Notation%20-%20Reference%20Sheet.pdf%22")</f>
        <v>https://drive.google.com/drive/search?q=title:%22A7%20Unit%203%20Exponents%20and%20Scientific%20Notation%20-%20Reference%20Sheet.pdf%22</v>
      </c>
    </row>
    <row r="41" customFormat="false" ht="15" hidden="false" customHeight="false" outlineLevel="0" collapsed="false">
      <c r="A41" s="71" t="n">
        <v>46345</v>
      </c>
      <c r="B41" s="70"/>
      <c r="C41" s="70"/>
      <c r="D41" s="70"/>
      <c r="E41" s="70"/>
      <c r="F41" s="70"/>
      <c r="G41" s="70"/>
      <c r="H41" s="70"/>
      <c r="I41" s="70"/>
      <c r="J41" s="70"/>
      <c r="K41" s="70"/>
      <c r="L41" s="70"/>
      <c r="M41" s="70" t="s">
        <v>1669</v>
      </c>
      <c r="N41" s="70"/>
      <c r="O41" s="70" t="s">
        <v>1670</v>
      </c>
      <c r="P41" s="70" t="s">
        <v>1601</v>
      </c>
      <c r="Q41" s="70" t="str">
        <f aca="false">IFERROR("https://drive.google.com/file/d/"&amp;VLOOKUP("kb93ffed6ca63",Drive!$A:$B,2,0)&amp;"/view","https://drive.google.com/drive/search?q=title:%22A7%20Unit%203%20Exponents%20and%20Scientific%20Notation%20-%20Review.pdf%22")</f>
        <v>https://drive.google.com/drive/search?q=title:%22A7%20Unit%203%20Exponents%20and%20Scientific%20Notation%20-%20Review.pdf%22</v>
      </c>
    </row>
    <row r="42" customFormat="false" ht="15" hidden="false" customHeight="false" outlineLevel="0" collapsed="false">
      <c r="A42" s="71" t="n">
        <v>46346</v>
      </c>
      <c r="B42" s="70"/>
      <c r="C42" s="70"/>
      <c r="D42" s="70"/>
      <c r="E42" s="70"/>
      <c r="F42" s="70"/>
      <c r="G42" s="70"/>
      <c r="H42" s="70"/>
      <c r="I42" s="70"/>
      <c r="J42" s="70"/>
      <c r="K42" s="70"/>
      <c r="L42" s="70"/>
      <c r="M42" s="70"/>
      <c r="N42" s="70"/>
      <c r="O42" s="70" t="s">
        <v>1671</v>
      </c>
      <c r="P42" s="70" t="s">
        <v>1601</v>
      </c>
      <c r="Q42" s="70" t="str">
        <f aca="false">IFERROR("https://drive.google.com/file/d/"&amp;VLOOKUP("k467ef44c3569",Drive!$A:$B,2,0)&amp;"/view","https://drive.google.com/drive/search?q=title:%22A7%20Unit%203%20Exponents%20and%20Scientific%20Notation%20-%20Review%20-%20Key.pdf%22")</f>
        <v>https://drive.google.com/drive/search?q=title:%22A7%20Unit%203%20Exponents%20and%20Scientific%20Notation%20-%20Review%20-%20Key.pdf%22</v>
      </c>
    </row>
    <row r="43" customFormat="false" ht="15" hidden="false" customHeight="false" outlineLevel="0" collapsed="false">
      <c r="A43" s="71" t="n">
        <v>46356</v>
      </c>
      <c r="B43" s="70"/>
      <c r="C43" s="70"/>
      <c r="D43" s="70"/>
      <c r="E43" s="70"/>
      <c r="F43" s="70"/>
      <c r="G43" s="70"/>
      <c r="H43" s="70"/>
      <c r="I43" s="70"/>
      <c r="J43" s="70"/>
      <c r="K43" s="70"/>
      <c r="L43" s="70"/>
      <c r="M43" s="70"/>
      <c r="N43" s="70"/>
      <c r="O43" s="70" t="s">
        <v>1672</v>
      </c>
      <c r="P43" s="70" t="s">
        <v>1601</v>
      </c>
      <c r="Q43" s="70" t="str">
        <f aca="false">IFERROR("https://drive.google.com/file/d/"&amp;VLOOKUP("ke52ff0df0d4b",Drive!$A:$B,2,0)&amp;"/view","https://drive.google.com/drive/search?q=title:%22A7%20Unit%203%20Exponents%20and%20Scientific%20Notation%20-%20Test.pdf%22")</f>
        <v>https://drive.google.com/drive/search?q=title:%22A7%20Unit%203%20Exponents%20and%20Scientific%20Notation%20-%20Test.pdf%22</v>
      </c>
    </row>
    <row r="44" customFormat="false" ht="15" hidden="false" customHeight="false" outlineLevel="0" collapsed="false">
      <c r="A44" s="71" t="n">
        <v>46357</v>
      </c>
      <c r="B44" s="70"/>
      <c r="C44" s="70"/>
      <c r="D44" s="70"/>
      <c r="E44" s="70"/>
      <c r="F44" s="70"/>
      <c r="G44" s="70"/>
      <c r="H44" s="70"/>
      <c r="I44" s="70"/>
      <c r="J44" s="70"/>
      <c r="K44" s="70"/>
      <c r="L44" s="70"/>
      <c r="M44" s="70"/>
      <c r="N44" s="70"/>
      <c r="O44" s="70" t="s">
        <v>1673</v>
      </c>
      <c r="P44" s="70" t="s">
        <v>1601</v>
      </c>
      <c r="Q44" s="70" t="str">
        <f aca="false">IFERROR("https://drive.google.com/file/d/"&amp;VLOOKUP("kf990f1c33e7d",Drive!$A:$B,2,0)&amp;"/view","https://drive.google.com/drive/search?q=title:%22A7%20Unit%203%20Exponents%20and%20Scientific%20Notation%20-%20Test%20-%20Key.pdf%22")</f>
        <v>https://drive.google.com/drive/search?q=title:%22A7%20Unit%203%20Exponents%20and%20Scientific%20Notation%20-%20Test%20-%20Key.pdf%22</v>
      </c>
    </row>
    <row r="45" customFormat="false" ht="15" hidden="false" customHeight="false" outlineLevel="0" collapsed="false">
      <c r="A45" s="71" t="n">
        <v>46358</v>
      </c>
      <c r="B45" s="70"/>
      <c r="C45" s="70"/>
      <c r="D45" s="70"/>
      <c r="E45" s="70"/>
      <c r="F45" s="70"/>
      <c r="G45" s="70"/>
      <c r="H45" s="70"/>
      <c r="I45" s="70"/>
      <c r="J45" s="70"/>
      <c r="K45" s="70"/>
      <c r="L45" s="70"/>
      <c r="M45" s="70"/>
      <c r="N45" s="70"/>
      <c r="O45" s="70" t="s">
        <v>1674</v>
      </c>
      <c r="P45" s="70" t="s">
        <v>1636</v>
      </c>
      <c r="Q45" s="70" t="str">
        <f aca="false">IFERROR("https://drive.google.com/drive/folders/"&amp;VLOOKUP("k85bc365a5352",Drive!$A:$B,2,0),"https://drive.google.com/drive/search?q=title:%22A7%20Unit%203%20-%20Exponents%20and%20Scientific%20Notation%22%20type:folder")</f>
        <v>https://drive.google.com/drive/search?q=title:%22A7%20Unit%203%20-%20Exponents%20and%20Scientific%20Notation%22%20type:folder</v>
      </c>
    </row>
    <row r="46" customFormat="false" ht="15" hidden="false" customHeight="false" outlineLevel="0" collapsed="false">
      <c r="A46" s="71" t="n">
        <v>46359</v>
      </c>
      <c r="B46" s="70"/>
      <c r="C46" s="70"/>
      <c r="D46" s="70"/>
      <c r="E46" s="70"/>
      <c r="F46" s="70"/>
      <c r="G46" s="70"/>
      <c r="H46" s="70"/>
      <c r="I46" s="70"/>
      <c r="J46" s="70"/>
      <c r="K46" s="70"/>
      <c r="L46" s="70"/>
      <c r="M46" s="70" t="s">
        <v>1675</v>
      </c>
      <c r="N46" s="70"/>
      <c r="O46" s="70" t="s">
        <v>1676</v>
      </c>
      <c r="P46" s="70" t="s">
        <v>1636</v>
      </c>
      <c r="Q46" s="70" t="str">
        <f aca="false">IFERROR("https://drive.google.com/drive/folders/"&amp;VLOOKUP("k19f682b91838",Drive!$A:$B,2,0),"https://drive.google.com/drive/search?q=title:%22A7%20Unit%204%20-%20Solving%20Problems%20with%20Rational%20Numbers%22%20type:folder")</f>
        <v>https://drive.google.com/drive/search?q=title:%22A7%20Unit%204%20-%20Solving%20Problems%20with%20Rational%20Numbers%22%20type:folder</v>
      </c>
    </row>
    <row r="47" customFormat="false" ht="15" hidden="false" customHeight="false" outlineLevel="0" collapsed="false">
      <c r="A47" s="71" t="n">
        <v>46360</v>
      </c>
      <c r="B47" s="70"/>
      <c r="C47" s="70"/>
      <c r="D47" s="70"/>
      <c r="E47" s="70"/>
      <c r="F47" s="70"/>
      <c r="G47" s="70"/>
      <c r="H47" s="70"/>
      <c r="I47" s="70"/>
      <c r="J47" s="70"/>
      <c r="K47" s="70"/>
      <c r="L47" s="70"/>
      <c r="M47" s="70" t="s">
        <v>1677</v>
      </c>
      <c r="N47" s="70"/>
      <c r="O47" s="70" t="s">
        <v>1678</v>
      </c>
      <c r="P47" s="70" t="s">
        <v>1601</v>
      </c>
      <c r="Q47" s="70" t="str">
        <f aca="false">IFERROR("https://drive.google.com/file/d/"&amp;VLOOKUP("k44624f8b3141",Drive!$A:$B,2,0)&amp;"/view","https://drive.google.com/drive/search?q=title:%22A7%20Unit%204%20-%20Solving%20Problems%20with%20Rational%20Numbers%22%20type:folder")</f>
        <v>https://drive.google.com/drive/search?q=title:%22A7%20Unit%204%20-%20Solving%20Problems%20with%20Rational%20Numbers%22%20type:folder</v>
      </c>
    </row>
    <row r="48" customFormat="false" ht="15" hidden="false" customHeight="false" outlineLevel="0" collapsed="false">
      <c r="A48" s="71" t="n">
        <v>46363</v>
      </c>
      <c r="B48" s="70"/>
      <c r="C48" s="70"/>
      <c r="D48" s="70"/>
      <c r="E48" s="70"/>
      <c r="F48" s="70"/>
      <c r="G48" s="70"/>
      <c r="H48" s="70"/>
      <c r="I48" s="70"/>
      <c r="J48" s="70"/>
      <c r="K48" s="70"/>
      <c r="L48" s="70"/>
      <c r="M48" s="70" t="s">
        <v>1679</v>
      </c>
      <c r="N48" s="70"/>
      <c r="O48" s="70" t="s">
        <v>1680</v>
      </c>
      <c r="P48" s="70" t="s">
        <v>1601</v>
      </c>
      <c r="Q48" s="70" t="str">
        <f aca="false">IFERROR("https://drive.google.com/file/d/"&amp;VLOOKUP("kdb2536de7152",Drive!$A:$B,2,0)&amp;"/view","https://drive.google.com/drive/search?q=title:%22A7%20Unit%204%20Solving%20Problems%20with%20Rational%20Numbers%20-%20Reference%20Sheet.pdf%22")</f>
        <v>https://drive.google.com/drive/search?q=title:%22A7%20Unit%204%20Solving%20Problems%20with%20Rational%20Numbers%20-%20Reference%20Sheet.pdf%22</v>
      </c>
    </row>
    <row r="49" customFormat="false" ht="15" hidden="false" customHeight="false" outlineLevel="0" collapsed="false">
      <c r="A49" s="71" t="n">
        <v>46364</v>
      </c>
      <c r="B49" s="70"/>
      <c r="C49" s="70"/>
      <c r="D49" s="70"/>
      <c r="E49" s="70"/>
      <c r="F49" s="70"/>
      <c r="G49" s="70"/>
      <c r="H49" s="70"/>
      <c r="I49" s="70"/>
      <c r="J49" s="70"/>
      <c r="K49" s="70"/>
      <c r="L49" s="70"/>
      <c r="M49" s="70" t="s">
        <v>1681</v>
      </c>
      <c r="N49" s="70"/>
      <c r="O49" s="70" t="s">
        <v>1682</v>
      </c>
      <c r="P49" s="70" t="s">
        <v>1601</v>
      </c>
      <c r="Q49" s="70" t="str">
        <f aca="false">IFERROR("https://drive.google.com/file/d/"&amp;VLOOKUP("ke57d72cf0716",Drive!$A:$B,2,0)&amp;"/view","https://drive.google.com/drive/search?q=title:%22A7%20Unit%204%20Solving%20Problems%20with%20Rational%20Numbers%20-%20Review.pdf%22")</f>
        <v>https://drive.google.com/drive/search?q=title:%22A7%20Unit%204%20Solving%20Problems%20with%20Rational%20Numbers%20-%20Review.pdf%22</v>
      </c>
    </row>
    <row r="50" customFormat="false" ht="15" hidden="false" customHeight="false" outlineLevel="0" collapsed="false">
      <c r="A50" s="71" t="n">
        <v>46365</v>
      </c>
      <c r="B50" s="70"/>
      <c r="C50" s="70"/>
      <c r="D50" s="70"/>
      <c r="E50" s="70"/>
      <c r="F50" s="70"/>
      <c r="G50" s="70"/>
      <c r="H50" s="70"/>
      <c r="I50" s="70"/>
      <c r="J50" s="70"/>
      <c r="K50" s="70"/>
      <c r="L50" s="70"/>
      <c r="M50" s="70" t="s">
        <v>1683</v>
      </c>
      <c r="N50" s="70"/>
      <c r="O50" s="70" t="s">
        <v>1684</v>
      </c>
      <c r="P50" s="70" t="s">
        <v>1601</v>
      </c>
      <c r="Q50" s="70" t="str">
        <f aca="false">IFERROR("https://drive.google.com/file/d/"&amp;VLOOKUP("k0dd5b368d2b0",Drive!$A:$B,2,0)&amp;"/view","https://drive.google.com/drive/search?q=title:%22A7%20Unit%204%20Solving%20Problems%20with%20Rational%20Numbers%20-%20Review%20-%20Key.pdf%22")</f>
        <v>https://drive.google.com/drive/search?q=title:%22A7%20Unit%204%20Solving%20Problems%20with%20Rational%20Numbers%20-%20Review%20-%20Key.pdf%22</v>
      </c>
    </row>
    <row r="51" customFormat="false" ht="15" hidden="false" customHeight="false" outlineLevel="0" collapsed="false">
      <c r="A51" s="71" t="n">
        <v>46366</v>
      </c>
      <c r="B51" s="70"/>
      <c r="C51" s="70"/>
      <c r="D51" s="70"/>
      <c r="E51" s="70"/>
      <c r="F51" s="70"/>
      <c r="G51" s="70"/>
      <c r="H51" s="70"/>
      <c r="I51" s="70"/>
      <c r="J51" s="70"/>
      <c r="K51" s="70"/>
      <c r="L51" s="70"/>
      <c r="M51" s="70"/>
      <c r="N51" s="70"/>
      <c r="O51" s="70" t="s">
        <v>1685</v>
      </c>
      <c r="P51" s="70" t="s">
        <v>1601</v>
      </c>
      <c r="Q51" s="70" t="str">
        <f aca="false">IFERROR("https://drive.google.com/file/d/"&amp;VLOOKUP("k7c17b9b2eea3",Drive!$A:$B,2,0)&amp;"/view","https://drive.google.com/drive/search?q=title:%22A7%20Unit%204%20Solving%20Problems%20with%20Rational%20Numbers%20-%20Test.pdf%22")</f>
        <v>https://drive.google.com/drive/search?q=title:%22A7%20Unit%204%20Solving%20Problems%20with%20Rational%20Numbers%20-%20Test.pdf%22</v>
      </c>
    </row>
    <row r="52" customFormat="false" ht="15" hidden="false" customHeight="false" outlineLevel="0" collapsed="false">
      <c r="A52" s="71" t="n">
        <v>46367</v>
      </c>
      <c r="B52" s="70"/>
      <c r="C52" s="70"/>
      <c r="D52" s="70"/>
      <c r="E52" s="70"/>
      <c r="F52" s="70"/>
      <c r="G52" s="70"/>
      <c r="H52" s="70"/>
      <c r="I52" s="70"/>
      <c r="J52" s="70"/>
      <c r="K52" s="70"/>
      <c r="L52" s="70"/>
      <c r="M52" s="70"/>
      <c r="N52" s="70"/>
      <c r="O52" s="70" t="s">
        <v>1686</v>
      </c>
      <c r="P52" s="70" t="s">
        <v>1601</v>
      </c>
      <c r="Q52" s="70" t="str">
        <f aca="false">IFERROR("https://drive.google.com/file/d/"&amp;VLOOKUP("k584fc57b9722",Drive!$A:$B,2,0)&amp;"/view","https://drive.google.com/drive/search?q=title:%22A7%20Unit%204%20Solving%20Problems%20with%20Rational%20Numbers%20-%20Test%20-%20Key.pdf%22")</f>
        <v>https://drive.google.com/drive/search?q=title:%22A7%20Unit%204%20Solving%20Problems%20with%20Rational%20Numbers%20-%20Test%20-%20Key.pdf%22</v>
      </c>
    </row>
    <row r="53" customFormat="false" ht="15" hidden="false" customHeight="false" outlineLevel="0" collapsed="false">
      <c r="A53" s="71" t="n">
        <v>46370</v>
      </c>
      <c r="B53" s="70"/>
      <c r="C53" s="70"/>
      <c r="D53" s="70"/>
      <c r="E53" s="70"/>
      <c r="F53" s="70"/>
      <c r="G53" s="70"/>
      <c r="H53" s="70"/>
      <c r="I53" s="70"/>
      <c r="J53" s="70"/>
      <c r="K53" s="70"/>
      <c r="L53" s="70"/>
      <c r="M53" s="70"/>
      <c r="N53" s="70"/>
      <c r="O53" s="70" t="s">
        <v>1687</v>
      </c>
      <c r="P53" s="70" t="s">
        <v>1636</v>
      </c>
      <c r="Q53" s="70" t="str">
        <f aca="false">IFERROR("https://drive.google.com/drive/folders/"&amp;VLOOKUP("k395c44aceb1d",Drive!$A:$B,2,0),"https://drive.google.com/drive/search?q=title:%22A7%20Unit%204%20-%20Solving%20Problems%20with%20Rational%20Numbers%22%20type:folder")</f>
        <v>https://drive.google.com/drive/search?q=title:%22A7%20Unit%204%20-%20Solving%20Problems%20with%20Rational%20Numbers%22%20type:folder</v>
      </c>
    </row>
    <row r="54" customFormat="false" ht="15" hidden="false" customHeight="false" outlineLevel="0" collapsed="false">
      <c r="A54" s="71" t="n">
        <v>46371</v>
      </c>
      <c r="B54" s="70"/>
      <c r="C54" s="70"/>
      <c r="D54" s="70"/>
      <c r="E54" s="70"/>
      <c r="F54" s="70"/>
      <c r="G54" s="70"/>
      <c r="H54" s="70"/>
      <c r="I54" s="70"/>
      <c r="J54" s="70"/>
      <c r="K54" s="70"/>
      <c r="L54" s="70"/>
      <c r="M54" s="70"/>
      <c r="N54" s="70"/>
      <c r="O54" s="70" t="s">
        <v>1688</v>
      </c>
      <c r="P54" s="70" t="s">
        <v>1601</v>
      </c>
      <c r="Q54" s="70" t="str">
        <f aca="false">IFERROR("https://drive.google.com/file/d/"&amp;VLOOKUP("kf7444edd4950",Drive!$A:$B,2,0)&amp;"/view","https://drive.google.com/drive/search?q=title:%22A7%201.01%20Rewriting%20Numbers%20-%20Slides.pdf%22")</f>
        <v>https://drive.google.com/drive/search?q=title:%22A7%201.01%20Rewriting%20Numbers%20-%20Slides.pdf%22</v>
      </c>
    </row>
    <row r="55" customFormat="false" ht="15" hidden="false" customHeight="false" outlineLevel="0" collapsed="false">
      <c r="A55" s="71" t="n">
        <v>46372</v>
      </c>
      <c r="B55" s="70"/>
      <c r="C55" s="70"/>
      <c r="D55" s="70"/>
      <c r="E55" s="70"/>
      <c r="F55" s="70"/>
      <c r="G55" s="70"/>
      <c r="H55" s="70"/>
      <c r="I55" s="70"/>
      <c r="J55" s="70"/>
      <c r="K55" s="70"/>
      <c r="L55" s="70"/>
      <c r="M55" s="70"/>
      <c r="N55" s="70"/>
      <c r="O55" s="70" t="s">
        <v>1689</v>
      </c>
      <c r="P55" s="70" t="s">
        <v>1601</v>
      </c>
      <c r="Q55" s="70" t="str">
        <f aca="false">IFERROR("https://drive.google.com/file/d/"&amp;VLOOKUP("kbb6e44272bb4",Drive!$A:$B,2,0)&amp;"/view","https://drive.google.com/drive/search?q=title:%22A7%201.01%20Rewriting%20Numbers%20-%20Teacher%20Edition.pdf%22")</f>
        <v>https://drive.google.com/drive/search?q=title:%22A7%201.01%20Rewriting%20Numbers%20-%20Teacher%20Edition.pdf%22</v>
      </c>
    </row>
    <row r="56" customFormat="false" ht="15" hidden="false" customHeight="false" outlineLevel="0" collapsed="false">
      <c r="A56" s="71" t="n">
        <v>46373</v>
      </c>
      <c r="B56" s="70"/>
      <c r="C56" s="70"/>
      <c r="D56" s="70"/>
      <c r="E56" s="70"/>
      <c r="F56" s="70"/>
      <c r="G56" s="70"/>
      <c r="H56" s="70"/>
      <c r="I56" s="70"/>
      <c r="J56" s="70"/>
      <c r="K56" s="70"/>
      <c r="L56" s="70"/>
      <c r="M56" s="70" t="s">
        <v>1690</v>
      </c>
      <c r="N56" s="70"/>
      <c r="O56" s="70" t="s">
        <v>1691</v>
      </c>
      <c r="P56" s="70" t="s">
        <v>1601</v>
      </c>
      <c r="Q56" s="70" t="str">
        <f aca="false">IFERROR("https://drive.google.com/file/d/"&amp;VLOOKUP("kc68dd81311bb",Drive!$A:$B,2,0)&amp;"/view","https://drive.google.com/drive/search?q=title:%22A7%201.01%20Rewriting%20Numbers%20-%20Question%20Bank.pdf%22")</f>
        <v>https://drive.google.com/drive/search?q=title:%22A7%201.01%20Rewriting%20Numbers%20-%20Question%20Bank.pdf%22</v>
      </c>
    </row>
    <row r="57" customFormat="false" ht="15" hidden="false" customHeight="false" outlineLevel="0" collapsed="false">
      <c r="A57" s="71" t="n">
        <v>46374</v>
      </c>
      <c r="B57" s="70"/>
      <c r="C57" s="70"/>
      <c r="D57" s="70"/>
      <c r="E57" s="70"/>
      <c r="F57" s="70"/>
      <c r="G57" s="70"/>
      <c r="H57" s="70"/>
      <c r="I57" s="70"/>
      <c r="J57" s="70"/>
      <c r="K57" s="70"/>
      <c r="L57" s="70"/>
      <c r="M57" s="70" t="s">
        <v>1692</v>
      </c>
      <c r="N57" s="70"/>
      <c r="O57" s="70" t="s">
        <v>1693</v>
      </c>
      <c r="P57" s="70" t="s">
        <v>1601</v>
      </c>
      <c r="Q57" s="70" t="str">
        <f aca="false">IFERROR("https://drive.google.com/file/d/"&amp;VLOOKUP("k70c393f4e972",Drive!$A:$B,2,0)&amp;"/view","https://drive.google.com/drive/search?q=title:%22A7%201.01%20Rewriting%20Numbers%20-%20Additional%20Question%20Bank.pdf%22")</f>
        <v>https://drive.google.com/drive/search?q=title:%22A7%201.01%20Rewriting%20Numbers%20-%20Additional%20Question%20Bank.pdf%22</v>
      </c>
    </row>
    <row r="58" customFormat="false" ht="15" hidden="false" customHeight="false" outlineLevel="0" collapsed="false">
      <c r="A58" s="71" t="n">
        <v>46393</v>
      </c>
      <c r="B58" s="70"/>
      <c r="C58" s="70"/>
      <c r="D58" s="70"/>
      <c r="E58" s="70"/>
      <c r="F58" s="70"/>
      <c r="G58" s="70"/>
      <c r="H58" s="70"/>
      <c r="I58" s="70"/>
      <c r="J58" s="70"/>
      <c r="K58" s="70"/>
      <c r="L58" s="70"/>
      <c r="M58" s="70" t="s">
        <v>1694</v>
      </c>
      <c r="N58" s="70"/>
      <c r="O58" s="70" t="s">
        <v>1695</v>
      </c>
      <c r="P58" s="70" t="s">
        <v>1601</v>
      </c>
      <c r="Q58" s="70" t="str">
        <f aca="false">IFERROR("https://drive.google.com/file/d/"&amp;VLOOKUP("k1d60e486567d",Drive!$A:$B,2,0)&amp;"/view","https://drive.google.com/drive/search?q=title:%22A7%201.01%20Rewriting%20Numbers%20-%20Question%20Bank%20-%20Key.pdf%22")</f>
        <v>https://drive.google.com/drive/search?q=title:%22A7%201.01%20Rewriting%20Numbers%20-%20Question%20Bank%20-%20Key.pdf%22</v>
      </c>
    </row>
    <row r="59" customFormat="false" ht="15" hidden="false" customHeight="false" outlineLevel="0" collapsed="false">
      <c r="A59" s="71" t="n">
        <v>46394</v>
      </c>
      <c r="B59" s="70"/>
      <c r="C59" s="70"/>
      <c r="D59" s="70"/>
      <c r="E59" s="70"/>
      <c r="F59" s="70"/>
      <c r="G59" s="70"/>
      <c r="H59" s="70"/>
      <c r="I59" s="70"/>
      <c r="J59" s="70"/>
      <c r="K59" s="70"/>
      <c r="L59" s="70"/>
      <c r="M59" s="70" t="s">
        <v>1696</v>
      </c>
      <c r="N59" s="70"/>
      <c r="O59" s="70" t="s">
        <v>1697</v>
      </c>
      <c r="P59" s="70" t="s">
        <v>1601</v>
      </c>
      <c r="Q59" s="70" t="str">
        <f aca="false">IFERROR("https://drive.google.com/file/d/"&amp;VLOOKUP("k40dc62cd52a5",Drive!$A:$B,2,0)&amp;"/view","https://drive.google.com/drive/search?q=title:%22A7%201.01%20Rewriting%20Numbers%20-%20Additional%20Question%20Bank%20-%20Key.pdf%22")</f>
        <v>https://drive.google.com/drive/search?q=title:%22A7%201.01%20Rewriting%20Numbers%20-%20Additional%20Question%20Bank%20-%20Key.pdf%22</v>
      </c>
    </row>
    <row r="60" customFormat="false" ht="15" hidden="false" customHeight="false" outlineLevel="0" collapsed="false">
      <c r="A60" s="71" t="n">
        <v>46395</v>
      </c>
      <c r="B60" s="70"/>
      <c r="C60" s="70"/>
      <c r="D60" s="70"/>
      <c r="E60" s="70"/>
      <c r="F60" s="70"/>
      <c r="G60" s="70"/>
      <c r="H60" s="70"/>
      <c r="I60" s="70"/>
      <c r="J60" s="70"/>
      <c r="K60" s="70"/>
      <c r="L60" s="70"/>
      <c r="M60" s="70" t="s">
        <v>1698</v>
      </c>
      <c r="N60" s="70"/>
      <c r="O60" s="70" t="s">
        <v>1699</v>
      </c>
      <c r="P60" s="70" t="s">
        <v>1601</v>
      </c>
      <c r="Q60" s="70" t="str">
        <f aca="false">IFERROR("https://drive.google.com/file/d/"&amp;VLOOKUP("k42d053aa97d9",Drive!$A:$B,2,0)&amp;"/view","https://drive.google.com/drive/search?q=title:%22A7%201.02%20Repeating%20Decimals%20to%20Fractions%20-%20Slides.pdf%22")</f>
        <v>https://drive.google.com/drive/search?q=title:%22A7%201.02%20Repeating%20Decimals%20to%20Fractions%20-%20Slides.pdf%22</v>
      </c>
    </row>
    <row r="61" customFormat="false" ht="15" hidden="false" customHeight="false" outlineLevel="0" collapsed="false">
      <c r="A61" s="71" t="n">
        <v>46398</v>
      </c>
      <c r="B61" s="70"/>
      <c r="C61" s="70"/>
      <c r="D61" s="70"/>
      <c r="E61" s="70"/>
      <c r="F61" s="70"/>
      <c r="G61" s="70"/>
      <c r="H61" s="70"/>
      <c r="I61" s="70"/>
      <c r="J61" s="70"/>
      <c r="K61" s="70"/>
      <c r="L61" s="70"/>
      <c r="M61" s="70" t="s">
        <v>1700</v>
      </c>
      <c r="N61" s="70"/>
      <c r="O61" s="70" t="s">
        <v>1701</v>
      </c>
      <c r="P61" s="70" t="s">
        <v>1601</v>
      </c>
      <c r="Q61" s="70" t="str">
        <f aca="false">IFERROR("https://drive.google.com/file/d/"&amp;VLOOKUP("k3d5b3115f0ff",Drive!$A:$B,2,0)&amp;"/view","https://drive.google.com/drive/search?q=title:%22A7%201.02%20Repeating%20Decimals%20to%20Fractions%20-%20Teacher%20Edition.pdf%22")</f>
        <v>https://drive.google.com/drive/search?q=title:%22A7%201.02%20Repeating%20Decimals%20to%20Fractions%20-%20Teacher%20Edition.pdf%22</v>
      </c>
    </row>
    <row r="62" customFormat="false" ht="15" hidden="false" customHeight="false" outlineLevel="0" collapsed="false">
      <c r="A62" s="71" t="n">
        <v>46399</v>
      </c>
      <c r="B62" s="70"/>
      <c r="C62" s="70"/>
      <c r="D62" s="70"/>
      <c r="E62" s="70"/>
      <c r="F62" s="70"/>
      <c r="G62" s="70"/>
      <c r="H62" s="70"/>
      <c r="I62" s="70"/>
      <c r="J62" s="70"/>
      <c r="K62" s="70"/>
      <c r="L62" s="70"/>
      <c r="M62" s="70" t="s">
        <v>1702</v>
      </c>
      <c r="N62" s="70"/>
      <c r="O62" s="70" t="s">
        <v>1703</v>
      </c>
      <c r="P62" s="70" t="s">
        <v>1601</v>
      </c>
      <c r="Q62" s="70" t="str">
        <f aca="false">IFERROR("https://drive.google.com/file/d/"&amp;VLOOKUP("k4b6284c3dfc8",Drive!$A:$B,2,0)&amp;"/view","https://drive.google.com/drive/search?q=title:%22A7%201.02%20Repeating%20Decimals%20to%20Fractions%20-%20Question%20Bank.pdf%22")</f>
        <v>https://drive.google.com/drive/search?q=title:%22A7%201.02%20Repeating%20Decimals%20to%20Fractions%20-%20Question%20Bank.pdf%22</v>
      </c>
    </row>
    <row r="63" customFormat="false" ht="15" hidden="false" customHeight="false" outlineLevel="0" collapsed="false">
      <c r="A63" s="71" t="n">
        <v>46400</v>
      </c>
      <c r="B63" s="70"/>
      <c r="C63" s="70"/>
      <c r="D63" s="70"/>
      <c r="E63" s="70"/>
      <c r="F63" s="70"/>
      <c r="G63" s="70"/>
      <c r="H63" s="70"/>
      <c r="I63" s="70"/>
      <c r="J63" s="70"/>
      <c r="K63" s="70"/>
      <c r="L63" s="70"/>
      <c r="M63" s="70"/>
      <c r="N63" s="70"/>
      <c r="O63" s="70" t="s">
        <v>1704</v>
      </c>
      <c r="P63" s="70" t="s">
        <v>1601</v>
      </c>
      <c r="Q63" s="70" t="str">
        <f aca="false">IFERROR("https://drive.google.com/file/d/"&amp;VLOOKUP("k751991f77144",Drive!$A:$B,2,0)&amp;"/view","https://drive.google.com/drive/search?q=title:%22A7%201.02%20Repeating%20Decimals%20to%20Fractions%20-%20Additional%20Question%20Bank.pdf%22")</f>
        <v>https://drive.google.com/drive/search?q=title:%22A7%201.02%20Repeating%20Decimals%20to%20Fractions%20-%20Additional%20Question%20Bank.pdf%22</v>
      </c>
    </row>
    <row r="64" customFormat="false" ht="15" hidden="false" customHeight="false" outlineLevel="0" collapsed="false">
      <c r="A64" s="71" t="n">
        <v>46401</v>
      </c>
      <c r="B64" s="70"/>
      <c r="C64" s="70"/>
      <c r="D64" s="70"/>
      <c r="E64" s="70"/>
      <c r="F64" s="70"/>
      <c r="G64" s="70"/>
      <c r="H64" s="70"/>
      <c r="I64" s="70"/>
      <c r="J64" s="70"/>
      <c r="K64" s="70"/>
      <c r="L64" s="70"/>
      <c r="M64" s="70"/>
      <c r="N64" s="70"/>
      <c r="O64" s="70" t="s">
        <v>1705</v>
      </c>
      <c r="P64" s="70" t="s">
        <v>1601</v>
      </c>
      <c r="Q64" s="70" t="str">
        <f aca="false">IFERROR("https://drive.google.com/file/d/"&amp;VLOOKUP("k6386e55cce43",Drive!$A:$B,2,0)&amp;"/view","https://drive.google.com/drive/search?q=title:%22A7%201.02%20Repeating%20Decimals%20to%20Fractions%20-%20Question%20Bank%20-%20Key.pdf%22")</f>
        <v>https://drive.google.com/drive/search?q=title:%22A7%201.02%20Repeating%20Decimals%20to%20Fractions%20-%20Question%20Bank%20-%20Key.pdf%22</v>
      </c>
    </row>
    <row r="65" customFormat="false" ht="15" hidden="false" customHeight="false" outlineLevel="0" collapsed="false">
      <c r="A65" s="71" t="n">
        <v>46402</v>
      </c>
      <c r="B65" s="70"/>
      <c r="C65" s="70"/>
      <c r="D65" s="70"/>
      <c r="E65" s="70"/>
      <c r="F65" s="70"/>
      <c r="G65" s="70"/>
      <c r="H65" s="70"/>
      <c r="I65" s="70"/>
      <c r="J65" s="70"/>
      <c r="K65" s="70"/>
      <c r="L65" s="70"/>
      <c r="M65" s="70"/>
      <c r="N65" s="70"/>
      <c r="O65" s="70" t="s">
        <v>1706</v>
      </c>
      <c r="P65" s="70" t="s">
        <v>1601</v>
      </c>
      <c r="Q65" s="70" t="str">
        <f aca="false">IFERROR("https://drive.google.com/file/d/"&amp;VLOOKUP("kb55aff075211",Drive!$A:$B,2,0)&amp;"/view","https://drive.google.com/drive/search?q=title:%22A7%201.02%20Repeating%20Decimals%20to%20Fractions%20-%20Additional%20Question%20Bank%20-%20Key.pdf%22")</f>
        <v>https://drive.google.com/drive/search?q=title:%22A7%201.02%20Repeating%20Decimals%20to%20Fractions%20-%20Additional%20Question%20Bank%20-%20Key.pdf%22</v>
      </c>
    </row>
    <row r="66" customFormat="false" ht="15" hidden="false" customHeight="false" outlineLevel="0" collapsed="false">
      <c r="A66" s="71" t="n">
        <v>46406</v>
      </c>
      <c r="B66" s="70"/>
      <c r="C66" s="70"/>
      <c r="D66" s="70"/>
      <c r="E66" s="70"/>
      <c r="F66" s="70"/>
      <c r="G66" s="70"/>
      <c r="H66" s="70"/>
      <c r="I66" s="70"/>
      <c r="J66" s="70"/>
      <c r="K66" s="70"/>
      <c r="L66" s="70"/>
      <c r="M66" s="70"/>
      <c r="N66" s="70"/>
      <c r="O66" s="70" t="s">
        <v>1707</v>
      </c>
      <c r="P66" s="70" t="s">
        <v>1601</v>
      </c>
      <c r="Q66" s="70" t="str">
        <f aca="false">IFERROR("https://drive.google.com/file/d/"&amp;VLOOKUP("k78f3bd7641b1",Drive!$A:$B,2,0)&amp;"/view","https://drive.google.com/drive/search?q=title:%22A7%201.03%20Two-Step%20Equations%20-%20Slides.pdf%22")</f>
        <v>https://drive.google.com/drive/search?q=title:%22A7%201.03%20Two-Step%20Equations%20-%20Slides.pdf%22</v>
      </c>
    </row>
    <row r="67" customFormat="false" ht="15" hidden="false" customHeight="false" outlineLevel="0" collapsed="false">
      <c r="A67" s="71" t="n">
        <v>46407</v>
      </c>
      <c r="B67" s="70"/>
      <c r="C67" s="70"/>
      <c r="D67" s="70"/>
      <c r="E67" s="70"/>
      <c r="F67" s="70"/>
      <c r="G67" s="70"/>
      <c r="H67" s="70"/>
      <c r="I67" s="70"/>
      <c r="J67" s="70"/>
      <c r="K67" s="70"/>
      <c r="L67" s="70"/>
      <c r="M67" s="70"/>
      <c r="N67" s="70"/>
      <c r="O67" s="70" t="s">
        <v>1708</v>
      </c>
      <c r="P67" s="70" t="s">
        <v>1601</v>
      </c>
      <c r="Q67" s="70" t="str">
        <f aca="false">IFERROR("https://drive.google.com/file/d/"&amp;VLOOKUP("kab82b01c89fe",Drive!$A:$B,2,0)&amp;"/view","https://drive.google.com/drive/search?q=title:%22A7%201.03%20Two-Step%20Equations%20-%20Teacher%20Edition.pdf%22")</f>
        <v>https://drive.google.com/drive/search?q=title:%22A7%201.03%20Two-Step%20Equations%20-%20Teacher%20Edition.pdf%22</v>
      </c>
    </row>
    <row r="68" customFormat="false" ht="15" hidden="false" customHeight="false" outlineLevel="0" collapsed="false">
      <c r="A68" s="71" t="n">
        <v>46408</v>
      </c>
      <c r="B68" s="70"/>
      <c r="C68" s="70"/>
      <c r="D68" s="70"/>
      <c r="E68" s="70"/>
      <c r="F68" s="70"/>
      <c r="G68" s="70"/>
      <c r="H68" s="70"/>
      <c r="I68" s="70"/>
      <c r="J68" s="70"/>
      <c r="K68" s="70"/>
      <c r="L68" s="70"/>
      <c r="M68" s="70"/>
      <c r="N68" s="70"/>
      <c r="O68" s="70" t="s">
        <v>1709</v>
      </c>
      <c r="P68" s="70" t="s">
        <v>1601</v>
      </c>
      <c r="Q68" s="70" t="str">
        <f aca="false">IFERROR("https://drive.google.com/file/d/"&amp;VLOOKUP("kb5633697c8e5",Drive!$A:$B,2,0)&amp;"/view","https://drive.google.com/drive/search?q=title:%22A7%201.03%20Two-Step%20Equations%20-%20Question%20Bank.pdf%22")</f>
        <v>https://drive.google.com/drive/search?q=title:%22A7%201.03%20Two-Step%20Equations%20-%20Question%20Bank.pdf%22</v>
      </c>
    </row>
    <row r="69" customFormat="false" ht="15" hidden="false" customHeight="false" outlineLevel="0" collapsed="false">
      <c r="A69" s="71" t="n">
        <v>46409</v>
      </c>
      <c r="B69" s="70"/>
      <c r="C69" s="70"/>
      <c r="D69" s="70"/>
      <c r="E69" s="70"/>
      <c r="F69" s="70"/>
      <c r="G69" s="70"/>
      <c r="H69" s="70"/>
      <c r="I69" s="70"/>
      <c r="J69" s="70"/>
      <c r="K69" s="70"/>
      <c r="L69" s="70"/>
      <c r="M69" s="70"/>
      <c r="N69" s="70"/>
      <c r="O69" s="70" t="s">
        <v>1710</v>
      </c>
      <c r="P69" s="70" t="s">
        <v>1601</v>
      </c>
      <c r="Q69" s="70" t="str">
        <f aca="false">IFERROR("https://drive.google.com/file/d/"&amp;VLOOKUP("kf724d6e842b3",Drive!$A:$B,2,0)&amp;"/view","https://drive.google.com/drive/search?q=title:%22A7%201.03%20Two-Step%20Equations%20-%20Additional%20Question%20Bank.pdf%22")</f>
        <v>https://drive.google.com/drive/search?q=title:%22A7%201.03%20Two-Step%20Equations%20-%20Additional%20Question%20Bank.pdf%22</v>
      </c>
    </row>
    <row r="70" customFormat="false" ht="15" hidden="false" customHeight="false" outlineLevel="0" collapsed="false">
      <c r="A70" s="71" t="n">
        <v>46412</v>
      </c>
      <c r="B70" s="70"/>
      <c r="C70" s="70"/>
      <c r="D70" s="70"/>
      <c r="E70" s="70"/>
      <c r="F70" s="70"/>
      <c r="G70" s="70"/>
      <c r="H70" s="70"/>
      <c r="I70" s="70"/>
      <c r="J70" s="70"/>
      <c r="K70" s="70"/>
      <c r="L70" s="70"/>
      <c r="M70" s="70" t="s">
        <v>1711</v>
      </c>
      <c r="N70" s="70"/>
      <c r="O70" s="70" t="s">
        <v>1712</v>
      </c>
      <c r="P70" s="70" t="s">
        <v>1601</v>
      </c>
      <c r="Q70" s="70" t="str">
        <f aca="false">IFERROR("https://drive.google.com/file/d/"&amp;VLOOKUP("k36b71975bd76",Drive!$A:$B,2,0)&amp;"/view","https://drive.google.com/drive/search?q=title:%22A7%201.03%20Two-Step%20Equations%20-%20Question%20Bank%20-%20Key.pdf%22")</f>
        <v>https://drive.google.com/drive/search?q=title:%22A7%201.03%20Two-Step%20Equations%20-%20Question%20Bank%20-%20Key.pdf%22</v>
      </c>
    </row>
    <row r="71" customFormat="false" ht="15" hidden="false" customHeight="false" outlineLevel="0" collapsed="false">
      <c r="A71" s="71" t="n">
        <v>46413</v>
      </c>
      <c r="B71" s="70"/>
      <c r="C71" s="70"/>
      <c r="D71" s="70"/>
      <c r="E71" s="70"/>
      <c r="F71" s="70"/>
      <c r="G71" s="70"/>
      <c r="H71" s="70"/>
      <c r="I71" s="70"/>
      <c r="J71" s="70"/>
      <c r="K71" s="70"/>
      <c r="L71" s="70"/>
      <c r="M71" s="70" t="s">
        <v>1713</v>
      </c>
      <c r="N71" s="70"/>
      <c r="O71" s="70" t="s">
        <v>1714</v>
      </c>
      <c r="P71" s="70" t="s">
        <v>1601</v>
      </c>
      <c r="Q71" s="70" t="str">
        <f aca="false">IFERROR("https://drive.google.com/file/d/"&amp;VLOOKUP("kd7994f0255be",Drive!$A:$B,2,0)&amp;"/view","https://drive.google.com/drive/search?q=title:%22A7%201.03%20Two-Step%20Equations%20-%20Additional%20Question%20Bank%20-%20Key.pdf%22")</f>
        <v>https://drive.google.com/drive/search?q=title:%22A7%201.03%20Two-Step%20Equations%20-%20Additional%20Question%20Bank%20-%20Key.pdf%22</v>
      </c>
    </row>
    <row r="72" customFormat="false" ht="15" hidden="false" customHeight="false" outlineLevel="0" collapsed="false">
      <c r="A72" s="71" t="n">
        <v>46414</v>
      </c>
      <c r="B72" s="70"/>
      <c r="C72" s="70"/>
      <c r="D72" s="70"/>
      <c r="E72" s="70"/>
      <c r="F72" s="70"/>
      <c r="G72" s="70"/>
      <c r="H72" s="70"/>
      <c r="I72" s="70"/>
      <c r="J72" s="70"/>
      <c r="K72" s="70"/>
      <c r="L72" s="70"/>
      <c r="M72" s="70" t="s">
        <v>1715</v>
      </c>
      <c r="N72" s="70"/>
      <c r="O72" s="70" t="s">
        <v>1716</v>
      </c>
      <c r="P72" s="70" t="s">
        <v>1601</v>
      </c>
      <c r="Q72" s="70" t="str">
        <f aca="false">IFERROR("https://drive.google.com/file/d/"&amp;VLOOKUP("k441c122ac61a",Drive!$A:$B,2,0)&amp;"/view","https://drive.google.com/drive/search?q=title:%22A7%201.04%20Two-Step%20Equations%20in%20Context%20-%20Slides.pdf%22")</f>
        <v>https://drive.google.com/drive/search?q=title:%22A7%201.04%20Two-Step%20Equations%20in%20Context%20-%20Slides.pdf%22</v>
      </c>
    </row>
    <row r="73" customFormat="false" ht="15" hidden="false" customHeight="false" outlineLevel="0" collapsed="false">
      <c r="A73" s="71" t="n">
        <v>46415</v>
      </c>
      <c r="B73" s="70"/>
      <c r="C73" s="70"/>
      <c r="D73" s="70"/>
      <c r="E73" s="70"/>
      <c r="F73" s="70"/>
      <c r="G73" s="70"/>
      <c r="H73" s="70"/>
      <c r="I73" s="70"/>
      <c r="J73" s="70"/>
      <c r="K73" s="70"/>
      <c r="L73" s="70"/>
      <c r="M73" s="70" t="s">
        <v>1717</v>
      </c>
      <c r="N73" s="70"/>
      <c r="O73" s="70" t="s">
        <v>1718</v>
      </c>
      <c r="P73" s="70" t="s">
        <v>1601</v>
      </c>
      <c r="Q73" s="70" t="str">
        <f aca="false">IFERROR("https://drive.google.com/file/d/"&amp;VLOOKUP("kcad6ba0a7c20",Drive!$A:$B,2,0)&amp;"/view","https://drive.google.com/drive/search?q=title:%22A7%201.04%20Two-Step%20Equations%20in%20Context%20-%20Teacher%20Edition.pdf%22")</f>
        <v>https://drive.google.com/drive/search?q=title:%22A7%201.04%20Two-Step%20Equations%20in%20Context%20-%20Teacher%20Edition.pdf%22</v>
      </c>
    </row>
    <row r="74" customFormat="false" ht="15" hidden="false" customHeight="false" outlineLevel="0" collapsed="false">
      <c r="A74" s="71" t="n">
        <v>46416</v>
      </c>
      <c r="B74" s="70"/>
      <c r="C74" s="70"/>
      <c r="D74" s="70"/>
      <c r="E74" s="70"/>
      <c r="F74" s="70"/>
      <c r="G74" s="70"/>
      <c r="H74" s="70"/>
      <c r="I74" s="70"/>
      <c r="J74" s="70"/>
      <c r="K74" s="70"/>
      <c r="L74" s="70"/>
      <c r="M74" s="70" t="s">
        <v>1719</v>
      </c>
      <c r="N74" s="70"/>
      <c r="O74" s="70" t="s">
        <v>1720</v>
      </c>
      <c r="P74" s="70" t="s">
        <v>1601</v>
      </c>
      <c r="Q74" s="70" t="str">
        <f aca="false">IFERROR("https://drive.google.com/file/d/"&amp;VLOOKUP("kecd875ec58e7",Drive!$A:$B,2,0)&amp;"/view","https://drive.google.com/drive/search?q=title:%22A7%201.04%20Two-Step%20Equations%20in%20Context%20-%20Question%20Bank.pdf%22")</f>
        <v>https://drive.google.com/drive/search?q=title:%22A7%201.04%20Two-Step%20Equations%20in%20Context%20-%20Question%20Bank.pdf%22</v>
      </c>
    </row>
    <row r="75" customFormat="false" ht="15" hidden="false" customHeight="false" outlineLevel="0" collapsed="false">
      <c r="A75" s="71" t="n">
        <v>46419</v>
      </c>
      <c r="B75" s="70"/>
      <c r="C75" s="70"/>
      <c r="D75" s="70"/>
      <c r="E75" s="70"/>
      <c r="F75" s="70"/>
      <c r="G75" s="70"/>
      <c r="H75" s="70"/>
      <c r="I75" s="70"/>
      <c r="J75" s="70"/>
      <c r="K75" s="70"/>
      <c r="L75" s="70"/>
      <c r="M75" s="70" t="s">
        <v>1721</v>
      </c>
      <c r="N75" s="70"/>
      <c r="O75" s="70" t="s">
        <v>1722</v>
      </c>
      <c r="P75" s="70" t="s">
        <v>1601</v>
      </c>
      <c r="Q75" s="70" t="str">
        <f aca="false">IFERROR("https://drive.google.com/file/d/"&amp;VLOOKUP("k04385d48a56f",Drive!$A:$B,2,0)&amp;"/view","https://drive.google.com/drive/search?q=title:%22A7%201.04%20Two-Step%20Equations%20in%20Context%20-%20Additional%20Question%20Bank.pdf%22")</f>
        <v>https://drive.google.com/drive/search?q=title:%22A7%201.04%20Two-Step%20Equations%20in%20Context%20-%20Additional%20Question%20Bank.pdf%22</v>
      </c>
    </row>
    <row r="76" customFormat="false" ht="15" hidden="false" customHeight="false" outlineLevel="0" collapsed="false">
      <c r="A76" s="71" t="n">
        <v>46420</v>
      </c>
      <c r="B76" s="70"/>
      <c r="C76" s="70"/>
      <c r="D76" s="70"/>
      <c r="E76" s="70"/>
      <c r="F76" s="70"/>
      <c r="G76" s="70"/>
      <c r="H76" s="70"/>
      <c r="I76" s="70"/>
      <c r="J76" s="70"/>
      <c r="K76" s="70"/>
      <c r="L76" s="70"/>
      <c r="M76" s="70" t="s">
        <v>1723</v>
      </c>
      <c r="N76" s="70"/>
      <c r="O76" s="70" t="s">
        <v>1724</v>
      </c>
      <c r="P76" s="70" t="s">
        <v>1601</v>
      </c>
      <c r="Q76" s="70" t="str">
        <f aca="false">IFERROR("https://drive.google.com/file/d/"&amp;VLOOKUP("kaa89f6499257",Drive!$A:$B,2,0)&amp;"/view","https://drive.google.com/drive/search?q=title:%22A7%201.04%20Two-Step%20Equations%20in%20Context%20-%20Question%20Bank%20-%20Key.pdf%22")</f>
        <v>https://drive.google.com/drive/search?q=title:%22A7%201.04%20Two-Step%20Equations%20in%20Context%20-%20Question%20Bank%20-%20Key.pdf%22</v>
      </c>
    </row>
    <row r="77" customFormat="false" ht="15" hidden="false" customHeight="false" outlineLevel="0" collapsed="false">
      <c r="A77" s="71" t="n">
        <v>46421</v>
      </c>
      <c r="B77" s="70"/>
      <c r="C77" s="70"/>
      <c r="D77" s="70"/>
      <c r="E77" s="70"/>
      <c r="F77" s="70"/>
      <c r="G77" s="70"/>
      <c r="H77" s="70"/>
      <c r="I77" s="70"/>
      <c r="J77" s="70"/>
      <c r="K77" s="70"/>
      <c r="L77" s="70"/>
      <c r="M77" s="70" t="s">
        <v>1725</v>
      </c>
      <c r="N77" s="70"/>
      <c r="O77" s="70" t="s">
        <v>1726</v>
      </c>
      <c r="P77" s="70" t="s">
        <v>1601</v>
      </c>
      <c r="Q77" s="70" t="str">
        <f aca="false">IFERROR("https://drive.google.com/file/d/"&amp;VLOOKUP("kc0dcbe2e82c2",Drive!$A:$B,2,0)&amp;"/view","https://drive.google.com/drive/search?q=title:%22A7%201.04%20Two-Step%20Equations%20in%20Context%20-%20Additional%20Question%20Bank%20-%20Key.pdf%22")</f>
        <v>https://drive.google.com/drive/search?q=title:%22A7%201.04%20Two-Step%20Equations%20in%20Context%20-%20Additional%20Question%20Bank%20-%20Key.pdf%22</v>
      </c>
    </row>
    <row r="78" customFormat="false" ht="15" hidden="false" customHeight="false" outlineLevel="0" collapsed="false">
      <c r="A78" s="71" t="n">
        <v>46422</v>
      </c>
      <c r="B78" s="70"/>
      <c r="C78" s="70"/>
      <c r="D78" s="70"/>
      <c r="E78" s="70"/>
      <c r="F78" s="70"/>
      <c r="G78" s="70"/>
      <c r="H78" s="70"/>
      <c r="I78" s="70"/>
      <c r="J78" s="70"/>
      <c r="K78" s="70"/>
      <c r="L78" s="70"/>
      <c r="M78" s="70"/>
      <c r="N78" s="70"/>
      <c r="O78" s="70" t="s">
        <v>1727</v>
      </c>
      <c r="P78" s="70" t="s">
        <v>1601</v>
      </c>
      <c r="Q78" s="70" t="str">
        <f aca="false">IFERROR("https://drive.google.com/file/d/"&amp;VLOOKUP("k368f7f8b9908",Drive!$A:$B,2,0)&amp;"/view","https://drive.google.com/drive/search?q=title:%22A7%201.05%20Solving%20Problems%20with%20Equations%20-%20Slides.pdf%22")</f>
        <v>https://drive.google.com/drive/search?q=title:%22A7%201.05%20Solving%20Problems%20with%20Equations%20-%20Slides.pdf%22</v>
      </c>
    </row>
    <row r="79" customFormat="false" ht="15" hidden="false" customHeight="false" outlineLevel="0" collapsed="false">
      <c r="A79" s="71" t="n">
        <v>46423</v>
      </c>
      <c r="B79" s="70"/>
      <c r="C79" s="70"/>
      <c r="D79" s="70"/>
      <c r="E79" s="70"/>
      <c r="F79" s="70"/>
      <c r="G79" s="70"/>
      <c r="H79" s="70"/>
      <c r="I79" s="70"/>
      <c r="J79" s="70"/>
      <c r="K79" s="70"/>
      <c r="L79" s="70"/>
      <c r="M79" s="70"/>
      <c r="N79" s="70"/>
      <c r="O79" s="70" t="s">
        <v>1728</v>
      </c>
      <c r="P79" s="70" t="s">
        <v>1601</v>
      </c>
      <c r="Q79" s="70" t="str">
        <f aca="false">IFERROR("https://drive.google.com/file/d/"&amp;VLOOKUP("k53d619094fb4",Drive!$A:$B,2,0)&amp;"/view","https://drive.google.com/drive/search?q=title:%22A7%201.05%20Solving%20Problems%20with%20Equations%20-%20Teacher%20Edition.pdf%22")</f>
        <v>https://drive.google.com/drive/search?q=title:%22A7%201.05%20Solving%20Problems%20with%20Equations%20-%20Teacher%20Edition.pdf%22</v>
      </c>
    </row>
    <row r="80" customFormat="false" ht="15" hidden="false" customHeight="false" outlineLevel="0" collapsed="false">
      <c r="A80" s="71" t="n">
        <v>46426</v>
      </c>
      <c r="B80" s="70"/>
      <c r="C80" s="70"/>
      <c r="D80" s="70"/>
      <c r="E80" s="70"/>
      <c r="F80" s="70"/>
      <c r="G80" s="70"/>
      <c r="H80" s="70"/>
      <c r="I80" s="70"/>
      <c r="J80" s="70"/>
      <c r="K80" s="70"/>
      <c r="L80" s="70"/>
      <c r="M80" s="70" t="s">
        <v>1729</v>
      </c>
      <c r="N80" s="70"/>
      <c r="O80" s="70" t="s">
        <v>1730</v>
      </c>
      <c r="P80" s="70" t="s">
        <v>1601</v>
      </c>
      <c r="Q80" s="70" t="str">
        <f aca="false">IFERROR("https://drive.google.com/file/d/"&amp;VLOOKUP("kf511d84233f9",Drive!$A:$B,2,0)&amp;"/view","https://drive.google.com/drive/search?q=title:%22A7%201.05%20Solving%20Problems%20with%20Equations%20-%20Question%20Bank.pdf%22")</f>
        <v>https://drive.google.com/drive/search?q=title:%22A7%201.05%20Solving%20Problems%20with%20Equations%20-%20Question%20Bank.pdf%22</v>
      </c>
    </row>
    <row r="81" customFormat="false" ht="15" hidden="false" customHeight="false" outlineLevel="0" collapsed="false">
      <c r="A81" s="71" t="n">
        <v>46427</v>
      </c>
      <c r="B81" s="70"/>
      <c r="C81" s="70"/>
      <c r="D81" s="70"/>
      <c r="E81" s="70"/>
      <c r="F81" s="70"/>
      <c r="G81" s="70"/>
      <c r="H81" s="70"/>
      <c r="I81" s="70"/>
      <c r="J81" s="70"/>
      <c r="K81" s="70"/>
      <c r="L81" s="70"/>
      <c r="M81" s="70" t="s">
        <v>1731</v>
      </c>
      <c r="N81" s="70"/>
      <c r="O81" s="70" t="s">
        <v>1732</v>
      </c>
      <c r="P81" s="70" t="s">
        <v>1601</v>
      </c>
      <c r="Q81" s="70" t="str">
        <f aca="false">IFERROR("https://drive.google.com/file/d/"&amp;VLOOKUP("k9da92cf1af2b",Drive!$A:$B,2,0)&amp;"/view","https://drive.google.com/drive/search?q=title:%22A7%201.05%20Solving%20Problems%20with%20Equations%20-%20Additional%20Question%20Bank.pdf%22")</f>
        <v>https://drive.google.com/drive/search?q=title:%22A7%201.05%20Solving%20Problems%20with%20Equations%20-%20Additional%20Question%20Bank.pdf%22</v>
      </c>
    </row>
    <row r="82" customFormat="false" ht="15" hidden="false" customHeight="false" outlineLevel="0" collapsed="false">
      <c r="A82" s="71" t="n">
        <v>46428</v>
      </c>
      <c r="B82" s="70"/>
      <c r="C82" s="70"/>
      <c r="D82" s="70"/>
      <c r="E82" s="70"/>
      <c r="F82" s="70"/>
      <c r="G82" s="70"/>
      <c r="H82" s="70"/>
      <c r="I82" s="70"/>
      <c r="J82" s="70"/>
      <c r="K82" s="70"/>
      <c r="L82" s="70"/>
      <c r="M82" s="70" t="s">
        <v>1733</v>
      </c>
      <c r="N82" s="70"/>
      <c r="O82" s="70" t="s">
        <v>1734</v>
      </c>
      <c r="P82" s="70" t="s">
        <v>1601</v>
      </c>
      <c r="Q82" s="70" t="str">
        <f aca="false">IFERROR("https://drive.google.com/file/d/"&amp;VLOOKUP("k515087871fe0",Drive!$A:$B,2,0)&amp;"/view","https://drive.google.com/drive/search?q=title:%22A7%201.05%20Solving%20Problems%20with%20Equations%20-%20Question%20Bank%20-%20Key.pdf%22")</f>
        <v>https://drive.google.com/drive/search?q=title:%22A7%201.05%20Solving%20Problems%20with%20Equations%20-%20Question%20Bank%20-%20Key.pdf%22</v>
      </c>
    </row>
    <row r="83" customFormat="false" ht="15" hidden="false" customHeight="false" outlineLevel="0" collapsed="false">
      <c r="A83" s="71" t="n">
        <v>46429</v>
      </c>
      <c r="B83" s="70"/>
      <c r="C83" s="70"/>
      <c r="D83" s="70"/>
      <c r="E83" s="70"/>
      <c r="F83" s="70"/>
      <c r="G83" s="70"/>
      <c r="H83" s="70"/>
      <c r="I83" s="70"/>
      <c r="J83" s="70"/>
      <c r="K83" s="70"/>
      <c r="L83" s="70"/>
      <c r="M83" s="70" t="s">
        <v>1735</v>
      </c>
      <c r="N83" s="70"/>
      <c r="O83" s="70" t="s">
        <v>1736</v>
      </c>
      <c r="P83" s="70" t="s">
        <v>1601</v>
      </c>
      <c r="Q83" s="70" t="str">
        <f aca="false">IFERROR("https://drive.google.com/file/d/"&amp;VLOOKUP("kdb6acc983851",Drive!$A:$B,2,0)&amp;"/view","https://drive.google.com/drive/search?q=title:%22A7%201.05%20Solving%20Problems%20with%20Equations%20-%20Additional%20Question%20Bank%20-%20Key.pdf%22")</f>
        <v>https://drive.google.com/drive/search?q=title:%22A7%201.05%20Solving%20Problems%20with%20Equations%20-%20Additional%20Question%20Bank%20-%20Key.pdf%22</v>
      </c>
    </row>
    <row r="84" customFormat="false" ht="15" hidden="false" customHeight="false" outlineLevel="0" collapsed="false">
      <c r="A84" s="71" t="n">
        <v>46430</v>
      </c>
      <c r="B84" s="70"/>
      <c r="C84" s="70"/>
      <c r="D84" s="70"/>
      <c r="E84" s="70"/>
      <c r="F84" s="70"/>
      <c r="G84" s="70"/>
      <c r="H84" s="70"/>
      <c r="I84" s="70"/>
      <c r="J84" s="70"/>
      <c r="K84" s="70"/>
      <c r="L84" s="70"/>
      <c r="M84" s="70" t="s">
        <v>1737</v>
      </c>
      <c r="N84" s="70"/>
      <c r="O84" s="70" t="s">
        <v>1738</v>
      </c>
      <c r="P84" s="70" t="s">
        <v>1601</v>
      </c>
      <c r="Q84" s="70" t="str">
        <f aca="false">IFERROR("https://drive.google.com/file/d/"&amp;VLOOKUP("k9cdee450b988",Drive!$A:$B,2,0)&amp;"/view","https://drive.google.com/drive/search?q=title:%22A7%201.06%20Writing%20Equations%20from%20Contexts%20-%20Slides.pdf%22")</f>
        <v>https://drive.google.com/drive/search?q=title:%22A7%201.06%20Writing%20Equations%20from%20Contexts%20-%20Slides.pdf%22</v>
      </c>
    </row>
    <row r="85" customFormat="false" ht="15" hidden="false" customHeight="false" outlineLevel="0" collapsed="false">
      <c r="A85" s="71" t="n">
        <v>46434</v>
      </c>
      <c r="B85" s="70"/>
      <c r="C85" s="70"/>
      <c r="D85" s="70"/>
      <c r="E85" s="70"/>
      <c r="F85" s="70"/>
      <c r="G85" s="70"/>
      <c r="H85" s="70"/>
      <c r="I85" s="70"/>
      <c r="J85" s="70"/>
      <c r="K85" s="70"/>
      <c r="L85" s="70"/>
      <c r="M85" s="70" t="s">
        <v>1739</v>
      </c>
      <c r="N85" s="70"/>
      <c r="O85" s="70" t="s">
        <v>1740</v>
      </c>
      <c r="P85" s="70" t="s">
        <v>1601</v>
      </c>
      <c r="Q85" s="70" t="str">
        <f aca="false">IFERROR("https://drive.google.com/file/d/"&amp;VLOOKUP("kac1e5e18d498",Drive!$A:$B,2,0)&amp;"/view","https://drive.google.com/drive/search?q=title:%22A7%201.06%20Writing%20Equations%20from%20Contexts%20-%20Teacher%20Edition.pdf%22")</f>
        <v>https://drive.google.com/drive/search?q=title:%22A7%201.06%20Writing%20Equations%20from%20Contexts%20-%20Teacher%20Edition.pdf%22</v>
      </c>
    </row>
    <row r="86" customFormat="false" ht="15" hidden="false" customHeight="false" outlineLevel="0" collapsed="false">
      <c r="A86" s="71" t="n">
        <v>46435</v>
      </c>
      <c r="B86" s="70"/>
      <c r="C86" s="70"/>
      <c r="D86" s="70"/>
      <c r="E86" s="70"/>
      <c r="F86" s="70"/>
      <c r="G86" s="70"/>
      <c r="H86" s="70"/>
      <c r="I86" s="70"/>
      <c r="J86" s="70"/>
      <c r="K86" s="70"/>
      <c r="L86" s="70"/>
      <c r="M86" s="70" t="s">
        <v>1741</v>
      </c>
      <c r="N86" s="70"/>
      <c r="O86" s="70" t="s">
        <v>1742</v>
      </c>
      <c r="P86" s="70" t="s">
        <v>1601</v>
      </c>
      <c r="Q86" s="70" t="str">
        <f aca="false">IFERROR("https://drive.google.com/file/d/"&amp;VLOOKUP("kdb5db6608070",Drive!$A:$B,2,0)&amp;"/view","https://drive.google.com/drive/search?q=title:%22A7%201.06%20Writing%20Equations%20from%20Contexts%20-%20Question%20Bank.pdf%22")</f>
        <v>https://drive.google.com/drive/search?q=title:%22A7%201.06%20Writing%20Equations%20from%20Contexts%20-%20Question%20Bank.pdf%22</v>
      </c>
    </row>
    <row r="87" customFormat="false" ht="15" hidden="false" customHeight="false" outlineLevel="0" collapsed="false">
      <c r="A87" s="71" t="n">
        <v>46436</v>
      </c>
      <c r="B87" s="70"/>
      <c r="C87" s="70"/>
      <c r="D87" s="70"/>
      <c r="E87" s="70"/>
      <c r="F87" s="70"/>
      <c r="G87" s="70"/>
      <c r="H87" s="70"/>
      <c r="I87" s="70"/>
      <c r="J87" s="70"/>
      <c r="K87" s="70"/>
      <c r="L87" s="70"/>
      <c r="M87" s="70"/>
      <c r="N87" s="70"/>
      <c r="O87" s="70" t="s">
        <v>1743</v>
      </c>
      <c r="P87" s="70" t="s">
        <v>1601</v>
      </c>
      <c r="Q87" s="70" t="str">
        <f aca="false">IFERROR("https://drive.google.com/file/d/"&amp;VLOOKUP("kf2a43f4ef780",Drive!$A:$B,2,0)&amp;"/view","https://drive.google.com/drive/search?q=title:%22A7%201.06%20Writing%20Equations%20from%20Contexts%20-%20Additional%20Question%20Bank.pdf%22")</f>
        <v>https://drive.google.com/drive/search?q=title:%22A7%201.06%20Writing%20Equations%20from%20Contexts%20-%20Additional%20Question%20Bank.pdf%22</v>
      </c>
    </row>
    <row r="88" customFormat="false" ht="15" hidden="false" customHeight="false" outlineLevel="0" collapsed="false">
      <c r="A88" s="71" t="n">
        <v>46437</v>
      </c>
      <c r="B88" s="70"/>
      <c r="C88" s="70"/>
      <c r="D88" s="70"/>
      <c r="E88" s="70"/>
      <c r="F88" s="70"/>
      <c r="G88" s="70"/>
      <c r="H88" s="70"/>
      <c r="I88" s="70"/>
      <c r="J88" s="70"/>
      <c r="K88" s="70"/>
      <c r="L88" s="70"/>
      <c r="M88" s="70"/>
      <c r="N88" s="70"/>
      <c r="O88" s="70" t="s">
        <v>1744</v>
      </c>
      <c r="P88" s="70" t="s">
        <v>1601</v>
      </c>
      <c r="Q88" s="70" t="str">
        <f aca="false">IFERROR("https://drive.google.com/file/d/"&amp;VLOOKUP("k86b940633ffd",Drive!$A:$B,2,0)&amp;"/view","https://drive.google.com/drive/search?q=title:%22A7%201.06%20Writing%20Equations%20from%20Contexts%20-%20Question%20Bank%20-%20Key.pdf%22")</f>
        <v>https://drive.google.com/drive/search?q=title:%22A7%201.06%20Writing%20Equations%20from%20Contexts%20-%20Question%20Bank%20-%20Key.pdf%22</v>
      </c>
    </row>
    <row r="89" customFormat="false" ht="15" hidden="false" customHeight="false" outlineLevel="0" collapsed="false">
      <c r="A89" s="71" t="n">
        <v>46440</v>
      </c>
      <c r="B89" s="70"/>
      <c r="C89" s="70"/>
      <c r="D89" s="70"/>
      <c r="E89" s="70"/>
      <c r="F89" s="70"/>
      <c r="G89" s="70"/>
      <c r="H89" s="70"/>
      <c r="I89" s="70"/>
      <c r="J89" s="70"/>
      <c r="K89" s="70"/>
      <c r="L89" s="70"/>
      <c r="M89" s="70"/>
      <c r="N89" s="70"/>
      <c r="O89" s="70" t="s">
        <v>1745</v>
      </c>
      <c r="P89" s="70" t="s">
        <v>1601</v>
      </c>
      <c r="Q89" s="70" t="str">
        <f aca="false">IFERROR("https://drive.google.com/file/d/"&amp;VLOOKUP("kf341ebe84b57",Drive!$A:$B,2,0)&amp;"/view","https://drive.google.com/drive/search?q=title:%22A7%201.06%20Writing%20Equations%20from%20Contexts%20-%20Additional%20Question%20Bank%20-%20Key.pdf%22")</f>
        <v>https://drive.google.com/drive/search?q=title:%22A7%201.06%20Writing%20Equations%20from%20Contexts%20-%20Additional%20Question%20Bank%20-%20Key.pdf%22</v>
      </c>
    </row>
    <row r="90" customFormat="false" ht="15" hidden="false" customHeight="false" outlineLevel="0" collapsed="false">
      <c r="A90" s="71" t="n">
        <v>46441</v>
      </c>
      <c r="B90" s="70"/>
      <c r="C90" s="70"/>
      <c r="D90" s="70"/>
      <c r="E90" s="70"/>
      <c r="F90" s="70"/>
      <c r="G90" s="70"/>
      <c r="H90" s="70"/>
      <c r="I90" s="70"/>
      <c r="J90" s="70"/>
      <c r="K90" s="70"/>
      <c r="L90" s="70"/>
      <c r="M90" s="70" t="s">
        <v>1746</v>
      </c>
      <c r="N90" s="70"/>
      <c r="O90" s="70" t="s">
        <v>1747</v>
      </c>
      <c r="P90" s="70" t="s">
        <v>1601</v>
      </c>
      <c r="Q90" s="70" t="str">
        <f aca="false">IFERROR("https://drive.google.com/file/d/"&amp;VLOOKUP("k7383ee3f2ec5",Drive!$A:$B,2,0)&amp;"/view","https://drive.google.com/drive/search?q=title:%22A7%201.07%20Writing%20and%20Solving%20Equations%20-%20Slides.pdf%22")</f>
        <v>https://drive.google.com/drive/search?q=title:%22A7%201.07%20Writing%20and%20Solving%20Equations%20-%20Slides.pdf%22</v>
      </c>
    </row>
    <row r="91" customFormat="false" ht="15" hidden="false" customHeight="false" outlineLevel="0" collapsed="false">
      <c r="A91" s="71" t="n">
        <v>46442</v>
      </c>
      <c r="B91" s="70"/>
      <c r="C91" s="70"/>
      <c r="D91" s="70"/>
      <c r="E91" s="70"/>
      <c r="F91" s="70"/>
      <c r="G91" s="70"/>
      <c r="H91" s="70"/>
      <c r="I91" s="70"/>
      <c r="J91" s="70"/>
      <c r="K91" s="70"/>
      <c r="L91" s="70"/>
      <c r="M91" s="70" t="s">
        <v>1748</v>
      </c>
      <c r="N91" s="70"/>
      <c r="O91" s="70" t="s">
        <v>1749</v>
      </c>
      <c r="P91" s="70" t="s">
        <v>1601</v>
      </c>
      <c r="Q91" s="70" t="str">
        <f aca="false">IFERROR("https://drive.google.com/file/d/"&amp;VLOOKUP("k5cae8f95e8bd",Drive!$A:$B,2,0)&amp;"/view","https://drive.google.com/drive/search?q=title:%22A7%201.07%20Writing%20and%20Solving%20Equations%20-%20Teacher%20Edition.pdf%22")</f>
        <v>https://drive.google.com/drive/search?q=title:%22A7%201.07%20Writing%20and%20Solving%20Equations%20-%20Teacher%20Edition.pdf%22</v>
      </c>
    </row>
    <row r="92" customFormat="false" ht="15" hidden="false" customHeight="false" outlineLevel="0" collapsed="false">
      <c r="A92" s="71" t="n">
        <v>46443</v>
      </c>
      <c r="B92" s="70"/>
      <c r="C92" s="70"/>
      <c r="D92" s="70"/>
      <c r="E92" s="70"/>
      <c r="F92" s="70"/>
      <c r="G92" s="70"/>
      <c r="H92" s="70"/>
      <c r="I92" s="70"/>
      <c r="J92" s="70"/>
      <c r="K92" s="70"/>
      <c r="L92" s="70"/>
      <c r="M92" s="70" t="s">
        <v>1750</v>
      </c>
      <c r="N92" s="70"/>
      <c r="O92" s="70" t="s">
        <v>1751</v>
      </c>
      <c r="P92" s="70" t="s">
        <v>1601</v>
      </c>
      <c r="Q92" s="70" t="str">
        <f aca="false">IFERROR("https://drive.google.com/file/d/"&amp;VLOOKUP("k0ecee6c15886",Drive!$A:$B,2,0)&amp;"/view","https://drive.google.com/drive/search?q=title:%22A7%201.07%20Writing%20and%20Solving%20Equations%20-%20Question%20Bank.pdf%22")</f>
        <v>https://drive.google.com/drive/search?q=title:%22A7%201.07%20Writing%20and%20Solving%20Equations%20-%20Question%20Bank.pdf%22</v>
      </c>
    </row>
    <row r="93" customFormat="false" ht="15" hidden="false" customHeight="false" outlineLevel="0" collapsed="false">
      <c r="A93" s="71" t="n">
        <v>46444</v>
      </c>
      <c r="B93" s="70"/>
      <c r="C93" s="70"/>
      <c r="D93" s="70"/>
      <c r="E93" s="70"/>
      <c r="F93" s="70"/>
      <c r="G93" s="70"/>
      <c r="H93" s="70"/>
      <c r="I93" s="70"/>
      <c r="J93" s="70"/>
      <c r="K93" s="70"/>
      <c r="L93" s="70"/>
      <c r="M93" s="70" t="s">
        <v>1752</v>
      </c>
      <c r="N93" s="70"/>
      <c r="O93" s="70" t="s">
        <v>1753</v>
      </c>
      <c r="P93" s="70" t="s">
        <v>1601</v>
      </c>
      <c r="Q93" s="70" t="str">
        <f aca="false">IFERROR("https://drive.google.com/file/d/"&amp;VLOOKUP("k874b463422ce",Drive!$A:$B,2,0)&amp;"/view","https://drive.google.com/drive/search?q=title:%22A7%201.07%20Writing%20and%20Solving%20Equations%20-%20Additional%20Question%20Bank.pdf%22")</f>
        <v>https://drive.google.com/drive/search?q=title:%22A7%201.07%20Writing%20and%20Solving%20Equations%20-%20Additional%20Question%20Bank.pdf%22</v>
      </c>
    </row>
    <row r="94" customFormat="false" ht="15" hidden="false" customHeight="false" outlineLevel="0" collapsed="false">
      <c r="A94" s="71" t="n">
        <v>46447</v>
      </c>
      <c r="B94" s="70"/>
      <c r="C94" s="70"/>
      <c r="D94" s="70"/>
      <c r="E94" s="70"/>
      <c r="F94" s="70"/>
      <c r="G94" s="70"/>
      <c r="H94" s="70"/>
      <c r="I94" s="70"/>
      <c r="J94" s="70"/>
      <c r="K94" s="70"/>
      <c r="L94" s="70"/>
      <c r="M94" s="70"/>
      <c r="N94" s="70"/>
      <c r="O94" s="70" t="s">
        <v>1754</v>
      </c>
      <c r="P94" s="70" t="s">
        <v>1601</v>
      </c>
      <c r="Q94" s="70" t="str">
        <f aca="false">IFERROR("https://drive.google.com/file/d/"&amp;VLOOKUP("k07aa4ed88482",Drive!$A:$B,2,0)&amp;"/view","https://drive.google.com/drive/search?q=title:%22A7%201.07%20Writing%20and%20Solving%20Equations%20-%20Question%20Bank%20-%20Key.pdf%22")</f>
        <v>https://drive.google.com/drive/search?q=title:%22A7%201.07%20Writing%20and%20Solving%20Equations%20-%20Question%20Bank%20-%20Key.pdf%22</v>
      </c>
    </row>
    <row r="95" customFormat="false" ht="15" hidden="false" customHeight="false" outlineLevel="0" collapsed="false">
      <c r="A95" s="71" t="n">
        <v>46448</v>
      </c>
      <c r="B95" s="70"/>
      <c r="C95" s="70"/>
      <c r="D95" s="70"/>
      <c r="E95" s="70"/>
      <c r="F95" s="70"/>
      <c r="G95" s="70"/>
      <c r="H95" s="70"/>
      <c r="I95" s="70"/>
      <c r="J95" s="70"/>
      <c r="K95" s="70"/>
      <c r="L95" s="70"/>
      <c r="M95" s="70" t="s">
        <v>1755</v>
      </c>
      <c r="N95" s="70"/>
      <c r="O95" s="70" t="s">
        <v>1756</v>
      </c>
      <c r="P95" s="70" t="s">
        <v>1601</v>
      </c>
      <c r="Q95" s="70" t="str">
        <f aca="false">IFERROR("https://drive.google.com/file/d/"&amp;VLOOKUP("k444ff4b9a71a",Drive!$A:$B,2,0)&amp;"/view","https://drive.google.com/drive/search?q=title:%22A7%201.07%20Writing%20and%20Solving%20Equations%20-%20Additional%20Question%20Bank%20-%20Key.pdf%22")</f>
        <v>https://drive.google.com/drive/search?q=title:%22A7%201.07%20Writing%20and%20Solving%20Equations%20-%20Additional%20Question%20Bank%20-%20Key.pdf%22</v>
      </c>
    </row>
    <row r="96" customFormat="false" ht="15" hidden="false" customHeight="false" outlineLevel="0" collapsed="false">
      <c r="A96" s="71" t="n">
        <v>46449</v>
      </c>
      <c r="B96" s="70"/>
      <c r="C96" s="70"/>
      <c r="D96" s="70"/>
      <c r="E96" s="70"/>
      <c r="F96" s="70"/>
      <c r="G96" s="70"/>
      <c r="H96" s="70"/>
      <c r="I96" s="70"/>
      <c r="J96" s="70"/>
      <c r="K96" s="70"/>
      <c r="L96" s="70"/>
      <c r="M96" s="70" t="s">
        <v>1757</v>
      </c>
      <c r="N96" s="70"/>
      <c r="O96" s="70" t="s">
        <v>1758</v>
      </c>
      <c r="P96" s="70" t="s">
        <v>1601</v>
      </c>
      <c r="Q96" s="70" t="str">
        <f aca="false">IFERROR("https://drive.google.com/file/d/"&amp;VLOOKUP("k42b7580a8cb9",Drive!$A:$B,2,0)&amp;"/view","https://drive.google.com/drive/search?q=title:%22A7%201.08%20Determining%20Solutions%20to%20Inequalities%20-%20Slides.pdf%22")</f>
        <v>https://drive.google.com/drive/search?q=title:%22A7%201.08%20Determining%20Solutions%20to%20Inequalities%20-%20Slides.pdf%22</v>
      </c>
    </row>
    <row r="97" customFormat="false" ht="15" hidden="false" customHeight="false" outlineLevel="0" collapsed="false">
      <c r="A97" s="71" t="n">
        <v>46450</v>
      </c>
      <c r="B97" s="70"/>
      <c r="C97" s="70"/>
      <c r="D97" s="70"/>
      <c r="E97" s="70"/>
      <c r="F97" s="70"/>
      <c r="G97" s="70"/>
      <c r="H97" s="70"/>
      <c r="I97" s="70"/>
      <c r="J97" s="70"/>
      <c r="K97" s="70"/>
      <c r="L97" s="70"/>
      <c r="M97" s="70"/>
      <c r="N97" s="70"/>
      <c r="O97" s="70" t="s">
        <v>1759</v>
      </c>
      <c r="P97" s="70" t="s">
        <v>1601</v>
      </c>
      <c r="Q97" s="70" t="str">
        <f aca="false">IFERROR("https://drive.google.com/file/d/"&amp;VLOOKUP("k8e5410dc08f9",Drive!$A:$B,2,0)&amp;"/view","https://drive.google.com/drive/search?q=title:%22A7%201.08%20Determining%20Solutions%20to%20Inequalities%20-%20Teacher%20Edition.pdf%22")</f>
        <v>https://drive.google.com/drive/search?q=title:%22A7%201.08%20Determining%20Solutions%20to%20Inequalities%20-%20Teacher%20Edition.pdf%22</v>
      </c>
    </row>
    <row r="98" customFormat="false" ht="15" hidden="false" customHeight="false" outlineLevel="0" collapsed="false">
      <c r="A98" s="71" t="n">
        <v>46454</v>
      </c>
      <c r="B98" s="70"/>
      <c r="C98" s="70"/>
      <c r="D98" s="70"/>
      <c r="E98" s="70"/>
      <c r="F98" s="70"/>
      <c r="G98" s="70"/>
      <c r="H98" s="70"/>
      <c r="I98" s="70"/>
      <c r="J98" s="70"/>
      <c r="K98" s="70"/>
      <c r="L98" s="70"/>
      <c r="M98" s="70"/>
      <c r="N98" s="70"/>
      <c r="O98" s="70" t="s">
        <v>1760</v>
      </c>
      <c r="P98" s="70" t="s">
        <v>1601</v>
      </c>
      <c r="Q98" s="70" t="str">
        <f aca="false">IFERROR("https://drive.google.com/file/d/"&amp;VLOOKUP("kb0df0c43cf87",Drive!$A:$B,2,0)&amp;"/view","https://drive.google.com/drive/search?q=title:%22A7%201.08%20Determining%20Solutions%20to%20Inequalities%20-%20Question%20Bank.pdf%22")</f>
        <v>https://drive.google.com/drive/search?q=title:%22A7%201.08%20Determining%20Solutions%20to%20Inequalities%20-%20Question%20Bank.pdf%22</v>
      </c>
    </row>
    <row r="99" customFormat="false" ht="15" hidden="false" customHeight="false" outlineLevel="0" collapsed="false">
      <c r="A99" s="71" t="n">
        <v>46455</v>
      </c>
      <c r="B99" s="70"/>
      <c r="C99" s="70"/>
      <c r="D99" s="70"/>
      <c r="E99" s="70"/>
      <c r="F99" s="70"/>
      <c r="G99" s="70"/>
      <c r="H99" s="70"/>
      <c r="I99" s="70"/>
      <c r="J99" s="70"/>
      <c r="K99" s="70"/>
      <c r="L99" s="70"/>
      <c r="M99" s="70"/>
      <c r="N99" s="70"/>
      <c r="O99" s="70" t="s">
        <v>1761</v>
      </c>
      <c r="P99" s="70" t="s">
        <v>1601</v>
      </c>
      <c r="Q99" s="70" t="str">
        <f aca="false">IFERROR("https://drive.google.com/file/d/"&amp;VLOOKUP("kde315e91893f",Drive!$A:$B,2,0)&amp;"/view","https://drive.google.com/drive/search?q=title:%22A7%201.08%20Determining%20Solutions%20to%20Inequalities%20-%20Additional%20Question%20Bank.pdf%22")</f>
        <v>https://drive.google.com/drive/search?q=title:%22A7%201.08%20Determining%20Solutions%20to%20Inequalities%20-%20Additional%20Question%20Bank.pdf%22</v>
      </c>
    </row>
    <row r="100" customFormat="false" ht="15" hidden="false" customHeight="false" outlineLevel="0" collapsed="false">
      <c r="A100" s="71" t="n">
        <v>46456</v>
      </c>
      <c r="B100" s="70"/>
      <c r="C100" s="70"/>
      <c r="D100" s="70"/>
      <c r="E100" s="70"/>
      <c r="F100" s="70"/>
      <c r="G100" s="70"/>
      <c r="H100" s="70"/>
      <c r="I100" s="70"/>
      <c r="J100" s="70"/>
      <c r="K100" s="70"/>
      <c r="L100" s="70"/>
      <c r="M100" s="70"/>
      <c r="N100" s="70"/>
      <c r="O100" s="70" t="s">
        <v>1762</v>
      </c>
      <c r="P100" s="70" t="s">
        <v>1601</v>
      </c>
      <c r="Q100" s="70" t="str">
        <f aca="false">IFERROR("https://drive.google.com/file/d/"&amp;VLOOKUP("kf9cc95eccf07",Drive!$A:$B,2,0)&amp;"/view","https://drive.google.com/drive/search?q=title:%22A7%201.08%20Determining%20Solutions%20to%20Inequalities%20-%20Question%20Bank%20-%20Key.pdf%22")</f>
        <v>https://drive.google.com/drive/search?q=title:%22A7%201.08%20Determining%20Solutions%20to%20Inequalities%20-%20Question%20Bank%20-%20Key.pdf%22</v>
      </c>
    </row>
    <row r="101" customFormat="false" ht="15" hidden="false" customHeight="false" outlineLevel="0" collapsed="false">
      <c r="A101" s="71" t="n">
        <v>46457</v>
      </c>
      <c r="B101" s="70"/>
      <c r="C101" s="70"/>
      <c r="D101" s="70"/>
      <c r="E101" s="70"/>
      <c r="F101" s="70"/>
      <c r="G101" s="70"/>
      <c r="H101" s="70"/>
      <c r="I101" s="70"/>
      <c r="J101" s="70"/>
      <c r="K101" s="70"/>
      <c r="L101" s="70"/>
      <c r="M101" s="70" t="s">
        <v>1763</v>
      </c>
      <c r="N101" s="70"/>
      <c r="O101" s="70" t="s">
        <v>1764</v>
      </c>
      <c r="P101" s="70" t="s">
        <v>1601</v>
      </c>
      <c r="Q101" s="70" t="str">
        <f aca="false">IFERROR("https://drive.google.com/file/d/"&amp;VLOOKUP("kd674be572fbd",Drive!$A:$B,2,0)&amp;"/view","https://drive.google.com/drive/search?q=title:%22A7%201.08%20Determining%20Solutions%20to%20Inequalities%20-%20Additional%20Question%20Bank%20-%20Key.pdf%22")</f>
        <v>https://drive.google.com/drive/search?q=title:%22A7%201.08%20Determining%20Solutions%20to%20Inequalities%20-%20Additional%20Question%20Bank%20-%20Key.pdf%22</v>
      </c>
    </row>
    <row r="102" customFormat="false" ht="15" hidden="false" customHeight="false" outlineLevel="0" collapsed="false">
      <c r="A102" s="71" t="n">
        <v>46458</v>
      </c>
      <c r="B102" s="70"/>
      <c r="C102" s="70"/>
      <c r="D102" s="70"/>
      <c r="E102" s="70"/>
      <c r="F102" s="70"/>
      <c r="G102" s="70"/>
      <c r="H102" s="70"/>
      <c r="I102" s="70"/>
      <c r="J102" s="70"/>
      <c r="K102" s="70"/>
      <c r="L102" s="70"/>
      <c r="M102" s="70" t="s">
        <v>1765</v>
      </c>
      <c r="N102" s="70"/>
      <c r="O102" s="70" t="s">
        <v>1766</v>
      </c>
      <c r="P102" s="70" t="s">
        <v>1601</v>
      </c>
      <c r="Q102" s="70" t="str">
        <f aca="false">IFERROR("https://drive.google.com/file/d/"&amp;VLOOKUP("k4f3c12075c6f",Drive!$A:$B,2,0)&amp;"/view","https://drive.google.com/drive/search?q=title:%22A7%201.09%20Inequalities%20with%20the%20Distributive%20Property%20-%20Slides.pdf%22")</f>
        <v>https://drive.google.com/drive/search?q=title:%22A7%201.09%20Inequalities%20with%20the%20Distributive%20Property%20-%20Slides.pdf%22</v>
      </c>
    </row>
    <row r="103" customFormat="false" ht="15" hidden="false" customHeight="false" outlineLevel="0" collapsed="false">
      <c r="A103" s="71" t="n">
        <v>46461</v>
      </c>
      <c r="B103" s="70"/>
      <c r="C103" s="70"/>
      <c r="D103" s="70"/>
      <c r="E103" s="70"/>
      <c r="F103" s="70"/>
      <c r="G103" s="70"/>
      <c r="H103" s="70"/>
      <c r="I103" s="70"/>
      <c r="J103" s="70"/>
      <c r="K103" s="70"/>
      <c r="L103" s="70"/>
      <c r="M103" s="70" t="s">
        <v>1767</v>
      </c>
      <c r="N103" s="70"/>
      <c r="O103" s="70" t="s">
        <v>1768</v>
      </c>
      <c r="P103" s="70" t="s">
        <v>1601</v>
      </c>
      <c r="Q103" s="70" t="str">
        <f aca="false">IFERROR("https://drive.google.com/file/d/"&amp;VLOOKUP("k856d2d13cd04",Drive!$A:$B,2,0)&amp;"/view","https://drive.google.com/drive/search?q=title:%22A7%201.09%20Inequalities%20with%20the%20Distributive%20Property%20-%20Teacher%20Edition.pdf%22")</f>
        <v>https://drive.google.com/drive/search?q=title:%22A7%201.09%20Inequalities%20with%20the%20Distributive%20Property%20-%20Teacher%20Edition.pdf%22</v>
      </c>
    </row>
    <row r="104" customFormat="false" ht="15" hidden="false" customHeight="false" outlineLevel="0" collapsed="false">
      <c r="A104" s="71" t="n">
        <v>46462</v>
      </c>
      <c r="B104" s="70"/>
      <c r="C104" s="70"/>
      <c r="D104" s="70"/>
      <c r="E104" s="70"/>
      <c r="F104" s="70"/>
      <c r="G104" s="70"/>
      <c r="H104" s="70"/>
      <c r="I104" s="70"/>
      <c r="J104" s="70"/>
      <c r="K104" s="70"/>
      <c r="L104" s="70"/>
      <c r="M104" s="70" t="s">
        <v>1769</v>
      </c>
      <c r="N104" s="70"/>
      <c r="O104" s="70" t="s">
        <v>1770</v>
      </c>
      <c r="P104" s="70" t="s">
        <v>1601</v>
      </c>
      <c r="Q104" s="70" t="str">
        <f aca="false">IFERROR("https://drive.google.com/file/d/"&amp;VLOOKUP("k160e960d09c4",Drive!$A:$B,2,0)&amp;"/view","https://drive.google.com/drive/search?q=title:%22A7%201.09%20Inequalities%20with%20the%20Distributive%20Property%20-%20Question%20Bank.pdf%22")</f>
        <v>https://drive.google.com/drive/search?q=title:%22A7%201.09%20Inequalities%20with%20the%20Distributive%20Property%20-%20Question%20Bank.pdf%22</v>
      </c>
    </row>
    <row r="105" customFormat="false" ht="15" hidden="false" customHeight="false" outlineLevel="0" collapsed="false">
      <c r="A105" s="71" t="n">
        <v>46463</v>
      </c>
      <c r="B105" s="70"/>
      <c r="C105" s="70"/>
      <c r="D105" s="70"/>
      <c r="E105" s="70"/>
      <c r="F105" s="70"/>
      <c r="G105" s="70"/>
      <c r="H105" s="70"/>
      <c r="I105" s="70"/>
      <c r="J105" s="70"/>
      <c r="K105" s="70"/>
      <c r="L105" s="70"/>
      <c r="M105" s="70" t="s">
        <v>1771</v>
      </c>
      <c r="N105" s="70"/>
      <c r="O105" s="70" t="s">
        <v>1772</v>
      </c>
      <c r="P105" s="70" t="s">
        <v>1601</v>
      </c>
      <c r="Q105" s="70" t="str">
        <f aca="false">IFERROR("https://drive.google.com/file/d/"&amp;VLOOKUP("kd3a48013b455",Drive!$A:$B,2,0)&amp;"/view","https://drive.google.com/drive/search?q=title:%22A7%201.09%20Inequalities%20with%20the%20Distributive%20Property%20-%20Additional%20Question%20Bank.pdf%22")</f>
        <v>https://drive.google.com/drive/search?q=title:%22A7%201.09%20Inequalities%20with%20the%20Distributive%20Property%20-%20Additional%20Question%20Bank.pdf%22</v>
      </c>
    </row>
    <row r="106" customFormat="false" ht="15" hidden="false" customHeight="false" outlineLevel="0" collapsed="false">
      <c r="A106" s="71" t="n">
        <v>46464</v>
      </c>
      <c r="B106" s="70"/>
      <c r="C106" s="70"/>
      <c r="D106" s="70"/>
      <c r="E106" s="70"/>
      <c r="F106" s="70"/>
      <c r="G106" s="70"/>
      <c r="H106" s="70"/>
      <c r="I106" s="70"/>
      <c r="J106" s="70"/>
      <c r="K106" s="70"/>
      <c r="L106" s="70"/>
      <c r="M106" s="70" t="s">
        <v>1773</v>
      </c>
      <c r="N106" s="70"/>
      <c r="O106" s="70" t="s">
        <v>1774</v>
      </c>
      <c r="P106" s="70" t="s">
        <v>1601</v>
      </c>
      <c r="Q106" s="70" t="str">
        <f aca="false">IFERROR("https://drive.google.com/file/d/"&amp;VLOOKUP("k0f26b556436e",Drive!$A:$B,2,0)&amp;"/view","https://drive.google.com/drive/search?q=title:%22A7%201.09%20Inequalities%20with%20the%20Distributive%20Property%20-%20Question%20Bank%20-%20Key.pdf%22")</f>
        <v>https://drive.google.com/drive/search?q=title:%22A7%201.09%20Inequalities%20with%20the%20Distributive%20Property%20-%20Question%20Bank%20-%20Key.pdf%22</v>
      </c>
    </row>
    <row r="107" customFormat="false" ht="15" hidden="false" customHeight="false" outlineLevel="0" collapsed="false">
      <c r="A107" s="71" t="n">
        <v>46465</v>
      </c>
      <c r="B107" s="70"/>
      <c r="C107" s="70"/>
      <c r="D107" s="70"/>
      <c r="E107" s="70"/>
      <c r="F107" s="70"/>
      <c r="G107" s="70"/>
      <c r="H107" s="70"/>
      <c r="I107" s="70"/>
      <c r="J107" s="70"/>
      <c r="K107" s="70"/>
      <c r="L107" s="70"/>
      <c r="M107" s="70" t="s">
        <v>1775</v>
      </c>
      <c r="N107" s="70"/>
      <c r="O107" s="70" t="s">
        <v>1776</v>
      </c>
      <c r="P107" s="70" t="s">
        <v>1601</v>
      </c>
      <c r="Q107" s="70" t="str">
        <f aca="false">IFERROR("https://drive.google.com/file/d/"&amp;VLOOKUP("k3a6534dc5a62",Drive!$A:$B,2,0)&amp;"/view","https://drive.google.com/drive/search?q=title:%22A7%201.09%20Inequalities%20with%20the%20Distributive%20Property%20-%20Additional%20Question%20Bank%20-%20Key.pdf%22")</f>
        <v>https://drive.google.com/drive/search?q=title:%22A7%201.09%20Inequalities%20with%20the%20Distributive%20Property%20-%20Additional%20Question%20Bank%20-%20Key.pdf%22</v>
      </c>
    </row>
    <row r="108" customFormat="false" ht="15" hidden="false" customHeight="false" outlineLevel="0" collapsed="false">
      <c r="A108" s="71" t="n">
        <v>46475</v>
      </c>
      <c r="B108" s="70"/>
      <c r="C108" s="70"/>
      <c r="D108" s="70"/>
      <c r="E108" s="70"/>
      <c r="F108" s="70"/>
      <c r="G108" s="70"/>
      <c r="H108" s="70"/>
      <c r="I108" s="70"/>
      <c r="J108" s="70"/>
      <c r="K108" s="70"/>
      <c r="L108" s="70"/>
      <c r="M108" s="70"/>
      <c r="N108" s="70"/>
      <c r="O108" s="70" t="s">
        <v>1777</v>
      </c>
      <c r="P108" s="70" t="s">
        <v>1601</v>
      </c>
      <c r="Q108" s="70" t="str">
        <f aca="false">IFERROR("https://drive.google.com/file/d/"&amp;VLOOKUP("ka5734698aa50",Drive!$A:$B,2,0)&amp;"/view","https://drive.google.com/drive/search?q=title:%22A7%201.10%20Inequalities%20in%20Real-World%20Contexts%20-%20Slides.pdf%22")</f>
        <v>https://drive.google.com/drive/search?q=title:%22A7%201.10%20Inequalities%20in%20Real-World%20Contexts%20-%20Slides.pdf%22</v>
      </c>
    </row>
    <row r="109" customFormat="false" ht="15" hidden="false" customHeight="false" outlineLevel="0" collapsed="false">
      <c r="A109" s="71" t="n">
        <v>46476</v>
      </c>
      <c r="B109" s="70"/>
      <c r="C109" s="70"/>
      <c r="D109" s="70"/>
      <c r="E109" s="70"/>
      <c r="F109" s="70"/>
      <c r="G109" s="70"/>
      <c r="H109" s="70"/>
      <c r="I109" s="70"/>
      <c r="J109" s="70"/>
      <c r="K109" s="70"/>
      <c r="L109" s="70"/>
      <c r="M109" s="70"/>
      <c r="N109" s="70"/>
      <c r="O109" s="70" t="s">
        <v>1778</v>
      </c>
      <c r="P109" s="70" t="s">
        <v>1601</v>
      </c>
      <c r="Q109" s="70" t="str">
        <f aca="false">IFERROR("https://drive.google.com/file/d/"&amp;VLOOKUP("k3bd1b440e87a",Drive!$A:$B,2,0)&amp;"/view","https://drive.google.com/drive/search?q=title:%22A7%201.10%20Inequalities%20in%20Real-World%20Contexts%20-%20Teacher%20Edition.pdf%22")</f>
        <v>https://drive.google.com/drive/search?q=title:%22A7%201.10%20Inequalities%20in%20Real-World%20Contexts%20-%20Teacher%20Edition.pdf%22</v>
      </c>
    </row>
    <row r="110" customFormat="false" ht="15" hidden="false" customHeight="false" outlineLevel="0" collapsed="false">
      <c r="A110" s="71" t="n">
        <v>46477</v>
      </c>
      <c r="B110" s="70"/>
      <c r="C110" s="70"/>
      <c r="D110" s="70"/>
      <c r="E110" s="70"/>
      <c r="F110" s="70"/>
      <c r="G110" s="70"/>
      <c r="H110" s="70"/>
      <c r="I110" s="70"/>
      <c r="J110" s="70"/>
      <c r="K110" s="70"/>
      <c r="L110" s="70"/>
      <c r="M110" s="70" t="s">
        <v>1779</v>
      </c>
      <c r="N110" s="70"/>
      <c r="O110" s="70" t="s">
        <v>1780</v>
      </c>
      <c r="P110" s="70" t="s">
        <v>1601</v>
      </c>
      <c r="Q110" s="70" t="str">
        <f aca="false">IFERROR("https://drive.google.com/file/d/"&amp;VLOOKUP("k52493b74eb28",Drive!$A:$B,2,0)&amp;"/view","https://drive.google.com/drive/search?q=title:%22A7%201.10%20Inequalities%20in%20Real-World%20Contexts%20-%20Question%20Bank.pdf%22")</f>
        <v>https://drive.google.com/drive/search?q=title:%22A7%201.10%20Inequalities%20in%20Real-World%20Contexts%20-%20Question%20Bank.pdf%22</v>
      </c>
    </row>
    <row r="111" customFormat="false" ht="15" hidden="false" customHeight="false" outlineLevel="0" collapsed="false">
      <c r="A111" s="71" t="n">
        <v>46478</v>
      </c>
      <c r="B111" s="70"/>
      <c r="C111" s="70"/>
      <c r="D111" s="70"/>
      <c r="E111" s="70"/>
      <c r="F111" s="70"/>
      <c r="G111" s="70"/>
      <c r="H111" s="70"/>
      <c r="I111" s="70"/>
      <c r="J111" s="70"/>
      <c r="K111" s="70"/>
      <c r="L111" s="70"/>
      <c r="M111" s="70" t="s">
        <v>1781</v>
      </c>
      <c r="N111" s="70"/>
      <c r="O111" s="70" t="s">
        <v>1782</v>
      </c>
      <c r="P111" s="70" t="s">
        <v>1601</v>
      </c>
      <c r="Q111" s="70" t="str">
        <f aca="false">IFERROR("https://drive.google.com/file/d/"&amp;VLOOKUP("k3fa800b9318b",Drive!$A:$B,2,0)&amp;"/view","https://drive.google.com/drive/search?q=title:%22A7%201.10%20Inequalities%20in%20Real-World%20Contexts%20-%20Additional%20Question%20Bank.pdf%22")</f>
        <v>https://drive.google.com/drive/search?q=title:%22A7%201.10%20Inequalities%20in%20Real-World%20Contexts%20-%20Additional%20Question%20Bank.pdf%22</v>
      </c>
    </row>
    <row r="112" customFormat="false" ht="15" hidden="false" customHeight="false" outlineLevel="0" collapsed="false">
      <c r="A112" s="71" t="n">
        <v>46479</v>
      </c>
      <c r="B112" s="70"/>
      <c r="C112" s="70"/>
      <c r="D112" s="70"/>
      <c r="E112" s="70"/>
      <c r="F112" s="70"/>
      <c r="G112" s="70"/>
      <c r="H112" s="70"/>
      <c r="I112" s="70"/>
      <c r="J112" s="70"/>
      <c r="K112" s="70"/>
      <c r="L112" s="70"/>
      <c r="M112" s="70" t="s">
        <v>1783</v>
      </c>
      <c r="N112" s="70"/>
      <c r="O112" s="70" t="s">
        <v>1784</v>
      </c>
      <c r="P112" s="70" t="s">
        <v>1601</v>
      </c>
      <c r="Q112" s="70" t="str">
        <f aca="false">IFERROR("https://drive.google.com/file/d/"&amp;VLOOKUP("k5b2764e691f7",Drive!$A:$B,2,0)&amp;"/view","https://drive.google.com/drive/search?q=title:%22A7%201.10%20Inequalities%20in%20Real-World%20Contexts%20-%20Question%20Bank%20-%20Key.pdf%22")</f>
        <v>https://drive.google.com/drive/search?q=title:%22A7%201.10%20Inequalities%20in%20Real-World%20Contexts%20-%20Question%20Bank%20-%20Key.pdf%22</v>
      </c>
    </row>
    <row r="113" customFormat="false" ht="15" hidden="false" customHeight="false" outlineLevel="0" collapsed="false">
      <c r="A113" s="71" t="n">
        <v>46482</v>
      </c>
      <c r="B113" s="70"/>
      <c r="C113" s="70"/>
      <c r="D113" s="70"/>
      <c r="E113" s="70"/>
      <c r="F113" s="70"/>
      <c r="G113" s="70"/>
      <c r="H113" s="70"/>
      <c r="I113" s="70"/>
      <c r="J113" s="70"/>
      <c r="K113" s="70"/>
      <c r="L113" s="70"/>
      <c r="M113" s="70"/>
      <c r="N113" s="70"/>
      <c r="O113" s="70" t="s">
        <v>1785</v>
      </c>
      <c r="P113" s="70" t="s">
        <v>1601</v>
      </c>
      <c r="Q113" s="70" t="str">
        <f aca="false">IFERROR("https://drive.google.com/file/d/"&amp;VLOOKUP("k9afa96310f5f",Drive!$A:$B,2,0)&amp;"/view","https://drive.google.com/drive/search?q=title:%22A7%201.10%20Inequalities%20in%20Real-World%20Contexts%20-%20Additional%20Question%20Bank%20-%20Key.pdf%22")</f>
        <v>https://drive.google.com/drive/search?q=title:%22A7%201.10%20Inequalities%20in%20Real-World%20Contexts%20-%20Additional%20Question%20Bank%20-%20Key.pdf%22</v>
      </c>
    </row>
    <row r="114" customFormat="false" ht="15" hidden="false" customHeight="false" outlineLevel="0" collapsed="false">
      <c r="A114" s="71" t="n">
        <v>46483</v>
      </c>
      <c r="B114" s="70"/>
      <c r="C114" s="70"/>
      <c r="D114" s="70"/>
      <c r="E114" s="70"/>
      <c r="F114" s="70"/>
      <c r="G114" s="70"/>
      <c r="H114" s="70"/>
      <c r="I114" s="70"/>
      <c r="J114" s="70"/>
      <c r="K114" s="70"/>
      <c r="L114" s="70"/>
      <c r="M114" s="70"/>
      <c r="N114" s="70"/>
      <c r="O114" s="70" t="s">
        <v>1786</v>
      </c>
      <c r="P114" s="70" t="s">
        <v>1601</v>
      </c>
      <c r="Q114" s="70" t="str">
        <f aca="false">IFERROR("https://drive.google.com/file/d/"&amp;VLOOKUP("k3eb4a6e4e0a9",Drive!$A:$B,2,0)&amp;"/view","https://drive.google.com/drive/search?q=title:%22A7%202.01%20Square%20Values%20-%20Slides.pdf%22")</f>
        <v>https://drive.google.com/drive/search?q=title:%22A7%202.01%20Square%20Values%20-%20Slides.pdf%22</v>
      </c>
    </row>
    <row r="115" customFormat="false" ht="15" hidden="false" customHeight="false" outlineLevel="0" collapsed="false">
      <c r="A115" s="71" t="n">
        <v>46484</v>
      </c>
      <c r="B115" s="70"/>
      <c r="C115" s="70"/>
      <c r="D115" s="70"/>
      <c r="E115" s="70"/>
      <c r="F115" s="70"/>
      <c r="G115" s="70"/>
      <c r="H115" s="70"/>
      <c r="I115" s="70"/>
      <c r="J115" s="70"/>
      <c r="K115" s="70"/>
      <c r="L115" s="70"/>
      <c r="M115" s="70" t="s">
        <v>1787</v>
      </c>
      <c r="N115" s="70"/>
      <c r="O115" s="70" t="s">
        <v>1788</v>
      </c>
      <c r="P115" s="70" t="s">
        <v>1601</v>
      </c>
      <c r="Q115" s="70" t="str">
        <f aca="false">IFERROR("https://drive.google.com/file/d/"&amp;VLOOKUP("k3786dea98f2a",Drive!$A:$B,2,0)&amp;"/view","https://drive.google.com/drive/search?q=title:%22A7%202.01%20Square%20Values%20-%20Teacher%20Edition.pdf%22")</f>
        <v>https://drive.google.com/drive/search?q=title:%22A7%202.01%20Square%20Values%20-%20Teacher%20Edition.pdf%22</v>
      </c>
    </row>
    <row r="116" customFormat="false" ht="15" hidden="false" customHeight="false" outlineLevel="0" collapsed="false">
      <c r="A116" s="71" t="n">
        <v>46485</v>
      </c>
      <c r="B116" s="70"/>
      <c r="C116" s="70"/>
      <c r="D116" s="70"/>
      <c r="E116" s="70"/>
      <c r="F116" s="70"/>
      <c r="G116" s="70"/>
      <c r="H116" s="70"/>
      <c r="I116" s="70"/>
      <c r="J116" s="70"/>
      <c r="K116" s="70"/>
      <c r="L116" s="70"/>
      <c r="M116" s="70" t="s">
        <v>1789</v>
      </c>
      <c r="N116" s="70"/>
      <c r="O116" s="70" t="s">
        <v>1790</v>
      </c>
      <c r="P116" s="70" t="s">
        <v>1601</v>
      </c>
      <c r="Q116" s="70" t="str">
        <f aca="false">IFERROR("https://drive.google.com/file/d/"&amp;VLOOKUP("k8424cc4e78b1",Drive!$A:$B,2,0)&amp;"/view","https://drive.google.com/drive/search?q=title:%22A7%202.01%20Square%20Values%20-%20Question%20Bank.pdf%22")</f>
        <v>https://drive.google.com/drive/search?q=title:%22A7%202.01%20Square%20Values%20-%20Question%20Bank.pdf%22</v>
      </c>
    </row>
    <row r="117" customFormat="false" ht="15" hidden="false" customHeight="false" outlineLevel="0" collapsed="false">
      <c r="A117" s="71" t="n">
        <v>46486</v>
      </c>
      <c r="B117" s="70"/>
      <c r="C117" s="70"/>
      <c r="D117" s="70"/>
      <c r="E117" s="70"/>
      <c r="F117" s="70"/>
      <c r="G117" s="70"/>
      <c r="H117" s="70"/>
      <c r="I117" s="70"/>
      <c r="J117" s="70"/>
      <c r="K117" s="70"/>
      <c r="L117" s="70"/>
      <c r="M117" s="70" t="s">
        <v>1791</v>
      </c>
      <c r="N117" s="70"/>
      <c r="O117" s="70" t="s">
        <v>1792</v>
      </c>
      <c r="P117" s="70" t="s">
        <v>1601</v>
      </c>
      <c r="Q117" s="70" t="str">
        <f aca="false">IFERROR("https://drive.google.com/file/d/"&amp;VLOOKUP("kf325ac36b969",Drive!$A:$B,2,0)&amp;"/view","https://drive.google.com/drive/search?q=title:%22A7%202.01%20Square%20Values%20-%20Additional%20Question%20Bank.pdf%22")</f>
        <v>https://drive.google.com/drive/search?q=title:%22A7%202.01%20Square%20Values%20-%20Additional%20Question%20Bank.pdf%22</v>
      </c>
    </row>
    <row r="118" customFormat="false" ht="15" hidden="false" customHeight="false" outlineLevel="0" collapsed="false">
      <c r="A118" s="71" t="n">
        <v>46489</v>
      </c>
      <c r="B118" s="70"/>
      <c r="C118" s="70"/>
      <c r="D118" s="70"/>
      <c r="E118" s="70"/>
      <c r="F118" s="70"/>
      <c r="G118" s="70"/>
      <c r="H118" s="70"/>
      <c r="I118" s="70"/>
      <c r="J118" s="70"/>
      <c r="K118" s="70"/>
      <c r="L118" s="70"/>
      <c r="M118" s="70" t="s">
        <v>1793</v>
      </c>
      <c r="N118" s="70"/>
      <c r="O118" s="70" t="s">
        <v>1794</v>
      </c>
      <c r="P118" s="70" t="s">
        <v>1601</v>
      </c>
      <c r="Q118" s="70" t="str">
        <f aca="false">IFERROR("https://drive.google.com/file/d/"&amp;VLOOKUP("k4ec5ffc67bf1",Drive!$A:$B,2,0)&amp;"/view","https://drive.google.com/drive/search?q=title:%22A7%202.01%20Square%20Values%20-%20Question%20Bank%20-%20Key.pdf%22")</f>
        <v>https://drive.google.com/drive/search?q=title:%22A7%202.01%20Square%20Values%20-%20Question%20Bank%20-%20Key.pdf%22</v>
      </c>
    </row>
    <row r="119" customFormat="false" ht="15" hidden="false" customHeight="false" outlineLevel="0" collapsed="false">
      <c r="A119" s="71" t="n">
        <v>46490</v>
      </c>
      <c r="B119" s="70"/>
      <c r="C119" s="70"/>
      <c r="D119" s="70"/>
      <c r="E119" s="70"/>
      <c r="F119" s="70"/>
      <c r="G119" s="70"/>
      <c r="H119" s="70"/>
      <c r="I119" s="70"/>
      <c r="J119" s="70"/>
      <c r="K119" s="70"/>
      <c r="L119" s="70"/>
      <c r="M119" s="70" t="s">
        <v>1795</v>
      </c>
      <c r="N119" s="70"/>
      <c r="O119" s="70" t="s">
        <v>1796</v>
      </c>
      <c r="P119" s="70" t="s">
        <v>1601</v>
      </c>
      <c r="Q119" s="70" t="str">
        <f aca="false">IFERROR("https://drive.google.com/file/d/"&amp;VLOOKUP("k006e6e337926",Drive!$A:$B,2,0)&amp;"/view","https://drive.google.com/drive/search?q=title:%22A7%202.01%20Square%20Values%20-%20Additional%20Question%20Bank%20-%20Key.pdf%22")</f>
        <v>https://drive.google.com/drive/search?q=title:%22A7%202.01%20Square%20Values%20-%20Additional%20Question%20Bank%20-%20Key.pdf%22</v>
      </c>
    </row>
    <row r="120" customFormat="false" ht="15" hidden="false" customHeight="false" outlineLevel="0" collapsed="false">
      <c r="A120" s="71" t="n">
        <v>46491</v>
      </c>
      <c r="B120" s="70"/>
      <c r="C120" s="70"/>
      <c r="D120" s="70"/>
      <c r="E120" s="70"/>
      <c r="F120" s="70"/>
      <c r="G120" s="70"/>
      <c r="H120" s="70"/>
      <c r="I120" s="70"/>
      <c r="J120" s="70"/>
      <c r="K120" s="70"/>
      <c r="L120" s="70"/>
      <c r="M120" s="70" t="s">
        <v>1797</v>
      </c>
      <c r="N120" s="70"/>
      <c r="O120" s="70" t="s">
        <v>1798</v>
      </c>
      <c r="P120" s="70" t="s">
        <v>1601</v>
      </c>
      <c r="Q120" s="70" t="str">
        <f aca="false">IFERROR("https://drive.google.com/file/d/"&amp;VLOOKUP("k94da89c1d16d",Drive!$A:$B,2,0)&amp;"/view","https://drive.google.com/drive/search?q=title:%22A7%202.02%20Square%20Values%20and%20Square%20Roots%20-%20Slides.pdf%22")</f>
        <v>https://drive.google.com/drive/search?q=title:%22A7%202.02%20Square%20Values%20and%20Square%20Roots%20-%20Slides.pdf%22</v>
      </c>
    </row>
    <row r="121" customFormat="false" ht="15" hidden="false" customHeight="false" outlineLevel="0" collapsed="false">
      <c r="A121" s="71" t="n">
        <v>46492</v>
      </c>
      <c r="B121" s="70"/>
      <c r="C121" s="70"/>
      <c r="D121" s="70"/>
      <c r="E121" s="70"/>
      <c r="F121" s="70"/>
      <c r="G121" s="70"/>
      <c r="H121" s="70"/>
      <c r="I121" s="70"/>
      <c r="J121" s="70"/>
      <c r="K121" s="70"/>
      <c r="L121" s="70"/>
      <c r="M121" s="70" t="s">
        <v>1799</v>
      </c>
      <c r="N121" s="70"/>
      <c r="O121" s="70" t="s">
        <v>1800</v>
      </c>
      <c r="P121" s="70" t="s">
        <v>1601</v>
      </c>
      <c r="Q121" s="70" t="str">
        <f aca="false">IFERROR("https://drive.google.com/file/d/"&amp;VLOOKUP("k9b79f94a3042",Drive!$A:$B,2,0)&amp;"/view","https://drive.google.com/drive/search?q=title:%22A7%202.02%20Square%20Values%20and%20Square%20Roots%20-%20Teacher%20Edition.pdf%22")</f>
        <v>https://drive.google.com/drive/search?q=title:%22A7%202.02%20Square%20Values%20and%20Square%20Roots%20-%20Teacher%20Edition.pdf%22</v>
      </c>
    </row>
    <row r="122" customFormat="false" ht="15" hidden="false" customHeight="false" outlineLevel="0" collapsed="false">
      <c r="A122" s="71" t="n">
        <v>46496</v>
      </c>
      <c r="B122" s="70"/>
      <c r="C122" s="70"/>
      <c r="D122" s="70"/>
      <c r="E122" s="70"/>
      <c r="F122" s="70"/>
      <c r="G122" s="70"/>
      <c r="H122" s="70"/>
      <c r="I122" s="70"/>
      <c r="J122" s="70"/>
      <c r="K122" s="70"/>
      <c r="L122" s="70"/>
      <c r="M122" s="70" t="s">
        <v>1801</v>
      </c>
      <c r="N122" s="70"/>
      <c r="O122" s="70" t="s">
        <v>1802</v>
      </c>
      <c r="P122" s="70" t="s">
        <v>1601</v>
      </c>
      <c r="Q122" s="70" t="str">
        <f aca="false">IFERROR("https://drive.google.com/file/d/"&amp;VLOOKUP("k4b57aec5f42c",Drive!$A:$B,2,0)&amp;"/view","https://drive.google.com/drive/search?q=title:%22A7%202.02%20Square%20Values%20and%20Square%20Roots%20-%20Question%20Bank.pdf%22")</f>
        <v>https://drive.google.com/drive/search?q=title:%22A7%202.02%20Square%20Values%20and%20Square%20Roots%20-%20Question%20Bank.pdf%22</v>
      </c>
    </row>
    <row r="123" customFormat="false" ht="15" hidden="false" customHeight="false" outlineLevel="0" collapsed="false">
      <c r="A123" s="71" t="n">
        <v>46497</v>
      </c>
      <c r="B123" s="70"/>
      <c r="C123" s="70"/>
      <c r="D123" s="70"/>
      <c r="E123" s="70"/>
      <c r="F123" s="70"/>
      <c r="G123" s="70"/>
      <c r="H123" s="70"/>
      <c r="I123" s="70"/>
      <c r="J123" s="70"/>
      <c r="K123" s="70"/>
      <c r="L123" s="70"/>
      <c r="M123" s="70" t="s">
        <v>1803</v>
      </c>
      <c r="N123" s="70"/>
      <c r="O123" s="70" t="s">
        <v>1804</v>
      </c>
      <c r="P123" s="70" t="s">
        <v>1601</v>
      </c>
      <c r="Q123" s="70" t="str">
        <f aca="false">IFERROR("https://drive.google.com/file/d/"&amp;VLOOKUP("k524993898ff0",Drive!$A:$B,2,0)&amp;"/view","https://drive.google.com/drive/search?q=title:%22A7%202.02%20Square%20Values%20and%20Square%20Roots%20-%20Additional%20Question%20Bank.pdf%22")</f>
        <v>https://drive.google.com/drive/search?q=title:%22A7%202.02%20Square%20Values%20and%20Square%20Roots%20-%20Additional%20Question%20Bank.pdf%22</v>
      </c>
    </row>
    <row r="124" customFormat="false" ht="15" hidden="false" customHeight="false" outlineLevel="0" collapsed="false">
      <c r="A124" s="71" t="n">
        <v>46498</v>
      </c>
      <c r="B124" s="70"/>
      <c r="C124" s="70"/>
      <c r="D124" s="70"/>
      <c r="E124" s="70"/>
      <c r="F124" s="70"/>
      <c r="G124" s="70"/>
      <c r="H124" s="70"/>
      <c r="I124" s="70"/>
      <c r="J124" s="70"/>
      <c r="K124" s="70"/>
      <c r="L124" s="70"/>
      <c r="M124" s="70" t="s">
        <v>1805</v>
      </c>
      <c r="N124" s="70"/>
      <c r="O124" s="70" t="s">
        <v>1806</v>
      </c>
      <c r="P124" s="70" t="s">
        <v>1601</v>
      </c>
      <c r="Q124" s="70" t="str">
        <f aca="false">IFERROR("https://drive.google.com/file/d/"&amp;VLOOKUP("k71038ca67fed",Drive!$A:$B,2,0)&amp;"/view","https://drive.google.com/drive/search?q=title:%22A7%202.02%20Square%20Values%20and%20Square%20Roots%20-%20Question%20Bank%20-%20Key.pdf%22")</f>
        <v>https://drive.google.com/drive/search?q=title:%22A7%202.02%20Square%20Values%20and%20Square%20Roots%20-%20Question%20Bank%20-%20Key.pdf%22</v>
      </c>
    </row>
    <row r="125" customFormat="false" ht="15" hidden="false" customHeight="false" outlineLevel="0" collapsed="false">
      <c r="A125" s="71" t="n">
        <v>46499</v>
      </c>
      <c r="B125" s="70"/>
      <c r="C125" s="70"/>
      <c r="D125" s="70"/>
      <c r="E125" s="70"/>
      <c r="F125" s="70"/>
      <c r="G125" s="70"/>
      <c r="H125" s="70"/>
      <c r="I125" s="70"/>
      <c r="J125" s="70"/>
      <c r="K125" s="70"/>
      <c r="L125" s="70"/>
      <c r="M125" s="70"/>
      <c r="N125" s="70"/>
      <c r="O125" s="70" t="s">
        <v>1807</v>
      </c>
      <c r="P125" s="70" t="s">
        <v>1601</v>
      </c>
      <c r="Q125" s="70" t="str">
        <f aca="false">IFERROR("https://drive.google.com/file/d/"&amp;VLOOKUP("kab565ddcecfd",Drive!$A:$B,2,0)&amp;"/view","https://drive.google.com/drive/search?q=title:%22A7%202.02%20Square%20Values%20and%20Square%20Roots%20-%20Additional%20Question%20Bank%20-%20Key.pdf%22")</f>
        <v>https://drive.google.com/drive/search?q=title:%22A7%202.02%20Square%20Values%20and%20Square%20Roots%20-%20Additional%20Question%20Bank%20-%20Key.pdf%22</v>
      </c>
    </row>
    <row r="126" customFormat="false" ht="15" hidden="false" customHeight="false" outlineLevel="0" collapsed="false">
      <c r="A126" s="71" t="n">
        <v>46500</v>
      </c>
      <c r="B126" s="70"/>
      <c r="C126" s="70"/>
      <c r="D126" s="70"/>
      <c r="E126" s="70"/>
      <c r="F126" s="70"/>
      <c r="G126" s="70"/>
      <c r="H126" s="70"/>
      <c r="I126" s="70"/>
      <c r="J126" s="70"/>
      <c r="K126" s="70"/>
      <c r="L126" s="70"/>
      <c r="M126" s="70"/>
      <c r="N126" s="70"/>
      <c r="O126" s="70" t="s">
        <v>1808</v>
      </c>
      <c r="P126" s="70" t="s">
        <v>1601</v>
      </c>
      <c r="Q126" s="70" t="str">
        <f aca="false">IFERROR("https://drive.google.com/file/d/"&amp;VLOOKUP("kda9320d99fb4",Drive!$A:$B,2,0)&amp;"/view","https://drive.google.com/drive/search?q=title:%22A7%202.03%20Cube%20Values%20-%20Slides.pdf%22")</f>
        <v>https://drive.google.com/drive/search?q=title:%22A7%202.03%20Cube%20Values%20-%20Slides.pdf%22</v>
      </c>
    </row>
    <row r="127" customFormat="false" ht="15" hidden="false" customHeight="false" outlineLevel="0" collapsed="false">
      <c r="A127" s="71" t="n">
        <v>46503</v>
      </c>
      <c r="B127" s="70"/>
      <c r="C127" s="70"/>
      <c r="D127" s="70"/>
      <c r="E127" s="70"/>
      <c r="F127" s="70"/>
      <c r="G127" s="70"/>
      <c r="H127" s="70"/>
      <c r="I127" s="70"/>
      <c r="J127" s="70"/>
      <c r="K127" s="70"/>
      <c r="L127" s="70"/>
      <c r="M127" s="70" t="s">
        <v>1809</v>
      </c>
      <c r="N127" s="70"/>
      <c r="O127" s="70" t="s">
        <v>1810</v>
      </c>
      <c r="P127" s="70" t="s">
        <v>1601</v>
      </c>
      <c r="Q127" s="70" t="str">
        <f aca="false">IFERROR("https://drive.google.com/file/d/"&amp;VLOOKUP("k577a4eca3248",Drive!$A:$B,2,0)&amp;"/view","https://drive.google.com/drive/search?q=title:%22A7%202.03%20Cube%20Values%20-%20Teacher%20Edition.pdf%22")</f>
        <v>https://drive.google.com/drive/search?q=title:%22A7%202.03%20Cube%20Values%20-%20Teacher%20Edition.pdf%22</v>
      </c>
    </row>
    <row r="128" customFormat="false" ht="15" hidden="false" customHeight="false" outlineLevel="0" collapsed="false">
      <c r="A128" s="71" t="n">
        <v>46504</v>
      </c>
      <c r="B128" s="70"/>
      <c r="C128" s="70"/>
      <c r="D128" s="70"/>
      <c r="E128" s="70"/>
      <c r="F128" s="70"/>
      <c r="G128" s="70"/>
      <c r="H128" s="70"/>
      <c r="I128" s="70"/>
      <c r="J128" s="70"/>
      <c r="K128" s="70"/>
      <c r="L128" s="70"/>
      <c r="M128" s="70" t="s">
        <v>1811</v>
      </c>
      <c r="N128" s="70"/>
      <c r="O128" s="70" t="s">
        <v>1812</v>
      </c>
      <c r="P128" s="70" t="s">
        <v>1601</v>
      </c>
      <c r="Q128" s="70" t="str">
        <f aca="false">IFERROR("https://drive.google.com/file/d/"&amp;VLOOKUP("k0dbd9d8294a0",Drive!$A:$B,2,0)&amp;"/view","https://drive.google.com/drive/search?q=title:%22A7%202.03%20Cube%20Values%20-%20Question%20Bank.pdf%22")</f>
        <v>https://drive.google.com/drive/search?q=title:%22A7%202.03%20Cube%20Values%20-%20Question%20Bank.pdf%22</v>
      </c>
    </row>
    <row r="129" customFormat="false" ht="15" hidden="false" customHeight="false" outlineLevel="0" collapsed="false">
      <c r="A129" s="71" t="n">
        <v>46505</v>
      </c>
      <c r="B129" s="70"/>
      <c r="C129" s="70"/>
      <c r="D129" s="70"/>
      <c r="E129" s="70"/>
      <c r="F129" s="70"/>
      <c r="G129" s="70"/>
      <c r="H129" s="70"/>
      <c r="I129" s="70"/>
      <c r="J129" s="70"/>
      <c r="K129" s="70"/>
      <c r="L129" s="70"/>
      <c r="M129" s="70"/>
      <c r="N129" s="70"/>
      <c r="O129" s="70" t="s">
        <v>1813</v>
      </c>
      <c r="P129" s="70" t="s">
        <v>1601</v>
      </c>
      <c r="Q129" s="70" t="str">
        <f aca="false">IFERROR("https://drive.google.com/file/d/"&amp;VLOOKUP("k858285f0484a",Drive!$A:$B,2,0)&amp;"/view","https://drive.google.com/drive/search?q=title:%22A7%202.03%20Cube%20Values%20-%20Additional%20Question%20Bank.pdf%22")</f>
        <v>https://drive.google.com/drive/search?q=title:%22A7%202.03%20Cube%20Values%20-%20Additional%20Question%20Bank.pdf%22</v>
      </c>
    </row>
    <row r="130" customFormat="false" ht="15" hidden="false" customHeight="false" outlineLevel="0" collapsed="false">
      <c r="A130" s="71" t="n">
        <v>46506</v>
      </c>
      <c r="B130" s="70"/>
      <c r="C130" s="70"/>
      <c r="D130" s="70"/>
      <c r="E130" s="70"/>
      <c r="F130" s="70"/>
      <c r="G130" s="70"/>
      <c r="H130" s="70"/>
      <c r="I130" s="70"/>
      <c r="J130" s="70"/>
      <c r="K130" s="70"/>
      <c r="L130" s="70"/>
      <c r="M130" s="70"/>
      <c r="N130" s="70"/>
      <c r="O130" s="70" t="s">
        <v>1814</v>
      </c>
      <c r="P130" s="70" t="s">
        <v>1601</v>
      </c>
      <c r="Q130" s="70" t="str">
        <f aca="false">IFERROR("https://drive.google.com/file/d/"&amp;VLOOKUP("k3386b404a0cc",Drive!$A:$B,2,0)&amp;"/view","https://drive.google.com/drive/search?q=title:%22A7%202.03%20Cube%20Values%20-%20Question%20Bank%20-%20Key.pdf%22")</f>
        <v>https://drive.google.com/drive/search?q=title:%22A7%202.03%20Cube%20Values%20-%20Question%20Bank%20-%20Key.pdf%22</v>
      </c>
    </row>
    <row r="131" customFormat="false" ht="15" hidden="false" customHeight="false" outlineLevel="0" collapsed="false">
      <c r="A131" s="71" t="n">
        <v>46507</v>
      </c>
      <c r="B131" s="70"/>
      <c r="C131" s="70"/>
      <c r="D131" s="70"/>
      <c r="E131" s="70"/>
      <c r="F131" s="70"/>
      <c r="G131" s="70"/>
      <c r="H131" s="70"/>
      <c r="I131" s="70"/>
      <c r="J131" s="70"/>
      <c r="K131" s="70"/>
      <c r="L131" s="70"/>
      <c r="M131" s="70"/>
      <c r="N131" s="70"/>
      <c r="O131" s="70" t="s">
        <v>1815</v>
      </c>
      <c r="P131" s="70" t="s">
        <v>1601</v>
      </c>
      <c r="Q131" s="70" t="str">
        <f aca="false">IFERROR("https://drive.google.com/file/d/"&amp;VLOOKUP("k1fdcada6b7d5",Drive!$A:$B,2,0)&amp;"/view","https://drive.google.com/drive/search?q=title:%22A7%202.03%20Cube%20Values%20-%20Additional%20Question%20Bank%20-%20Key.pdf%22")</f>
        <v>https://drive.google.com/drive/search?q=title:%22A7%202.03%20Cube%20Values%20-%20Additional%20Question%20Bank%20-%20Key.pdf%22</v>
      </c>
    </row>
    <row r="132" customFormat="false" ht="15" hidden="false" customHeight="false" outlineLevel="0" collapsed="false">
      <c r="A132" s="71" t="n">
        <v>46510</v>
      </c>
      <c r="B132" s="70"/>
      <c r="C132" s="70"/>
      <c r="D132" s="70"/>
      <c r="E132" s="70"/>
      <c r="F132" s="70"/>
      <c r="G132" s="70"/>
      <c r="H132" s="70"/>
      <c r="I132" s="70"/>
      <c r="J132" s="70"/>
      <c r="K132" s="70"/>
      <c r="L132" s="70"/>
      <c r="M132" s="70"/>
      <c r="N132" s="70"/>
      <c r="O132" s="70" t="s">
        <v>1816</v>
      </c>
      <c r="P132" s="70" t="s">
        <v>1601</v>
      </c>
      <c r="Q132" s="70" t="str">
        <f aca="false">IFERROR("https://drive.google.com/file/d/"&amp;VLOOKUP("k66ad104dc3f4",Drive!$A:$B,2,0)&amp;"/view","https://drive.google.com/drive/search?q=title:%22A7%202.04%20Approximating%20Irrational%20Numbers%20-%20Slides.pdf%22")</f>
        <v>https://drive.google.com/drive/search?q=title:%22A7%202.04%20Approximating%20Irrational%20Numbers%20-%20Slides.pdf%22</v>
      </c>
    </row>
    <row r="133" customFormat="false" ht="15" hidden="false" customHeight="false" outlineLevel="0" collapsed="false">
      <c r="A133" s="70"/>
      <c r="B133" s="70"/>
      <c r="C133" s="70"/>
      <c r="D133" s="70"/>
      <c r="E133" s="70"/>
      <c r="F133" s="70"/>
      <c r="G133" s="70"/>
      <c r="H133" s="70"/>
      <c r="I133" s="70"/>
      <c r="J133" s="70"/>
      <c r="K133" s="70"/>
      <c r="L133" s="70"/>
      <c r="M133" s="70"/>
      <c r="N133" s="70"/>
      <c r="O133" s="70" t="s">
        <v>1817</v>
      </c>
      <c r="P133" s="70" t="s">
        <v>1601</v>
      </c>
      <c r="Q133" s="70" t="str">
        <f aca="false">IFERROR("https://drive.google.com/file/d/"&amp;VLOOKUP("k0f9d2ee2e87b",Drive!$A:$B,2,0)&amp;"/view","https://drive.google.com/drive/search?q=title:%22A7%202.04%20Approximating%20Irrational%20Numbers%20-%20Teacher%20Edition.pdf%22")</f>
        <v>https://drive.google.com/drive/search?q=title:%22A7%202.04%20Approximating%20Irrational%20Numbers%20-%20Teacher%20Edition.pdf%22</v>
      </c>
    </row>
    <row r="134" customFormat="false" ht="15" hidden="false" customHeight="false" outlineLevel="0" collapsed="false">
      <c r="A134" s="70"/>
      <c r="B134" s="70"/>
      <c r="C134" s="70"/>
      <c r="D134" s="70"/>
      <c r="E134" s="70"/>
      <c r="F134" s="70"/>
      <c r="G134" s="70"/>
      <c r="H134" s="70"/>
      <c r="I134" s="70"/>
      <c r="J134" s="70"/>
      <c r="K134" s="70"/>
      <c r="L134" s="70"/>
      <c r="M134" s="70"/>
      <c r="N134" s="70"/>
      <c r="O134" s="70" t="s">
        <v>1818</v>
      </c>
      <c r="P134" s="70" t="s">
        <v>1601</v>
      </c>
      <c r="Q134" s="70" t="str">
        <f aca="false">IFERROR("https://drive.google.com/file/d/"&amp;VLOOKUP("k2e021d1404f9",Drive!$A:$B,2,0)&amp;"/view","https://drive.google.com/drive/search?q=title:%22A7%202.04%20Approximating%20Irrational%20Numbers%20-%20Question%20Bank.pdf%22")</f>
        <v>https://drive.google.com/drive/search?q=title:%22A7%202.04%20Approximating%20Irrational%20Numbers%20-%20Question%20Bank.pdf%22</v>
      </c>
    </row>
    <row r="135" customFormat="false" ht="15" hidden="false" customHeight="false" outlineLevel="0" collapsed="false">
      <c r="A135" s="70"/>
      <c r="B135" s="70"/>
      <c r="C135" s="70"/>
      <c r="D135" s="70"/>
      <c r="E135" s="70"/>
      <c r="F135" s="70"/>
      <c r="G135" s="70"/>
      <c r="H135" s="70"/>
      <c r="I135" s="70"/>
      <c r="J135" s="70"/>
      <c r="K135" s="70"/>
      <c r="L135" s="70"/>
      <c r="M135" s="70"/>
      <c r="N135" s="70"/>
      <c r="O135" s="70" t="s">
        <v>1819</v>
      </c>
      <c r="P135" s="70" t="s">
        <v>1601</v>
      </c>
      <c r="Q135" s="70" t="str">
        <f aca="false">IFERROR("https://drive.google.com/file/d/"&amp;VLOOKUP("k7f727f839de9",Drive!$A:$B,2,0)&amp;"/view","https://drive.google.com/drive/search?q=title:%22A7%202.04%20Approximating%20Irrational%20Numbers%20-%20Additional%20Question%20Bank.pdf%22")</f>
        <v>https://drive.google.com/drive/search?q=title:%22A7%202.04%20Approximating%20Irrational%20Numbers%20-%20Additional%20Question%20Bank.pdf%22</v>
      </c>
    </row>
    <row r="136" customFormat="false" ht="15" hidden="false" customHeight="false" outlineLevel="0" collapsed="false">
      <c r="A136" s="70"/>
      <c r="B136" s="70"/>
      <c r="C136" s="70"/>
      <c r="D136" s="70"/>
      <c r="E136" s="70"/>
      <c r="F136" s="70"/>
      <c r="G136" s="70"/>
      <c r="H136" s="70"/>
      <c r="I136" s="70"/>
      <c r="J136" s="70"/>
      <c r="K136" s="70"/>
      <c r="L136" s="70"/>
      <c r="M136" s="70"/>
      <c r="N136" s="70"/>
      <c r="O136" s="70" t="s">
        <v>1820</v>
      </c>
      <c r="P136" s="70" t="s">
        <v>1601</v>
      </c>
      <c r="Q136" s="70" t="str">
        <f aca="false">IFERROR("https://drive.google.com/file/d/"&amp;VLOOKUP("kc9f54d815229",Drive!$A:$B,2,0)&amp;"/view","https://drive.google.com/drive/search?q=title:%22A7%202.04%20Approximating%20Irrational%20Numbers%20-%20Question%20Bank%20-%20Key.pdf%22")</f>
        <v>https://drive.google.com/drive/search?q=title:%22A7%202.04%20Approximating%20Irrational%20Numbers%20-%20Question%20Bank%20-%20Key.pdf%22</v>
      </c>
    </row>
    <row r="137" customFormat="false" ht="15" hidden="false" customHeight="false" outlineLevel="0" collapsed="false">
      <c r="A137" s="70"/>
      <c r="B137" s="70"/>
      <c r="C137" s="70"/>
      <c r="D137" s="70"/>
      <c r="E137" s="70"/>
      <c r="F137" s="70"/>
      <c r="G137" s="70"/>
      <c r="H137" s="70"/>
      <c r="I137" s="70"/>
      <c r="J137" s="70"/>
      <c r="K137" s="70"/>
      <c r="L137" s="70"/>
      <c r="M137" s="70"/>
      <c r="N137" s="70"/>
      <c r="O137" s="70" t="s">
        <v>1821</v>
      </c>
      <c r="P137" s="70" t="s">
        <v>1601</v>
      </c>
      <c r="Q137" s="70" t="str">
        <f aca="false">IFERROR("https://drive.google.com/file/d/"&amp;VLOOKUP("k814de685731b",Drive!$A:$B,2,0)&amp;"/view","https://drive.google.com/drive/search?q=title:%22A7%202.04%20Approximating%20Irrational%20Numbers%20-%20Additional%20Question%20Bank%20-%20Key.pdf%22")</f>
        <v>https://drive.google.com/drive/search?q=title:%22A7%202.04%20Approximating%20Irrational%20Numbers%20-%20Additional%20Question%20Bank%20-%20Key.pdf%22</v>
      </c>
    </row>
    <row r="138" customFormat="false" ht="15" hidden="false" customHeight="false" outlineLevel="0" collapsed="false">
      <c r="A138" s="70"/>
      <c r="B138" s="70"/>
      <c r="C138" s="70"/>
      <c r="D138" s="70"/>
      <c r="E138" s="70"/>
      <c r="F138" s="70"/>
      <c r="G138" s="70"/>
      <c r="H138" s="70"/>
      <c r="I138" s="70"/>
      <c r="J138" s="70"/>
      <c r="K138" s="70"/>
      <c r="L138" s="70"/>
      <c r="M138" s="70"/>
      <c r="N138" s="70"/>
      <c r="O138" s="70" t="s">
        <v>1822</v>
      </c>
      <c r="P138" s="70" t="s">
        <v>1601</v>
      </c>
      <c r="Q138" s="70" t="str">
        <f aca="false">IFERROR("https://drive.google.com/file/d/"&amp;VLOOKUP("kbeebbf583a30",Drive!$A:$B,2,0)&amp;"/view","https://drive.google.com/drive/search?q=title:%22A7%202.05%20Rational%20and%20Irrational%20Numbers%20on%20the%20Number%20Line%20-%20Slides.pdf%22")</f>
        <v>https://drive.google.com/drive/search?q=title:%22A7%202.05%20Rational%20and%20Irrational%20Numbers%20on%20the%20Number%20Line%20-%20Slides.pdf%22</v>
      </c>
    </row>
    <row r="139" customFormat="false" ht="15" hidden="false" customHeight="false" outlineLevel="0" collapsed="false">
      <c r="A139" s="70"/>
      <c r="B139" s="70"/>
      <c r="C139" s="70"/>
      <c r="D139" s="70"/>
      <c r="E139" s="70"/>
      <c r="F139" s="70"/>
      <c r="G139" s="70"/>
      <c r="H139" s="70"/>
      <c r="I139" s="70"/>
      <c r="J139" s="70"/>
      <c r="K139" s="70"/>
      <c r="L139" s="70"/>
      <c r="M139" s="70"/>
      <c r="N139" s="70"/>
      <c r="O139" s="70" t="s">
        <v>1823</v>
      </c>
      <c r="P139" s="70" t="s">
        <v>1601</v>
      </c>
      <c r="Q139" s="70" t="str">
        <f aca="false">IFERROR("https://drive.google.com/file/d/"&amp;VLOOKUP("kae76dda4b45d",Drive!$A:$B,2,0)&amp;"/view","https://drive.google.com/drive/search?q=title:%22A7%202.05%20Rational%20and%20Irrational%20Numbers%20on%20the%20Number%20Line%20-%20Teacher%20Edition.pdf%22")</f>
        <v>https://drive.google.com/drive/search?q=title:%22A7%202.05%20Rational%20and%20Irrational%20Numbers%20on%20the%20Number%20Line%20-%20Teacher%20Edition.pdf%22</v>
      </c>
    </row>
    <row r="140" customFormat="false" ht="15" hidden="false" customHeight="false" outlineLevel="0" collapsed="false">
      <c r="A140" s="70"/>
      <c r="B140" s="70"/>
      <c r="C140" s="70"/>
      <c r="D140" s="70"/>
      <c r="E140" s="70"/>
      <c r="F140" s="70"/>
      <c r="G140" s="70"/>
      <c r="H140" s="70"/>
      <c r="I140" s="70"/>
      <c r="J140" s="70"/>
      <c r="K140" s="70"/>
      <c r="L140" s="70"/>
      <c r="M140" s="70"/>
      <c r="N140" s="70"/>
      <c r="O140" s="70" t="s">
        <v>1824</v>
      </c>
      <c r="P140" s="70" t="s">
        <v>1601</v>
      </c>
      <c r="Q140" s="70" t="str">
        <f aca="false">IFERROR("https://drive.google.com/file/d/"&amp;VLOOKUP("k1228a3dffde6",Drive!$A:$B,2,0)&amp;"/view","https://drive.google.com/drive/search?q=title:%22A7%202.05%20Rational%20and%20Irrational%20Numbers%20on%20the%20Number%20Line%20-%20Question%20Bank.pdf%22")</f>
        <v>https://drive.google.com/drive/search?q=title:%22A7%202.05%20Rational%20and%20Irrational%20Numbers%20on%20the%20Number%20Line%20-%20Question%20Bank.pdf%22</v>
      </c>
    </row>
    <row r="141" customFormat="false" ht="15" hidden="false" customHeight="false" outlineLevel="0" collapsed="false">
      <c r="A141" s="70"/>
      <c r="B141" s="70"/>
      <c r="C141" s="70"/>
      <c r="D141" s="70"/>
      <c r="E141" s="70"/>
      <c r="F141" s="70"/>
      <c r="G141" s="70"/>
      <c r="H141" s="70"/>
      <c r="I141" s="70"/>
      <c r="J141" s="70"/>
      <c r="K141" s="70"/>
      <c r="L141" s="70"/>
      <c r="M141" s="70"/>
      <c r="N141" s="70"/>
      <c r="O141" s="70" t="s">
        <v>1825</v>
      </c>
      <c r="P141" s="70" t="s">
        <v>1601</v>
      </c>
      <c r="Q141" s="70" t="str">
        <f aca="false">IFERROR("https://drive.google.com/file/d/"&amp;VLOOKUP("k47f0af99bd1e",Drive!$A:$B,2,0)&amp;"/view","https://drive.google.com/drive/search?q=title:%22A7%202.05%20Rational%20and%20Irrational%20Numbers%20on%20the%20Number%20Line%20-%20Additional%20Question%20Bank.pdf%22")</f>
        <v>https://drive.google.com/drive/search?q=title:%22A7%202.05%20Rational%20and%20Irrational%20Numbers%20on%20the%20Number%20Line%20-%20Additional%20Question%20Bank.pdf%22</v>
      </c>
    </row>
    <row r="142" customFormat="false" ht="15" hidden="false" customHeight="false" outlineLevel="0" collapsed="false">
      <c r="A142" s="70"/>
      <c r="B142" s="70"/>
      <c r="C142" s="70"/>
      <c r="D142" s="70"/>
      <c r="E142" s="70"/>
      <c r="F142" s="70"/>
      <c r="G142" s="70"/>
      <c r="H142" s="70"/>
      <c r="I142" s="70"/>
      <c r="J142" s="70"/>
      <c r="K142" s="70"/>
      <c r="L142" s="70"/>
      <c r="M142" s="70"/>
      <c r="N142" s="70"/>
      <c r="O142" s="70" t="s">
        <v>1826</v>
      </c>
      <c r="P142" s="70" t="s">
        <v>1601</v>
      </c>
      <c r="Q142" s="70" t="str">
        <f aca="false">IFERROR("https://drive.google.com/file/d/"&amp;VLOOKUP("kcee0b8f57c67",Drive!$A:$B,2,0)&amp;"/view","https://drive.google.com/drive/search?q=title:%22A7%202.05%20Rational%20and%20Irrational%20Numbers%20on%20the%20Number%20Line%20-%20Question%20Bank%20-%20Key.pdf%22")</f>
        <v>https://drive.google.com/drive/search?q=title:%22A7%202.05%20Rational%20and%20Irrational%20Numbers%20on%20the%20Number%20Line%20-%20Question%20Bank%20-%20Key.pdf%22</v>
      </c>
    </row>
    <row r="143" customFormat="false" ht="15" hidden="false" customHeight="false" outlineLevel="0" collapsed="false">
      <c r="A143" s="70"/>
      <c r="B143" s="70"/>
      <c r="C143" s="70"/>
      <c r="D143" s="70"/>
      <c r="E143" s="70"/>
      <c r="F143" s="70"/>
      <c r="G143" s="70"/>
      <c r="H143" s="70"/>
      <c r="I143" s="70"/>
      <c r="J143" s="70"/>
      <c r="K143" s="70"/>
      <c r="L143" s="70"/>
      <c r="M143" s="70"/>
      <c r="N143" s="70"/>
      <c r="O143" s="70" t="s">
        <v>1827</v>
      </c>
      <c r="P143" s="70" t="s">
        <v>1601</v>
      </c>
      <c r="Q143" s="70" t="str">
        <f aca="false">IFERROR("https://drive.google.com/file/d/"&amp;VLOOKUP("k59fb8b4ed900",Drive!$A:$B,2,0)&amp;"/view","https://drive.google.com/drive/search?q=title:%22A7%202.05%20Rational%20and%20Irrational%20Numbers%20on%20the%20Number%20Line%20-%20Additional%20Question%20Bank%20-%20Key.pdf%22")</f>
        <v>https://drive.google.com/drive/search?q=title:%22A7%202.05%20Rational%20and%20Irrational%20Numbers%20on%20the%20Number%20Line%20-%20Additional%20Question%20Bank%20-%20Key.pdf%22</v>
      </c>
    </row>
    <row r="144" customFormat="false" ht="15" hidden="false" customHeight="false" outlineLevel="0" collapsed="false">
      <c r="A144" s="70"/>
      <c r="B144" s="70"/>
      <c r="C144" s="70"/>
      <c r="D144" s="70"/>
      <c r="E144" s="70"/>
      <c r="F144" s="70"/>
      <c r="G144" s="70"/>
      <c r="H144" s="70"/>
      <c r="I144" s="70"/>
      <c r="J144" s="70"/>
      <c r="K144" s="70"/>
      <c r="L144" s="70"/>
      <c r="M144" s="70"/>
      <c r="N144" s="70"/>
      <c r="O144" s="70" t="s">
        <v>1828</v>
      </c>
      <c r="P144" s="70" t="s">
        <v>1601</v>
      </c>
      <c r="Q144" s="70" t="str">
        <f aca="false">IFERROR("https://drive.google.com/file/d/"&amp;VLOOKUP("k1a00a0a22804",Drive!$A:$B,2,0)&amp;"/view","https://drive.google.com/drive/search?q=title:%22A7%202.06%20Plotting%2C%20Ordering%20and%20Comparing%20Real%20Numbers%20-%20Slides.pdf%22")</f>
        <v>https://drive.google.com/drive/search?q=title:%22A7%202.06%20Plotting%2C%20Ordering%20and%20Comparing%20Real%20Numbers%20-%20Slides.pdf%22</v>
      </c>
    </row>
    <row r="145" customFormat="false" ht="15" hidden="false" customHeight="false" outlineLevel="0" collapsed="false">
      <c r="A145" s="70"/>
      <c r="B145" s="70"/>
      <c r="C145" s="70"/>
      <c r="D145" s="70"/>
      <c r="E145" s="70"/>
      <c r="F145" s="70"/>
      <c r="G145" s="70"/>
      <c r="H145" s="70"/>
      <c r="I145" s="70"/>
      <c r="J145" s="70"/>
      <c r="K145" s="70"/>
      <c r="L145" s="70"/>
      <c r="M145" s="70"/>
      <c r="N145" s="70"/>
      <c r="O145" s="70" t="s">
        <v>1829</v>
      </c>
      <c r="P145" s="70" t="s">
        <v>1601</v>
      </c>
      <c r="Q145" s="70" t="str">
        <f aca="false">IFERROR("https://drive.google.com/file/d/"&amp;VLOOKUP("k29d47d551984",Drive!$A:$B,2,0)&amp;"/view","https://drive.google.com/drive/search?q=title:%22A7%202.06%20Plotting%2C%20Ordering%20and%20Comparing%20Real%20Numbers%20-%20Teacher%20Edition.pdf%22")</f>
        <v>https://drive.google.com/drive/search?q=title:%22A7%202.06%20Plotting%2C%20Ordering%20and%20Comparing%20Real%20Numbers%20-%20Teacher%20Edition.pdf%22</v>
      </c>
    </row>
    <row r="146" customFormat="false" ht="15" hidden="false" customHeight="false" outlineLevel="0" collapsed="false">
      <c r="A146" s="70"/>
      <c r="B146" s="70"/>
      <c r="C146" s="70"/>
      <c r="D146" s="70"/>
      <c r="E146" s="70"/>
      <c r="F146" s="70"/>
      <c r="G146" s="70"/>
      <c r="H146" s="70"/>
      <c r="I146" s="70"/>
      <c r="J146" s="70"/>
      <c r="K146" s="70"/>
      <c r="L146" s="70"/>
      <c r="M146" s="70"/>
      <c r="N146" s="70"/>
      <c r="O146" s="70" t="s">
        <v>1830</v>
      </c>
      <c r="P146" s="70" t="s">
        <v>1601</v>
      </c>
      <c r="Q146" s="70" t="str">
        <f aca="false">IFERROR("https://drive.google.com/file/d/"&amp;VLOOKUP("kdc81e4a42f98",Drive!$A:$B,2,0)&amp;"/view","https://drive.google.com/drive/search?q=title:%22A7%202.06%20Plotting%2C%20Ordering%20and%20Comparing%20Real%20Numbers%20-%20Additional%20Question%20Bank.pdf%22")</f>
        <v>https://drive.google.com/drive/search?q=title:%22A7%202.06%20Plotting%2C%20Ordering%20and%20Comparing%20Real%20Numbers%20-%20Additional%20Question%20Bank.pdf%22</v>
      </c>
    </row>
    <row r="147" customFormat="false" ht="15" hidden="false" customHeight="false" outlineLevel="0" collapsed="false">
      <c r="A147" s="70"/>
      <c r="B147" s="70"/>
      <c r="C147" s="70"/>
      <c r="D147" s="70"/>
      <c r="E147" s="70"/>
      <c r="F147" s="70"/>
      <c r="G147" s="70"/>
      <c r="H147" s="70"/>
      <c r="I147" s="70"/>
      <c r="J147" s="70"/>
      <c r="K147" s="70"/>
      <c r="L147" s="70"/>
      <c r="M147" s="70"/>
      <c r="N147" s="70"/>
      <c r="O147" s="70" t="s">
        <v>1831</v>
      </c>
      <c r="P147" s="70" t="s">
        <v>1601</v>
      </c>
      <c r="Q147" s="70" t="str">
        <f aca="false">IFERROR("https://drive.google.com/file/d/"&amp;VLOOKUP("kc34b261fea84",Drive!$A:$B,2,0)&amp;"/view","https://drive.google.com/drive/search?q=title:%22A7%202.06%20Plotting%2C%20Ordering%20and%20Comparing%20Real%20Numbers%20-%20Additional%20Question%20Bank%20-%20Key.pdf%22")</f>
        <v>https://drive.google.com/drive/search?q=title:%22A7%202.06%20Plotting%2C%20Ordering%20and%20Comparing%20Real%20Numbers%20-%20Additional%20Question%20Bank%20-%20Key.pdf%22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8"/>
    <col collapsed="false" customWidth="true" hidden="false" outlineLevel="0" max="3" min="3" style="0" width="60"/>
  </cols>
  <sheetData>
    <row r="1" customFormat="false" ht="15" hidden="false" customHeight="false" outlineLevel="0" collapsed="false">
      <c r="A1" s="72" t="s">
        <v>1832</v>
      </c>
      <c r="B1" s="72" t="s">
        <v>1833</v>
      </c>
      <c r="C1" s="72" t="s">
        <v>1834</v>
      </c>
      <c r="D1" s="72" t="s">
        <v>1835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2026-10-16T12:20:18Z</dcterms:created>
  <dc:creator>openpyxl</dc:creator>
  <dc:description/>
  <dc:language>en-US</dc:language>
  <cp:lastModifiedBy/>
  <dcterms:modified xsi:type="dcterms:W3CDTF">2026-10-16T12:20:18Z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