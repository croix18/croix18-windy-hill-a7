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memorised.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recognised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<sst xmlns="http://schemas.openxmlformats.org/spreadsheetml/2006/main" count="2849" uniqueCount="1761">
  <si>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</si>
  <si>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</si>
  <si>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</si>
  <si>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</si>
  <si>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</si>
  <si>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</si>
  <si>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</si>
  <si>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</si>
  <si>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</si>
  <si>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</si>
  <si>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</si>
  <si>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</si>
  <si>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</si>
  <si>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</si>
  <si>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</si>
  <si>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</si>
  <si>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</si>
  <si>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</si>
  <si>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</si>
  <si>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</si>
  <si>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</si>
  <si>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</si>
  <si>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</si>
  <si>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</si>
  <si>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</si>
  <si>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</si>
  <si>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</si>
  <si>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</si>
  <si>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</si>
  <si>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</si>
  <si>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</si>
  <si>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</si>
  <si>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</si>
  <si>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</si>
  <si>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</si>
  <si>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</si>
  <si>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</si>
  <si>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</si>
  <si>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</si>
  <si>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</si>
  <si>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</si>
  <si>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</si>
  <si>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</si>
  <si>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</si>
  <si>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</si>
  <si>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</si>
  <si>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</si>
  <si>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</si>
  <si>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</si>
  <si>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</si>
  <si>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</si>
  <si>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</si>
  <si>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</si>
  <si>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</si>
  <si>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</si>
  <si>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</si>
  <si>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</si>
  <si>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</si>
  <si>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</si>
  <si>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</si>
  <si>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</si>
  <si>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</si>
  <si>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</si>
  <si>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</si>
  <si>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</si>
  <si>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</si>
  <si>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</si>
  <si>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</si>
  <si>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</si>
  <si>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</si>
  <si>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</si>
  <si>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</si>
  <si>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</si>
  <si>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</si>
  <si>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</si>
  <si>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</si>
  <si>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</si>
  <si>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</si>
  <si>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</si>
  <si>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</si>
  <si>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</si>
  <si>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</si>
  <si>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</si>
  <si>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</si>
  <si>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</si>
  <si>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</si>
  <si>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</si>
  <si>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</si>
  <si>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</si>
  <si>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</si>
  <si>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</si>
  <si>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</si>
  <si>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</si>
  <si>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</si>
  <si>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</si>
  <si>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</si>
  <si>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</si>
  <si>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</si>
  <si>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</si>
  <si>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</si>
  <si>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</si>
  <si>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</si>
  <si>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</si>
  <si>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</si>
  <si>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</si>
  <si>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</si>
  <si>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</si>
  <si>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</si>
  <si>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</si>
  <si>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</si>
  <si>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</si>
  <si>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</si>
  <si>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</si>
  <si>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</si>
  <si>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</si>
  <si>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</si>
  <si>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</si>
  <si>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</si>
  <si>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</si>
  <si>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</si>
  <si>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</si>
  <si>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</si>
  <si>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</si>
  <si>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</si>
  <si>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</si>
  <si>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</si>
  <si>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</si>
  <si>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</si>
  <si>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</si>
  <si>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</si>
  <si>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</si>
  <si>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</si>
  <si>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</si>
  <si>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</si>
  <si>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</si>
  <si>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</si>
  <si>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</si>
  <si>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</si>
  <si>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</si>
  <si>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</si>
  <si>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</si>
  <si>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</si>
  <si>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</si>
  <si>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</si>
  <si>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</si>
  <si>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</si>
  <si>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</si>
  <si>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</si>
  <si>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</si>
  <si>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</si>
  <si>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</si>
  <si>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</si>
  <si>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</si>
  <si>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</si>
  <si>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</si>
  <si>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</si>
  <si>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</si>
  <si>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</si>
  <si>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</si>
  <si>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</si>
  <si>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</si>
  <si>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</si>
  <si>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</si>
  <si>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</si>
  <si>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</si>
  <si>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</si>
  <si>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</si>
  <si>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</si>
  <si>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</si>
  <si>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</si>
  <si>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</si>
  <si>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</si>
  <si>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</si>
  <si>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</si>
  <si>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</si>
  <si>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</si>
  <si>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</si>
  <si>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</si>
  <si>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</si>
  <si>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</si>
  <si>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</si>
  <si>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</si>
  <si>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</si>
  <si>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</si>
  <si>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</si>
  <si>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</si>
  <si>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</si>
  <si>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</si>
  <si>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</si>
  <si>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</si>
  <si>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</si>
  <si>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</si>
  <si>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</si>
  <si>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</si>
  <si>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</si>
  <si>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</si>
  <si>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</si>
  <si>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</si>
  <si>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</si>
  <si>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</si>
  <si>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</si>
  <si>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</si>
  <si>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</si>
  <si>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</si>
  <si>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</si>
  <si>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</si>
  <si>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</si>
  <si>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</si>
  <si>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</si>
  <si>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</si>
  <si>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</si>
  <si>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</si>
  <si>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</si>
  <si>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</si>
  <si>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</si>
  <si>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</si>
  <si>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</si>
  <si>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</si>
  <si>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</si>
  <si>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</si>
  <si>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</si>
  <si>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</si>
  <si>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</si>
  <si>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</si>
  <si>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</si>
  <si>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</si>
  <si>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</si>
  <si>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</si>
  <si>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</si>
  <si>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</si>
  <si>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</si>
  <si>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</si>
  <si>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</si>
  <si>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</si>
  <si>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</si>
  <si>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</si>
  <si>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</si>
  <si>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</si>
  <si>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</si>
  <si>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</si>
  <si>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</si>
  <si>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</si>
  <si>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</si>
  <si>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</si>
  <si>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</si>
  <si>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</si>
  <si>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</si>
  <si>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</si>
  <si>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</si>
  <si>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</si>
  <si>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</si>
  <si>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</si>
  <si>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</si>
  <si>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</si>
  <si>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</si>
  <si>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</si>
  <si>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</si>
  <si>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</si>
  <si>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</si>
  <si>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</si>
  <si>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</si>
  <si>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</si>
  <si>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</si>
  <si>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</si>
  <si>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</si>
  <si>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</si>
  <si>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</si>
  <si>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</si>
  <si>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</si>
  <si>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</si>
  <si>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</si>
  <si>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</si>
  <si>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</si>
  <si>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</si>
  <si>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</si>
  <si>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</si>
  <si>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</si>
  <si>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</si>
  <si>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</si>
  <si>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</si>
  <si>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</si>
  <si>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</si>
  <si>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</si>
  <si>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</si>
  <si>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</si>
  <si>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</si>
  <si>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</si>
  <si>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</si>
  <si>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</si>
  <si>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</si>
  <si>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</si>
  <si>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</si>
  <si>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</si>
  <si>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</si>
  <si>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</si>
  <si>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</si>
  <si>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</si>
  <si>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</si>
  <si>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</si>
  <si>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</si>
  <si>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</si>
  <si>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</si>
  <si>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</si>
  <si>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</si>
  <si>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</si>
  <si>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</si>
  <si>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</si>
  <si>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</si>
  <si>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</si>
  <si>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</si>
  <si>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</si>
  <si>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</si>
  <si>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</si>
  <si>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</si>
  <si>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</si>
  <si>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</si>
  <si>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</si>
  <si>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</si>
  <si>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</si>
  <si>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</si>
  <si>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</si>
  <si>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</si>
  <si>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</si>
  <si>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</si>
  <si>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</si>
  <si>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</si>
  <si>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</si>
  <si>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</si>
  <si>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</si>
  <si>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</si>
  <si>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</si>
  <si>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</si>
  <si>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</si>
  <si>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</si>
  <si>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</si>
  <si>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</si>
  <si>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</si>
  <si>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</si>
  <si>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</si>
  <si>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</si>
  <si>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</si>
  <si>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</si>
  <si>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</si>
  <si>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</si>
  <si>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</si>
  <si>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</si>
  <si>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</si>
  <si>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</si>
  <si>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</si>
  <si>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</si>
  <si>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</si>
  <si>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</si>
  <si>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</si>
  <si>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</si>
  <si>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</si>
  <si>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</si>
  <si>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</si>
  <si>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</si>
  <si>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</si>
  <si>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</si>
  <si>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</si>
  <si>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</si>
  <si>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</si>
  <si>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</si>
  <si>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</si>
  <si>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</si>
  <si>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</si>
  <si>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</si>
  <si>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</si>
  <si>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</si>
  <si>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</si>
  <si>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</si>
  <si>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</si>
  <si>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</si>
  <si>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</si>
  <si>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</si>
  <si>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</si>
  <si>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</si>
  <si>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</si>
  <si>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</si>
  <si>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</si>
  <si>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</si>
  <si>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</si>
  <si>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</si>
  <si>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</si>
  <si>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</si>
  <si>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</si>
  <si>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</si>
  <si>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</si>
  <si>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</si>
  <si>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</si>
  <si>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</si>
  <si>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</si>
  <si>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</si>
  <si>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</si>
  <si>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</si>
  <si>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</si>
  <si>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</si>
  <si>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</si>
  <si>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</si>
  <si>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</si>
  <si>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</si>
  <si>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</si>
  <si>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</si>
  <si>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</si>
  <si>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</si>
  <si>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</si>
  <si>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</si>
  <si>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</si>
  <si>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</si>
  <si>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</si>
  <si>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</si>
  <si>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</si>
  <si>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</si>
  <si>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</si>
  <si>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</si>
  <si>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</si>
  <si>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</si>
  <si>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</si>
  <si>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</si>
  <si>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</si>
  <si>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</si>
  <si>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</si>
  <si>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</si>
  <si>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</si>
  <si>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</si>
  <si>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</si>
  <si>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</si>
  <si>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</si>
  <si>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</si>
  <si>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</si>
  <si>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</si>
  <si>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</si>
  <si>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</si>
  <si>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</si>
  <si>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</si>
  <si>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</si>
  <si>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</si>
  <si>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</si>
  <si>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</si>
  <si>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</si>
  <si>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</si>
  <si>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</si>
  <si>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</si>
  <si>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</si>
  <si>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</si>
  <si>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</si>
  <si>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</si>
  <si>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</si>
  <si>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</si>
  <si>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</si>
  <si>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</si>
  <si>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</si>
  <si>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</si>
  <si>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</si>
  <si>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</si>
  <si>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</si>
  <si>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</si>
  <si>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</si>
  <si>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</si>
  <si>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</si>
  <si>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</si>
  <si>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</si>
  <si>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</si>
  <si>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</si>
  <si>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</si>
  <si>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</si>
  <si>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</si>
  <si>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</si>
  <si>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</si>
  <si>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</si>
  <si>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</si>
  <si>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</si>
  <si>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</si>
  <si>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</si>
  <si>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</si>
  <si>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</si>
  <si>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</si>
  <si>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</si>
  <si>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</si>
  <si>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</si>
  <si>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</si>
  <si>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</si>
  <si>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</si>
  <si>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</si>
  <si>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</si>
  <si>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</si>
  <si>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</si>
  <si>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</si>
  <si>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</si>
  <si>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</si>
  <si>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</si>
  <si>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</si>
  <si>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</si>
  <si>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</si>
  <si>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</si>
  <si>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</si>
  <si>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</si>
  <si>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</si>
  <si>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</si>
  <si>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</si>
  <si>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</si>
  <si>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</si>
  <si>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</si>
  <si>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</si>
  <si>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</si>
  <si>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</si>
  <si>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</si>
  <si>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</si>
  <si>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</si>
  <si>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</si>
  <si>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</si>
  <si>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</si>
  <si>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</si>
  <si>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</si>
  <si>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</si>
  <si>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</si>
  <si>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</si>
  <si>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</si>
  <si>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</si>
  <si>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</si>
  <si>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</si>
  <si>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</si>
  <si>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</si>
  <si>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</si>
  <si>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</si>
  <si>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</si>
  <si>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</si>
  <si>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</si>
  <si>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</si>
  <si>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</si>
  <si>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</si>
  <si>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</si>
  <si>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</si>
  <si>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</si>
  <si>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</si>
  <si>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</si>
  <si>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</si>
  <si>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</si>
  <si>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</si>
  <si>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</si>
  <si>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</si>
  <si>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</si>
  <si>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</si>
  <si>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</si>
  <si>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</si>
  <si>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</si>
  <si>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</si>
  <si>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</si>
  <si>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</si>
  <si>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</si>
  <si>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</si>
  <si>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</si>
  <si>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</si>
  <si>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</si>
  <si>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</si>
  <si>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</si>
  <si>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</si>
  <si>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</si>
  <si>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</si>
  <si>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</si>
  <si>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</si>
  <si>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</si>
  <si>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</si>
  <si>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</si>
  <si>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</si>
  <si>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</si>
  <si>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</si>
  <si>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</si>
  <si>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</si>
  <si>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</si>
  <si>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</si>
  <si>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</si>
  <si>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</si>
  <si>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</si>
  <si>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</si>
  <si>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</si>
  <si>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</si>
  <si>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</si>
  <si>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</si>
  <si>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</si>
  <si>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</si>
  <si>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</si>
  <si>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</si>
  <si>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</si>
  <si>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</si>
  <si>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</si>
  <si>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</si>
  <si>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</si>
  <si>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</si>
  <si>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</si>
  <si>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</si>
  <si>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</si>
  <si>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</si>
  <si>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</si>
  <si>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</si>
  <si>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</si>
  <si>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</si>
  <si>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</si>
  <si>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</si>
  <si>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</si>
  <si>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</si>
  <si>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</si>
  <si>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</si>
  <si>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</si>
  <si>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</si>
  <si>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</si>
  <si>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</si>
  <si>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</si>
  <si>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</si>
  <si>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</si>
  <si>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</si>
  <si>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</si>
  <si>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</si>
  <si>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</si>
  <si>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</si>
  <si>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</si>
  <si>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</si>
  <si>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</si>
  <si>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</si>
  <si>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</si>
  <si>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</si>
  <si>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</si>
  <si>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</si>
  <si>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</si>
  <si>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</si>
  <si>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</si>
  <si>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</si>
  <si>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</si>
  <si>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</si>
  <si>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</si>
  <si>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</si>
  <si>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</si>
  <si>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</si>
  <si>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</si>
  <si>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</si>
  <si>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</si>
  <si>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</si>
  <si>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</si>
  <si>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</si>
  <si>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</si>
  <si>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</si>
  <si>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</si>
  <si>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</si>
  <si>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</si>
  <si>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</si>
  <si>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</si>
  <si>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</si>
  <si>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</si>
  <si>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</si>
  <si>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</si>
  <si>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</si>
  <si>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</si>
  <si>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</si>
  <si>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</si>
  <si>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</si>
  <si>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</si>
  <si>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</si>
  <si>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</si>
  <si>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</si>
  <si>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</si>
  <si>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</si>
  <si>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</si>
  <si>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</si>
  <si>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</si>
  <si>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</si>
  <si>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</si>
  <si>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</si>
  <si>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</si>
  <si>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</si>
  <si>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</si>
  <si>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</si>
  <si>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</si>
  <si>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</si>
  <si>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</si>
  <si>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</si>
  <si>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</si>
  <si>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</si>
  <si>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</si>
  <si>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</si>
  <si>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</si>
  <si>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</si>
  <si>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</si>
  <si>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</si>
  <si>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</si>
  <si>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</si>
  <si>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</si>
  <si>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</si>
  <si>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</si>
  <si>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</si>
  <si>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</si>
  <si>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</si>
  <si>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</si>
  <si>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</si>
  <si>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</si>
  <si>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</si>
  <si>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</si>
  <si>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</si>
  <si>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</si>
  <si>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</si>
  <si>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</si>
  <si>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</si>
  <si>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</si>
  <si>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</si>
  <si>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</si>
  <si>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</si>
  <si>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</si>
  <si>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</si>
  <si>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</si>
  <si>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</si>
  <si>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</si>
  <si>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</si>
  <si>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</si>
  <si>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</si>
  <si>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</si>
  <si>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</si>
  <si>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</si>
  <si>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</si>
  <si>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</si>
  <si>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</si>
  <si>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</si>
  <si>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</si>
  <si>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</si>
  <si>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</si>
  <si>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</si>
  <si>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</si>
  <si>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</si>
  <si>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</si>
  <si>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</si>
  <si>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</si>
  <si>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</si>
  <si>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</si>
  <si>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</si>
  <si>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</si>
  <si>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</si>
  <si>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</si>
  <si>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</si>
  <si>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</si>
  <si>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</si>
  <si>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</si>
  <si>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</si>
  <si>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</si>
  <si>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</si>
  <si>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</si>
  <si>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</si>
  <si>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</si>
  <si>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</si>
  <si>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</si>
  <si>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</si>
  <si>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</si>
  <si>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</si>
  <si>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</si>
  <si>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</si>
  <si>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</si>
  <si>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</si>
  <si>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</si>
  <si>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</si>
  <si>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</si>
  <si>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</si>
  <si>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</si>
  <si>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</si>
  <si>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</si>
  <si>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</si>
  <si>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</si>
  <si>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</si>
  <si>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</si>
  <si>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</si>
  <si>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</si>
  <si>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</si>
  <si>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</si>
  <si>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</si>
  <si>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</si>
  <si>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</si>
  <si>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</si>
  <si>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</si>
  <si>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</si>
  <si>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</si>
  <si>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</si>
  <si>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</si>
  <si>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</si>
  <si>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</si>
  <si>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</si>
  <si>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</si>
  <si>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</si>
  <si>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</si>
  <si>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</si>
  <si>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</si>
  <si>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</si>
  <si>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</si>
  <si>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</si>
  <si>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</si>
  <si>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</si>
  <si>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</si>
  <si>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</si>
  <si>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</si>
  <si>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</si>
  <si>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</si>
  <si>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</si>
  <si>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</si>
  <si>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</si>
  <si>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</si>
  <si>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</si>
  <si>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</si>
  <si>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</si>
  <si>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</si>
  <si>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</si>
  <si>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</si>
  <si>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</si>
  <si>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</si>
  <si>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</si>
  <si>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</si>
  <si>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</si>
  <si>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</si>
  <si>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</si>
  <si>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</si>
  <si>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</si>
  <si>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</si>
  <si>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</si>
  <si>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</si>
  <si>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</si>
  <si>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</si>
  <si>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</si>
  <si>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</si>
  <si>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</si>
  <si>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</si>
  <si>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</si>
  <si>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</si>
  <si>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</si>
  <si>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</si>
  <si>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</si>
  <si>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</si>
  <si>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</si>
  <si>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</si>
  <si>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</si>
  <si>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</si>
  <si>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</si>
  <si>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</si>
  <si>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</si>
  <si>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</si>
  <si>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</si>
  <si>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</si>
  <si>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</si>
  <si>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</si>
  <si>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</si>
  <si>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</si>
  <si>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</si>
  <si>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</si>
  <si>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</si>
  <si>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</si>
  <si>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</si>
  <si>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</si>
  <si>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</si>
  <si>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</si>
  <si>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</si>
  <si>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</si>
  <si>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</si>
  <si>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</si>
  <si>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</si>
  <si>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</si>
  <si>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</si>
  <si>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</si>
  <si>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</si>
  <si>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</si>
  <si>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</si>
  <si>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</si>
  <si>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</si>
  <si>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</si>
  <si>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</si>
  <si>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</si>
  <si>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</si>
  <si>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</si>
  <si>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</si>
  <si>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</si>
  <si>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</si>
  <si>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</si>
  <si>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</si>
  <si>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</si>
  <si>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</si>
  <si>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</si>
  <si>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</si>
  <si>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</si>
  <si>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</si>
  <si>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</si>
  <si>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</si>
  <si>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</si>
  <si>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</si>
  <si>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</si>
  <si>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</si>
  <si>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</si>
  <si>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</si>
  <si>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</si>
  <si>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</si>
  <si>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</si>
  <si>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</si>
  <si>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</si>
  <si>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</si>
  <si>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</si>
  <si>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</si>
  <si>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</si>
  <si>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</si>
  <si>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</si>
  <si>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</si>
  <si>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</si>
  <si>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</si>
  <si>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</si>
  <si>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</si>
  <si>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</si>
  <si>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</si>
  <si>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</si>
  <si>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</si>
  <si>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</si>
  <si>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</si>
  <si>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</si>
  <si>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</si>
  <si>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</si>
  <si>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</si>
  <si>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</si>
  <si>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</si>
  <si>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</si>
  <si>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</si>
  <si>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</si>
  <si>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</si>
  <si>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</si>
  <si>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</si>
  <si>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</si>
  <si>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</si>
  <si>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</si>
  <si>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</si>
  <si>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</si>
  <si>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</si>
  <si>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</si>
  <si>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</si>
  <si>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</si>
  <si>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</si>
  <si>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</si>
  <si>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</si>
  <si>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</si>
  <si>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</si>
  <si>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</si>
  <si>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</si>
  <si>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</si>
  <si>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</si>
  <si>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</si>
  <si>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</si>
  <si>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</si>
  <si>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</si>
  <si>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</si>
  <si>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</si>
  <si>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</si>
  <si>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</si>
  <si>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</si>
  <si>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</si>
  <si>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</si>
  <si>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</si>
  <si>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</si>
  <si>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</si>
  <si>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</si>
  <si>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</si>
  <si>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</si>
  <si>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</si>
  <si>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</si>
  <si>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</si>
  <si>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</si>
  <si>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</si>
  <si>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</si>
  <si>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</si>
  <si>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</si>
  <si>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</si>
  <si>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</si>
  <si>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</si>
  <si>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</si>
  <si>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</si>
  <si>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</si>
  <si>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</si>
  <si>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</si>
  <si>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</si>
  <si>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</si>
  <si>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</si>
  <si>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</si>
  <si>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</si>
  <si>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</si>
  <si>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</si>
  <si>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</si>
  <si>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</si>
  <si>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</si>
  <si>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</si>
  <si>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</si>
  <si>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</si>
  <si>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</si>
  <si>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</si>
  <si>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</si>
  <si>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</si>
  <si>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</si>
  <si>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</si>
  <si>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</si>
  <si>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</si>
  <si>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</si>
  <si>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</si>
  <si>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</si>
  <si>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</si>
  <si>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</si>
  <si>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</si>
  <si>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</si>
  <si>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</si>
  <si>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</si>
  <si>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</si>
  <si>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</si>
  <si>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</si>
  <si>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</si>
  <si>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</si>
  <si>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</si>
  <si>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</si>
  <si>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</si>
  <si>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</si>
  <si>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</si>
  <si>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</si>
  <si>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</si>
  <si>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</si>
  <si>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</si>
  <si>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</si>
  <si>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</si>
  <si>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</si>
  <si>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</si>
  <si>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</si>
  <si>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</si>
  <si>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</si>
  <si>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</si>
  <si>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</si>
  <si>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</si>
  <si>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</si>
  <si>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</si>
  <si>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</si>
  <si>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</si>
  <si>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</si>
  <si>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</si>
  <si>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</si>
  <si>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</si>
  <si>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</si>
  <si>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</si>
  <si>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</si>
  <si>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</si>
  <si>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</si>
  <si>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</si>
  <si>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</si>
  <si>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</si>
  <si>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</si>
  <si>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</si>
  <si>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</si>
  <si>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</si>
  <si>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</si>
  <si>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</si>
  <si>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</si>
  <si>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</si>
  <si>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</si>
  <si>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</si>
  <si>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</si>
  <si>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</si>
  <si>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</si>
  <si>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</si>
  <si>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</si>
  <si>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</si>
  <si>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</si>
  <si>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</si>
  <si>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</si>
  <si>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</si>
  <si>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</si>
  <si>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</si>
  <si>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</si>
  <si>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</si>
  <si>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</si>
  <si>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</si>
  <si>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</si>
  <si>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</si>
  <si>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</si>
  <si>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</si>
  <si>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</si>
  <si>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</si>
  <si>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</si>
  <si>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</si>
  <si>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</si>
  <si>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</si>
  <si>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</si>
  <si>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</si>
  <si>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</si>
  <si>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</si>
  <si>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</si>
  <si>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</si>
  <si>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</si>
  <si>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</si>
  <si>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</si>
  <si>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</si>
  <si>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</si>
  <si>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</si>
  <si>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</si>
  <si>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</si>
  <si>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</si>
  <si>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</si>
  <si>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</si>
  <si>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</si>
  <si>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</si>
  <si>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</si>
  <si>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</si>
  <si>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</si>
  <si>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</si>
  <si>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</si>
  <si>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</si>
  <si>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</si>
  <si>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</si>
  <si>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</si>
  <si>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</si>
  <si>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</si>
  <si>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</si>
  <si>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</si>
  <si>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</si>
  <si>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</si>
  <si>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</si>
  <si>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</si>
  <si>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</si>
  <si>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</si>
  <si>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</si>
  <si>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</si>
  <si>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</si>
  <si>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</si>
  <si>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</si>
  <si>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</si>
  <si>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</si>
  <si>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</si>
  <si>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</si>
  <si>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</si>
  <si>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</si>
  <si>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</si>
  <si>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</si>
  <si>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</si>
  <si>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</si>
  <si>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</si>
  <si>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</si>
  <si>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</si>
  <si>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</si>
  <si>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</si>
  <si>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</si>
  <si>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</si>
  <si>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</si>
  <si>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</si>
  <si>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</si>
  <si>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</si>
  <si>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</si>
  <si>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</si>
  <si>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</si>
  <si>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</si>
  <si>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</si>
  <si>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</si>
  <si>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</si>
  <si>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</si>
  <si>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</si>
  <si>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</si>
  <si>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</si>
  <si>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</si>
  <si>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</si>
  <si>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</si>
  <si>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</si>
  <si>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</si>
  <si>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</si>
  <si>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</si>
  <si>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</si>
  <si>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</si>
  <si>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</si>
  <si>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</si>
  <si>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</si>
  <si>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</si>
  <si>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</si>
  <si>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</si>
  <si>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</si>
  <si>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</si>
  <si>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</si>
  <si>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</si>
  <si>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</si>
  <si>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</si>
  <si>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</si>
  <si>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</si>
  <si>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</si>
  <si>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</si>
  <si>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</si>
  <si>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</si>
  <si>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</si>
  <si>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</si>
  <si>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</si>
  <si>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</si>
  <si>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</si>
  <si>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</si>
  <si>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</si>
  <si>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</si>
  <si>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</si>
  <si>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</si>
  <si>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</si>
  <si>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</si>
  <si>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</si>
  <si>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</si>
  <si>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</si>
  <si>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</si>
  <si>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</si>
  <si>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</si>
  <si>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</si>
  <si>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</si>
  <si>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</si>
  <si>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</si>
  <si>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</si>
  <si>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</si>
  <si>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</si>
  <si>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</si>
  <si>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</si>
  <si>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</si>
  <si>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</si>
  <si>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</si>
  <si>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</si>
  <si>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</si>
  <si>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</si>
  <si>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</si>
  <si>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</si>
  <si>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</si>
  <si>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</si>
  <si>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</si>
  <si>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</si>
  <si>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</si>
  <si>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</si>
  <si>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</si>
  <si>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</si>
  <si>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</si>
  <si>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</si>
  <si>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</si>
  <si>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</si>
  <si>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</si>
  <si>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</si>
  <si>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</si>
  <si>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</si>
  <si>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</si>
  <si>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</si>
  <si>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</si>
  <si>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</si>
  <si>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</si>
  <si>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</si>
  <si>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</si>
  <si>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</si>
  <si>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</si>
  <si>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</si>
  <si>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</si>
  <si>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</si>
  <si>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</si>
  <si>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</si>
  <si>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</si>
  <si>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</si>
  <si>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</si>
  <si>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</si>
  <si>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</si>
  <si>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</si>
  <si>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</si>
  <si>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</si>
  <si>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</si>
  <si>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</si>
  <si>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</si>
  <si>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</si>
  <si>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</si>
  <si>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</si>
  <si>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</si>
  <si>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</si>
  <si>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</si>
  <si>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</si>
  <si>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</si>
  <si>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</si>
  <si>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</si>
  <si>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</si>
  <si>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</si>
  <si>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</si>
  <si>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</si>
  <si>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</si>
  <si>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</si>
  <si>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</si>
  <si>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</si>
  <si>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</si>
  <si>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</si>
  <si>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</si>
  <si>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</si>
  <si>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</si>
  <si>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</si>
  <si>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</si>
  <si>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</si>
  <si>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</si>
  <si>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</si>
  <si>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</si>
  <si>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</si>
  <si>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</si>
  <si>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</si>
  <si>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</si>
  <si>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</si>
  <si>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</si>
  <si>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</si>
  <si>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</si>
  <si>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</si>
  <si>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</si>
  <si>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</si>
  <si>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</si>
  <si>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</si>
  <si>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</si>
  <si>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</si>
  <si>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</si>
  <si>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</si>
  <si>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</si>
  <si>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</si>
  <si>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</si>
  <si>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</si>
  <si>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</si>
  <si>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</si>
  <si>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</si>
  <si>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</si>
  <si>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</si>
  <si>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</si>
  <si>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</si>
  <si>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</si>
  <si>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</si>
  <si>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</si>
  <si>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</si>
  <si>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</si>
  <si>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</si>
  <si>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</si>
  <si>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</si>
  <si>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</si>
  <si>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</si>
  <si>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</si>
  <si>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</si>
  <si>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</si>
  <si>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</si>
  <si>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</si>
  <si>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</si>
  <si>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</si>
  <si>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</si>
  <si>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</si>
  <si>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</si>
  <si>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</si>
  <si>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</si>
  <si>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</si>
  <si>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</si>
  <si>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</si>
  <si>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</si>
  <si>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</si>
  <si>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</si>
  <si>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</si>
  <si>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</si>
  <si>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</si>
  <si>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</si>
  <si>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</si>
  <si>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</si>
  <si>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</si>
  <si>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</si>
  <si>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</si>
  <si>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</si>
  <si>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</si>
  <si>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</si>
  <si>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</si>
  <si>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</si>
  <si>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</si>
  <si>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</si>
  <si>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</si>
  <si>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</si>
  <si>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</si>
  <si>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</si>
  <si>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</si>
  <si>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</si>
  <si>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</si>
  <si>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</si>
  <si>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</si>
  <si>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</si>
  <si>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</si>
  <si>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</si>
  <si>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</si>
  <si>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</si>
  <si>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</si>
  <si>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</si>
  <si>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</si>
  <si>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</si>
  <si>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</si>
  <si>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</si>
  <si>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</si>
  <si>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</si>
  <si>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</si>
  <si>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</si>
  <si>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</si>
  <si>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</si>
  <si>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</si>
  <si>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</si>
  <si>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</si>
  <si>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</si>
  <si>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</si>
  <si>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</si>
  <si>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</si>
  <si>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</si>
  <si>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</si>
  <si>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</si>
  <si>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</si>
  <si>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</si>
  <si>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</si>
  <si>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</si>
  <si>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</si>
  <si>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</si>
  <si>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</si>
  <si>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</si>
  <si>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</si>
  <si>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</si>
  <si>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</si>
  <si>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</si>
  <si>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</si>
  <si>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</si>
  <si>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</si>
  <si>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</si>
  <si>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</si>
  <si>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</si>
  <si>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</si>
  <si>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</si>
  <si>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</si>
  <si>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</si>
  <si>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</si>
  <si>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</si>
  <si>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</si>
  <si>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</si>
  <si>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</si>
  <si>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</si>
  <si>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</si>
  <si>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</si>
  <si>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</si>
  <si>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</si>
  <si>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</si>
  <si>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</si>
  <si>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</si>
  <si>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</si>
  <si>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</si>
  <si>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</si>
  <si>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</si>
  <si>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</si>
  <si>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</si>
  <si>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</si>
  <si>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</si>
  <si>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</si>
  <si>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</si>
  <si>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</si>
  <si>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</si>
  <si>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</si>
  <si>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</si>
  <si>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</si>
  <si>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</si>
  <si>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</si>
  <si>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</si>
  <si>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</si>
  <si>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</si>
  <si>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</si>
  <si>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</si>
  <si>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</si>
  <si>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</si>
  <si>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</si>
  <si>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</si>
  <si>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</si>
  <si>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</si>
  <si>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</si>
  <si>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</si>
  <si>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</si>
  <si>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</si>
  <si>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</si>
  <si>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</si>
  <si>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</si>
  <si>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</si>
  <si>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</si>
  <si>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</si>
  <si>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</si>
  <si>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</si>
  <si>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</si>
  <si>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</si>
  <si>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</si>
  <si>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</si>
  <si>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</si>
  <si>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</si>
  <si>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</si>
  <si>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</si>
  <si>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</si>
  <si>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</si>
  <si>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</si>
  <si>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</si>
  <si>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</si>
  <si>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</si>
  <si>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</si>
  <si>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</si>
  <si>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</si>
  <si>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</si>
  <si>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</si>
  <si>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</si>
  <si>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</si>
  <si>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</si>
  <si>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</si>
  <si>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</si>
  <si>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</si>
  <si>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</si>
  <si>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</si>
  <si>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</si>
  <si>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</si>
  <si>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</si>
  <si>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</si>
  <si>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</si>
  <si>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</si>
  <si>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</si>
  <si>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</si>
  <si>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</si>
  <si>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</si>
  <si>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</si>
  <si>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</si>
  <si>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</si>
  <si>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</si>
  <si>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</si>
  <si>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</si>
  <si>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</si>
  <si>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</si>
  <si>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</si>
  <si>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</si>
  <si>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</si>
  <si>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</si>
  <si>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</si>
  <si>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</si>
  <si>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</si>
  <si>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</si>
  <si>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</si>
  <si>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</si>
  <si>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</si>
  <si>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</si>
  <si>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</si>
  <si>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</si>
  <si>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</si>
  <si>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</si>
  <si>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</si>
  <si>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</si>
  <si>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</si>
  <si>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</si>
  <si>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</si>
  <si>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</si>
  <si>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</si>
  <si>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</si>
  <si>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</si>
  <si>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</si>
  <si>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</si>
  <si>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</si>
  <si>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</si>
  <si>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</si>
  <si>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</si>
  <si>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</si>
  <si>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</si>
  <si>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</si>
  <si>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</si>
  <si>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</si>
  <si>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</si>
  <si>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</si>
  <si>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</si>
  <si>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</si>
  <si>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</si>
  <si>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</si>
  <si>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</si>
  <si>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</si>
  <si>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</si>
  <si>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</si>
  <si>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</si>
  <si>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</si>
  <si>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</si>
  <si>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</si>
  <si>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</si>
  <si>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</si>
  <si>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</si>
  <si>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</si>
  <si>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</si>
  <si>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</si>
  <si>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</si>
  <si>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</si>
  <si>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</si>
  <si>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</si>
  <si>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</si>
  <si>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</si>
  <si>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</si>
  <si>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</si>
  <si>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</si>
  <si>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</si>
  <si>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</si>
  <si>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</si>
  <si>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</si>
  <si>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</si>
  <si>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</si>
  <si>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</si>
  <si>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</si>
  <si>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</si>
  <si>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</si>
  <si>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</si>
  <si>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e6ca325 on 21 September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</si>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</sst>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46286</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Wednesday 23 September</v>
      </c>
    </row>
    <row r="5" customFormat="false" ht="15" hidden="false" customHeight="false" outlineLevel="0" collapsed="false">
      <c r="A5" s="5" t="s">
        <v>2</v>
      </c>
      <c r="B5" s="6" t="str">
        <f aca="false">IF($B$42&gt;131,"",INDEX('Scope &amp; Sequence'!$D$2:$D$132,$B$42)&amp;"   "&amp;INDEX('Scope &amp; Sequence'!$E$2:$E$132,$B$42))</f>
        <v>3.01   Product laws of exponents</v>
      </c>
    </row>
    <row r="6" customFormat="false" ht="23.85" hidden="false" customHeight="false" outlineLevel="0" collapsed="false">
      <c r="A6" s="5" t="s">
        <v>3</v>
      </c>
      <c r="B6" s="6" t="str">
        <f aca="false">IF($B$42&gt;131,"",INDEX('Scope &amp; Sequence'!$S$2:$S$132,$B$42)&amp;"")</f>
        <v>I can use the product of powers, power of a product, power of a power and identity laws to rewrite and evaluate a numerical expression.</v>
      </c>
    </row>
    <row r="7" customFormat="false" ht="15" hidden="false" customHeight="false" outlineLevel="0" collapsed="false">
      <c r="A7" s="5" t="s">
        <v>4</v>
      </c>
      <c r="B7" s="6" t="str">
        <f aca="false">IF($B$42&gt;131,"",INDEX('Scope &amp; Sequence'!$T$2:$T$132,$B$42)&amp;"")</f>
        <v>How can the laws of exponents be used to write an equivalent expression?</v>
      </c>
    </row>
    <row r="8" customFormat="false" ht="23.85" hidden="false" customHeight="false" outlineLevel="0" collapsed="false">
      <c r="A8" s="5" t="s">
        <v>5</v>
      </c>
      <c r="B8" s="6" t="str">
        <f aca="false">IF($B$42&gt;131,"",INDEX('Scope &amp; Sequence'!$U$2:$U$132,$B$42)&amp;"")</f>
        <v>base, exponent, power, product of powers law, power of a product law, power of a power law, identity exponent law</v>
      </c>
    </row>
    <row r="9" customFormat="false" ht="15" hidden="false" customHeight="false" outlineLevel="0" collapsed="false">
      <c r="A9" s="5" t="s">
        <v>6</v>
      </c>
      <c r="B9" s="6" t="str">
        <f aca="false">IF($B$42&gt;131,"",INDEX('Scope &amp; Sequence'!$V$2:$V$132,$B$42)&amp;"")</f>
        <v>7.NSO.1.1 · 8.NSO.1.3</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Evaluate powers — SZQ; Multiplication with exponents — 5SK; Power rule — 8DA; Understanding exponents — BFA   — due Thu 24 Sep</v>
      </c>
    </row>
    <row r="11" customFormat="false" ht="15" hidden="false" customHeight="false" outlineLevel="0" collapsed="false">
      <c r="A11" s="5" t="s">
        <v>8</v>
      </c>
      <c r="B11" s="6" t="str">
        <f aca="false">IF($B$42&gt;131,"",IFERROR(INDEX('IXL tracker'!$D$5:$D$86,MATCH(INDEX('Scope &amp; Sequence'!$A$2:$A$132,$B$42),'IXL tracker'!$G$5:$G$86,0)),"nothing due"))</f>
        <v>nothing due</v>
      </c>
    </row>
    <row r="12" customFormat="false" ht="23.85" hidden="false" customHeight="false" outlineLevel="0" collapsed="false">
      <c r="A12" s="5" t="s">
        <v>9</v>
      </c>
      <c r="B12" s="6" t="str">
        <f aca="false">IF($B$42&gt;131,"",INDEX('Scope &amp; Sequence'!$Y$2:$Y$132,$B$42)&amp;"")</f>
        <v>Aiyanna says she can use the power of a product law to evaluate (10 + (−2))³. Is she right?</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46289</v>
      </c>
      <c r="B29" s="6" t="str">
        <f aca="false">IF(($B$42+1)&gt;131,"",INDEX('Scope &amp; Sequence'!$D$2:$D$132,($B$42+1))&amp;"   "&amp;INDEX('Scope &amp; Sequence'!$E$2:$E$132,($B$42+1)))</f>
        <v>3.02   Quotient laws of exponents</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46290</v>
      </c>
      <c r="B30" s="6" t="str">
        <f aca="false">IF(($B$42+2)&gt;131,"",INDEX('Scope &amp; Sequence'!$D$2:$D$132,($B$42+2))&amp;"   "&amp;INDEX('Scope &amp; Sequence'!$E$2:$E$132,($B$42+2)))</f>
        <v>3.03   Exponential expressions</v>
      </c>
      <c r="C30" s="8" t="str">
        <f aca="false">IF(($B$42+2)&gt;131,"",IF(INDEX(Links!$B$2:$B$132,($B$42+2))&amp;""="","—",HYPERLINK(INDEX(Links!$B$2:$B$132,($B$42+2)),INDEX('Scope &amp; Sequence'!$F$2:$F$132,($B$42+2))&amp;"")))</f>
        <v>open</v>
      </c>
    </row>
    <row r="31" customFormat="false" ht="15" hidden="false" customHeight="false" outlineLevel="0" collapsed="false">
      <c r="A31" s="10" t="n">
        <f aca="false">IF(($B$42+3)&gt;131,"",INDEX('Scope &amp; Sequence'!$A$2:$A$132,($B$42+3)))</f>
        <v>46293</v>
      </c>
      <c r="B31" s="6" t="str">
        <f aca="false">IF(($B$42+3)&gt;131,"",INDEX('Scope &amp; Sequence'!$D$2:$D$132,($B$42+3))&amp;"   "&amp;INDEX('Scope &amp; Sequence'!$E$2:$E$132,($B$42+3)))</f>
        <v>3.04   Negative exponent law</v>
      </c>
      <c r="C31" s="8" t="str">
        <f aca="false">IF(($B$42+3)&gt;131,"",IF(INDEX(Links!$B$2:$B$132,($B$42+3))&amp;""="","—",HYPERLINK(INDEX(Links!$B$2:$B$132,($B$42+3)),INDEX('Scope &amp; Sequence'!$F$2:$F$132,($B$42+3))&amp;"")))</f>
        <v>open</v>
      </c>
    </row>
    <row r="32" customFormat="false" ht="15" hidden="false" customHeight="false" outlineLevel="0" collapsed="false">
      <c r="A32" s="10" t="n">
        <f aca="false">IF(($B$42+4)&gt;131,"",INDEX('Scope &amp; Sequence'!$A$2:$A$132,($B$42+4)))</f>
        <v>46294</v>
      </c>
      <c r="B32" s="6" t="str">
        <f aca="false">IF(($B$42+4)&gt;131,"",INDEX('Scope &amp; Sequence'!$D$2:$D$132,($B$42+4))&amp;"   "&amp;INDEX('Scope &amp; Sequence'!$E$2:$E$132,($B$42+4)))</f>
        <v>3.05   Applying exponent laws</v>
      </c>
      <c r="C32" s="8" t="str">
        <f aca="false">IF(($B$42+4)&gt;131,"",IF(INDEX(Links!$B$2:$B$132,($B$42+4))&amp;""="","—",HYPERLINK(INDEX(Links!$B$2:$B$132,($B$42+4)),INDEX('Scope &amp; Sequence'!$F$2:$F$132,($B$42+4))&amp;"")))</f>
        <v>open</v>
      </c>
    </row>
    <row r="33" customFormat="false" ht="15" hidden="false" customHeight="false" outlineLevel="0" collapsed="false">
      <c r="A33" s="10" t="n">
        <f aca="false">IF(($B$42+5)&gt;131,"",INDEX('Scope &amp; Sequence'!$A$2:$A$132,($B$42+5)))</f>
        <v>46295</v>
      </c>
      <c r="B33" s="6" t="str">
        <f aca="false">IF(($B$42+5)&gt;131,"",INDEX('Scope &amp; Sequence'!$D$2:$D$132,($B$42+5))&amp;"   "&amp;INDEX('Scope &amp; Sequence'!$E$2:$E$132,($B$42+5)))</f>
        <v>3.06+07   Evaluating and equivalent expressions with integer exponents</v>
      </c>
      <c r="C33" s="8" t="str">
        <f aca="false">IF(($B$42+5)&gt;131,"",IF(INDEX(Links!$B$2:$B$132,($B$42+5))&amp;""="","—",HYPERLINK(INDEX(Links!$B$2:$B$132,($B$42+5)),INDEX('Scope &amp; Sequence'!$F$2:$F$132,($B$42+5))&amp;"")))</f>
        <v>open</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1</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upcoming</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upcoming</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upcoming</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upcoming</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upcoming</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upcoming</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upcoming</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upcoming</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9">
      <formula>$J5="done"</formula>
    </cfRule>
    <cfRule type="expression" priority="3" aboveAverage="0" equalAverage="0" bottom="0" percent="0" rank="0" text="" dxfId="10">
      <formula>$J5="due — check scores"</formula>
    </cfRule>
    <cfRule type="expression" priority="4" aboveAverage="0" equalAverage="0" bottom="0" percent="0" rank="0" text="" dxfId="11">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2026-09-21T04:51:09Z</dcterms:created>
  <dc:creator>openpyxl</dc:creator>
  <dc:description/>
  <dc:language>en-US</dc:language>
  <cp:lastModifiedBy/>
  <dcterms:modified xsi:type="dcterms:W3CDTF">2026-09-21T04:51:10Z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