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s>
  <definedNames>
    <definedName function="false" hidden="true" localSheetId="2" name="_xlnm._FilterDatabase" vbProcedure="false">'IXL tracker'!$A$4:$K$86</definedName>
    <definedName function="false" hidden="true" localSheetId="1" name="_xlnm._FilterDatabase" vbProcedure="false">'Scope &amp; Sequence'!$A$1:$AA$132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X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X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X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X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X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X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X8"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X9"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X10"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X11"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X16"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X17"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X18"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X19"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X20"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X21"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Y3" authorId="0">
      <text>
        <r>
          <rPr>
            <sz val="10"/>
            <rFont val="Arial"/>
            <family val="2"/>
          </rPr>
          <t xml:space="preserve">What to look for: Board 9 is written work and it is the exit evidence: the student has to say that both students are right and that 2⁰ is 1. Read the boards, not the papers.</t>
        </r>
      </text>
    </comment>
    <comment ref="Y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Y5" authorId="0">
      <text>
        <r>
          <rPr>
            <sz val="10"/>
            <rFont val="Arial"/>
            <family val="2"/>
          </rPr>
          <t xml:space="preserve">What to look for: Board 9 is written work and it is the exit evidence: the student has to use the word reciprocal. Read the boards, not the papers.</t>
        </r>
      </text>
    </comment>
    <comment ref="Y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Y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Y8"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Y9"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Y10"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Y11"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Y16"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Y17"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Y18"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Y19"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Y20"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Y21"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<sst xmlns="http://schemas.openxmlformats.org/spreadsheetml/2006/main" count="2849" uniqueCount="1761">
  <si>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</si>
  <si>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</si>
  <si>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</si>
  <si>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</si>
  <si>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</si>
  <si>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</si>
  <si>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</si>
  <si>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</si>
  <si>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</si>
  <si>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</si>
  <si>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</si>
  <si>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</si>
  <si>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</si>
  <si>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</si>
  <si>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</si>
  <si>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</si>
  <si>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</si>
  <si>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</si>
  <si>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</si>
  <si>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</si>
  <si>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</si>
  <si>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</si>
  <si>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Coming up</t>
  </si>
  <si>
    <t xml:space="preserve">Date</t>
  </si>
  <si>
    <t xml:space="preserve">Slides</t>
  </si>
  <si>
    <t xml:space="preserve">This tab follows today's date: on a class day it shows that day; on a weekend or holiday, the next class day. The links open the file on GitHub (sign in as croix18 if it asks).</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</si>
  <si>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</si>
  <si>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</si>
  <si>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</si>
  <si>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</si>
  <si>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</si>
  <si>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</si>
  <si>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</si>
  <si>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</si>
  <si>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</si>
  <si>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</si>
  <si>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</si>
  <si>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</si>
  <si>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</si>
  <si>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</si>
  <si>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</si>
  <si>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open</t>
  </si>
  <si>
    <t xml:space="preserve">key</t>
  </si>
  <si>
    <t xml:space="preserve">folder</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</si>
  <si>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</si>
  <si>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</si>
  <si>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</si>
  <si>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</si>
  <si>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</si>
  <si>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</si>
  <si>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</si>
  <si>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</si>
  <si>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</si>
  <si>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</si>
  <si>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</si>
  <si>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</si>
  <si>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</si>
  <si>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</si>
  <si>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</si>
  <si>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</si>
  <si>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</si>
  <si>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</si>
  <si>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</si>
  <si>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</si>
  <si>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</si>
  <si>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</si>
  <si>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</si>
  <si>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</si>
  <si>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</si>
  <si>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</si>
  <si>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</si>
  <si>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</si>
  <si>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</si>
  <si>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</si>
  <si>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</si>
  <si>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</si>
  <si>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</si>
  <si>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</si>
  <si>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</si>
  <si>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</si>
  <si>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</si>
  <si>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</si>
  <si>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</si>
  <si>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</si>
  <si>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</si>
  <si>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</si>
  <si>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</si>
  <si>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</si>
  <si>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</si>
  <si>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</si>
  <si>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</si>
  <si>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</si>
  <si>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</si>
  <si>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</si>
  <si>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</si>
  <si>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</si>
  <si>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</si>
  <si>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</si>
  <si>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</si>
  <si>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</si>
  <si>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</si>
  <si>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</si>
  <si>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</si>
  <si>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</si>
  <si>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</si>
  <si>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</si>
  <si>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</si>
  <si>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</si>
  <si>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</si>
  <si>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</si>
  <si>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</si>
  <si>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</si>
  <si>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</si>
  <si>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</si>
  <si>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</si>
  <si>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</si>
  <si>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</si>
  <si>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</si>
  <si>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</si>
  <si>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</si>
  <si>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</si>
  <si>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</si>
  <si>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</si>
  <si>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</si>
  <si>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</si>
  <si>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</si>
  <si>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</si>
  <si>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</si>
  <si>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</si>
  <si>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</si>
  <si>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</si>
  <si>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</si>
  <si>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</si>
  <si>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</si>
  <si>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</si>
  <si>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</si>
  <si>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</si>
  <si>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</si>
  <si>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</si>
  <si>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</si>
  <si>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</si>
  <si>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</si>
  <si>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</si>
  <si>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</si>
  <si>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</si>
  <si>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</si>
  <si>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</si>
  <si>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</si>
  <si>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</si>
  <si>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</si>
  <si>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</si>
  <si>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</si>
  <si>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</si>
  <si>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Unit Review</t>
  </si>
  <si>
    <t xml:space="preserve">Review key</t>
  </si>
  <si>
    <t xml:space="preserve">3.X1</t>
  </si>
  <si>
    <t xml:space="preserve">Unit 3 exam, day 1</t>
  </si>
  <si>
    <t xml:space="preserve">Unit Assessment</t>
  </si>
  <si>
    <t xml:space="preserve">Assessment key</t>
  </si>
  <si>
    <t xml:space="preserve">3.X2</t>
  </si>
  <si>
    <t xml:space="preserve">Unit 3 exam, day 2</t>
  </si>
  <si>
    <t xml:space="preserve">flex</t>
  </si>
  <si>
    <t xml:space="preserve">Flex day — reteach from exam evidence, or absorb a lost day</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</si>
  <si>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</si>
  <si>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</si>
  <si>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</si>
  <si>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</si>
  <si>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</si>
  <si>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</si>
  <si>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</si>
  <si>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</si>
  <si>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</si>
  <si>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</si>
  <si>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</si>
  <si>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</si>
  <si>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</si>
  <si>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</si>
  <si>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</si>
  <si>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</si>
  <si>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</si>
  <si>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</si>
  <si>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</si>
  <si>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</si>
  <si>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</si>
  <si>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</si>
  <si>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</si>
  <si>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</si>
  <si>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</si>
  <si>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</si>
  <si>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</si>
  <si>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</si>
  <si>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</si>
  <si>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</si>
  <si>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</si>
  <si>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</si>
  <si>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</si>
  <si>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</si>
  <si>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</si>
  <si>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</si>
  <si>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</si>
  <si>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</si>
  <si>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</si>
  <si>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</si>
  <si>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</si>
  <si>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</si>
  <si>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</si>
  <si>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</si>
  <si>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</si>
  <si>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</si>
  <si>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</si>
  <si>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</si>
  <si>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</si>
  <si>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</si>
  <si>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</si>
  <si>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</si>
  <si>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</si>
  <si>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</si>
  <si>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</si>
  <si>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</si>
  <si>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</si>
  <si>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</si>
  <si>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</si>
  <si>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</si>
  <si>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</si>
  <si>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</si>
  <si>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</si>
  <si>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</si>
  <si>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</si>
  <si>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</si>
  <si>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</si>
  <si>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</si>
  <si>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</si>
  <si>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</si>
  <si>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</si>
  <si>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</si>
  <si>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</si>
  <si>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</si>
  <si>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</si>
  <si>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</si>
  <si>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</si>
  <si>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</si>
  <si>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</si>
  <si>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</si>
  <si>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</si>
  <si>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</si>
  <si>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</si>
  <si>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</si>
  <si>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</si>
  <si>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</si>
  <si>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</si>
  <si>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</si>
  <si>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</si>
  <si>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</si>
  <si>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</si>
  <si>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</si>
  <si>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</si>
  <si>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</si>
  <si>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</si>
  <si>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</si>
  <si>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</si>
  <si>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</si>
  <si>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</si>
  <si>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</si>
  <si>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</si>
  <si>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</si>
  <si>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</si>
  <si>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</si>
  <si>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</si>
  <si>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</si>
  <si>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</si>
  <si>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</si>
  <si>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</si>
  <si>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</si>
  <si>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</si>
  <si>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</si>
  <si>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</si>
  <si>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</si>
  <si>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</si>
  <si>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</si>
  <si>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</si>
  <si>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</si>
  <si>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</si>
  <si>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</si>
  <si>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</si>
  <si>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</si>
  <si>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</si>
  <si>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</si>
  <si>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</si>
  <si>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</si>
  <si>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</si>
  <si>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</si>
  <si>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</si>
  <si>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</si>
  <si>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</si>
  <si>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</si>
  <si>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</si>
  <si>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</si>
  <si>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</si>
  <si>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</si>
  <si>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</si>
  <si>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</si>
  <si>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</si>
  <si>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</si>
  <si>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</si>
  <si>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</si>
  <si>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</si>
  <si>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</si>
  <si>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</si>
  <si>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</si>
  <si>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</si>
  <si>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</si>
  <si>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</si>
  <si>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</si>
  <si>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</si>
  <si>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</si>
  <si>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</si>
  <si>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</si>
  <si>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</si>
  <si>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</si>
  <si>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</si>
  <si>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</si>
  <si>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</si>
  <si>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</si>
  <si>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</si>
  <si>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</si>
  <si>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</si>
  <si>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</si>
  <si>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</si>
  <si>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</si>
  <si>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</si>
  <si>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</si>
  <si>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</si>
  <si>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</si>
  <si>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</si>
  <si>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</si>
  <si>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</si>
  <si>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</si>
  <si>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</si>
  <si>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</si>
  <si>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</si>
  <si>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</si>
  <si>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</si>
  <si>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</si>
  <si>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</si>
  <si>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</si>
  <si>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</si>
  <si>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</si>
  <si>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</si>
  <si>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</si>
  <si>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</si>
  <si>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</si>
  <si>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</si>
  <si>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</si>
  <si>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</si>
  <si>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</si>
  <si>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</si>
  <si>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</si>
  <si>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</si>
  <si>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</si>
  <si>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</si>
  <si>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</si>
  <si>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</si>
  <si>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</si>
  <si>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</si>
  <si>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</si>
  <si>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</si>
  <si>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</si>
  <si>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</si>
  <si>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</si>
  <si>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</si>
  <si>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</si>
  <si>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</si>
  <si>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</si>
  <si>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</si>
  <si>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</si>
  <si>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</si>
  <si>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</si>
  <si>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</si>
  <si>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</si>
  <si>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</si>
  <si>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</si>
  <si>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</si>
  <si>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</si>
  <si>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</si>
  <si>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</si>
  <si>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</si>
  <si>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</si>
  <si>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</si>
  <si>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</si>
  <si>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</si>
  <si>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</si>
  <si>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</si>
  <si>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</si>
  <si>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</si>
  <si>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</si>
  <si>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</si>
  <si>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</si>
  <si>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</si>
  <si>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</si>
  <si>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</si>
  <si>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</si>
  <si>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</si>
  <si>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</si>
  <si>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</si>
  <si>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</si>
  <si>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</si>
  <si>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</si>
  <si>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</si>
  <si>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</si>
  <si>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</si>
  <si>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</si>
  <si>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</si>
  <si>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</si>
  <si>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</si>
  <si>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</si>
  <si>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</si>
  <si>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</si>
  <si>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</si>
  <si>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</si>
  <si>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</si>
  <si>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</si>
  <si>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</si>
  <si>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</si>
  <si>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</si>
  <si>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</si>
  <si>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</si>
  <si>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</si>
  <si>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</si>
  <si>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</si>
  <si>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</si>
  <si>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</si>
  <si>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</si>
  <si>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</si>
  <si>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</si>
  <si>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</si>
  <si>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</si>
  <si>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</si>
  <si>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</si>
  <si>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</si>
  <si>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</si>
  <si>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</si>
  <si>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</si>
  <si>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</si>
  <si>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</si>
  <si>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</si>
  <si>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</si>
  <si>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</si>
  <si>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</si>
  <si>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</si>
  <si>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</si>
  <si>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</si>
  <si>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</si>
  <si>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</si>
  <si>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</si>
  <si>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</si>
  <si>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</si>
  <si>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</si>
  <si>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</si>
  <si>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</si>
  <si>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</si>
  <si>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</si>
  <si>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</si>
  <si>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</si>
  <si>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</si>
  <si>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</si>
  <si>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</si>
  <si>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</si>
  <si>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</si>
  <si>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</si>
  <si>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</si>
  <si>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</si>
  <si>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</si>
  <si>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</si>
  <si>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</si>
  <si>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</si>
  <si>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</si>
  <si>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</si>
  <si>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</si>
  <si>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</si>
  <si>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</si>
  <si>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</si>
  <si>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</si>
  <si>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</si>
  <si>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</si>
  <si>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</si>
  <si>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</si>
  <si>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</si>
  <si>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</si>
  <si>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</si>
  <si>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</si>
  <si>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</si>
  <si>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</si>
  <si>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</si>
  <si>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</si>
  <si>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</si>
  <si>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</si>
  <si>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</si>
  <si>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</si>
  <si>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</si>
  <si>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</si>
  <si>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</si>
  <si>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</si>
  <si>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</si>
  <si>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</si>
  <si>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</si>
  <si>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</si>
  <si>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</si>
  <si>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</si>
  <si>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</si>
  <si>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</si>
  <si>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</si>
  <si>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</si>
  <si>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</si>
  <si>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</si>
  <si>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</si>
  <si>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</si>
  <si>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</si>
  <si>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</si>
  <si>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</si>
  <si>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</si>
  <si>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</si>
  <si>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</si>
  <si>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</si>
  <si>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</si>
  <si>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</si>
  <si>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</si>
  <si>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</si>
  <si>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</si>
  <si>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</si>
  <si>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</si>
  <si>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</si>
  <si>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</si>
  <si>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</si>
  <si>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</si>
  <si>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</si>
  <si>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</si>
  <si>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</si>
  <si>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</si>
  <si>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</si>
  <si>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</si>
  <si>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</si>
  <si>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</si>
  <si>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</si>
  <si>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</si>
  <si>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</si>
  <si>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</si>
  <si>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</si>
  <si>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</si>
  <si>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</si>
  <si>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</si>
  <si>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</si>
  <si>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</si>
  <si>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</si>
  <si>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</si>
  <si>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</si>
  <si>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</si>
  <si>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</si>
  <si>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</si>
  <si>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</si>
  <si>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</si>
  <si>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</si>
  <si>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</si>
  <si>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</si>
  <si>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</si>
  <si>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</si>
  <si>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</si>
  <si>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</si>
  <si>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</si>
  <si>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</si>
  <si>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</si>
  <si>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</si>
  <si>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</si>
  <si>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</si>
  <si>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</si>
  <si>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</si>
  <si>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</si>
  <si>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</si>
  <si>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</si>
  <si>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</si>
  <si>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</si>
  <si>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</si>
  <si>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</si>
  <si>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</si>
  <si>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</si>
  <si>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</si>
  <si>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</si>
  <si>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</si>
  <si>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</si>
  <si>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</si>
  <si>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</si>
  <si>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</si>
  <si>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</si>
  <si>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</si>
  <si>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</si>
  <si>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</si>
  <si>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</si>
  <si>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</si>
  <si>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</si>
  <si>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</si>
  <si>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</si>
  <si>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</si>
  <si>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</si>
  <si>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</si>
  <si>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</si>
  <si>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</si>
  <si>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</si>
  <si>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</si>
  <si>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</si>
  <si>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</si>
  <si>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</si>
  <si>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</si>
  <si>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</si>
  <si>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</si>
  <si>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</si>
  <si>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</si>
  <si>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</si>
  <si>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</si>
  <si>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</si>
  <si>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</si>
  <si>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</si>
  <si>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</si>
  <si>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</si>
  <si>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</si>
  <si>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</si>
  <si>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</si>
  <si>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</si>
  <si>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</si>
  <si>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</si>
  <si>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</si>
  <si>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</si>
  <si>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</si>
  <si>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</si>
  <si>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</si>
  <si>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</si>
  <si>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</si>
  <si>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</si>
  <si>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</si>
  <si>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</si>
  <si>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</si>
  <si>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</si>
  <si>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</si>
  <si>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</si>
  <si>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</si>
  <si>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</si>
  <si>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</si>
  <si>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</si>
  <si>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</si>
  <si>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</si>
  <si>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</si>
  <si>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</si>
  <si>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</si>
  <si>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</si>
  <si>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</si>
  <si>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</si>
  <si>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</si>
  <si>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</si>
  <si>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</si>
  <si>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</si>
  <si>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</si>
  <si>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</si>
  <si>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</si>
  <si>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</si>
  <si>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</si>
  <si>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</si>
  <si>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</si>
  <si>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</si>
  <si>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</si>
  <si>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</si>
  <si>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</si>
  <si>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</si>
  <si>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</si>
  <si>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</si>
  <si>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</si>
  <si>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</si>
  <si>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</si>
  <si>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</si>
  <si>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</si>
  <si>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</si>
  <si>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</si>
  <si>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</si>
  <si>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</si>
  <si>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</si>
  <si>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</si>
  <si>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</si>
  <si>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</si>
  <si>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</si>
  <si>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</si>
  <si>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</si>
  <si>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</si>
  <si>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</si>
  <si>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</si>
  <si>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</si>
  <si>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</si>
  <si>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</si>
  <si>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</si>
  <si>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</si>
  <si>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</si>
  <si>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</si>
  <si>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</si>
  <si>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</si>
  <si>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</si>
  <si>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</si>
  <si>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</si>
  <si>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</si>
  <si>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</si>
  <si>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</si>
  <si>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</si>
  <si>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</si>
  <si>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</si>
  <si>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</si>
  <si>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</si>
  <si>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</si>
  <si>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</si>
  <si>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</si>
  <si>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</si>
  <si>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</si>
  <si>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</si>
  <si>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</si>
  <si>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</si>
  <si>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</si>
  <si>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</si>
  <si>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</si>
  <si>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</si>
  <si>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</si>
  <si>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</si>
  <si>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</si>
  <si>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</si>
  <si>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</si>
  <si>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</si>
  <si>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</si>
  <si>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</si>
  <si>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</si>
  <si>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</si>
  <si>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</si>
  <si>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</si>
  <si>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</si>
  <si>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</si>
  <si>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</si>
  <si>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</si>
  <si>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</si>
  <si>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</si>
  <si>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</si>
  <si>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</si>
  <si>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</si>
  <si>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</si>
  <si>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</si>
  <si>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</si>
  <si>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</si>
  <si>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</si>
  <si>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</si>
  <si>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</si>
  <si>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</si>
  <si>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</si>
  <si>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</si>
  <si>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</si>
  <si>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</si>
  <si>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</si>
  <si>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</si>
  <si>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</si>
  <si>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</si>
  <si>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</si>
  <si>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</si>
  <si>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</si>
  <si>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</si>
  <si>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</si>
  <si>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</si>
  <si>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</si>
  <si>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</si>
  <si>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</si>
  <si>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</si>
  <si>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</si>
  <si>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</si>
  <si>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</si>
  <si>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</si>
  <si>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</si>
  <si>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</si>
  <si>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</si>
  <si>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</si>
  <si>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</si>
  <si>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</si>
  <si>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</si>
  <si>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</si>
  <si>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</si>
  <si>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</si>
  <si>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</si>
  <si>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</si>
  <si>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</si>
  <si>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</si>
  <si>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</si>
  <si>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</si>
  <si>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</si>
  <si>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</si>
  <si>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</si>
  <si>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</si>
  <si>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</si>
  <si>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</si>
  <si>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</si>
  <si>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</si>
  <si>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</si>
  <si>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</si>
  <si>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</si>
  <si>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</si>
  <si>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</si>
  <si>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</si>
  <si>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</si>
  <si>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</si>
  <si>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</si>
  <si>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</si>
  <si>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</si>
  <si>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</si>
  <si>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</si>
  <si>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</si>
  <si>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</si>
  <si>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</si>
  <si>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</si>
  <si>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</si>
  <si>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</si>
  <si>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</si>
  <si>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</si>
  <si>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</si>
  <si>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</si>
  <si>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</si>
  <si>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</si>
  <si>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</si>
  <si>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</si>
  <si>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</si>
  <si>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</si>
  <si>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</si>
  <si>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</si>
  <si>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</si>
  <si>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</si>
  <si>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</si>
  <si>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</si>
  <si>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</si>
  <si>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</si>
  <si>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</si>
  <si>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</si>
  <si>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</si>
  <si>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</si>
  <si>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</si>
  <si>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</si>
  <si>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</si>
  <si>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</si>
  <si>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</si>
  <si>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</si>
  <si>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</si>
  <si>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</si>
  <si>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</si>
  <si>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</si>
  <si>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</si>
  <si>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</si>
  <si>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</si>
  <si>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</si>
  <si>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</si>
  <si>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</si>
  <si>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</si>
  <si>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</si>
  <si>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</si>
  <si>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</si>
  <si>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</si>
  <si>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</si>
  <si>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</si>
  <si>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</si>
  <si>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</si>
  <si>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</si>
  <si>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</si>
  <si>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</si>
  <si>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</si>
  <si>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</si>
  <si>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</si>
  <si>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</si>
  <si>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</si>
  <si>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</si>
  <si>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</si>
  <si>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</si>
  <si>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</si>
  <si>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</si>
  <si>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</si>
  <si>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</si>
  <si>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</si>
  <si>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</si>
  <si>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</si>
  <si>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</si>
  <si>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</si>
  <si>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</si>
  <si>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</si>
  <si>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</si>
  <si>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</si>
  <si>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</si>
  <si>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</si>
  <si>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</si>
  <si>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</si>
  <si>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</si>
  <si>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</si>
  <si>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</si>
  <si>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</si>
  <si>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</si>
  <si>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</si>
  <si>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</si>
  <si>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</si>
  <si>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</si>
  <si>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</si>
  <si>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</si>
  <si>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</si>
  <si>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</si>
  <si>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</si>
  <si>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</si>
  <si>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</si>
  <si>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</si>
  <si>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</si>
  <si>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</si>
  <si>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</si>
  <si>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</si>
  <si>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</si>
  <si>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</si>
  <si>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</si>
  <si>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</si>
  <si>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</si>
  <si>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</si>
  <si>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</si>
  <si>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</si>
  <si>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</si>
  <si>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</si>
  <si>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</si>
  <si>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</si>
  <si>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</si>
  <si>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</si>
  <si>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</si>
  <si>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</si>
  <si>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</si>
  <si>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</si>
  <si>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</si>
  <si>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</si>
  <si>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</si>
  <si>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</si>
  <si>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</si>
  <si>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</si>
  <si>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</si>
  <si>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</si>
  <si>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</si>
  <si>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</si>
  <si>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</si>
  <si>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</si>
  <si>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</si>
  <si>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</si>
  <si>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</si>
  <si>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</si>
  <si>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</si>
  <si>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</si>
  <si>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</si>
  <si>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</si>
  <si>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</si>
  <si>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</si>
  <si>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</si>
  <si>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</si>
  <si>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</si>
  <si>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</si>
  <si>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</si>
  <si>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</si>
  <si>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</si>
  <si>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</si>
  <si>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</si>
  <si>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</si>
  <si>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</si>
  <si>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</si>
  <si>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</si>
  <si>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</si>
  <si>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</si>
  <si>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</si>
  <si>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</si>
  <si>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</si>
  <si>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(Thu 1 Oct); T-A2 (Fri 2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</si>
  <si>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</si>
  <si>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</si>
  <si>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</si>
  <si>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(Mon 5 Oct); 3.09 (Tue 6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</si>
  <si>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</si>
  <si>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</si>
  <si>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</si>
  <si>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</si>
  <si>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</si>
  <si>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(Wed 14 Oct); 4.02+03 (Thu 15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</si>
  <si>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</si>
  <si>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</si>
  <si>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</si>
  <si>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</si>
  <si>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(Fri 16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</si>
  <si>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</si>
  <si>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</si>
  <si>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</si>
  <si>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(Mon 19 Oct); 4.06 (Tue 20 Oct); 4.07+08 (Wed 21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</si>
  <si>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</si>
  <si>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</si>
  <si>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</si>
  <si>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</si>
  <si>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</si>
  <si>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</si>
  <si>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</si>
  <si>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</si>
  <si>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</si>
  <si>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</si>
  <si>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</si>
  <si>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</si>
  <si>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</si>
  <si>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</si>
  <si>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</si>
  <si>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</si>
  <si>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</si>
  <si>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</si>
  <si>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</si>
  <si>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</si>
  <si>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</si>
  <si>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</si>
  <si>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</si>
  <si>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</si>
  <si>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</si>
  <si>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</si>
  <si>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</si>
  <si>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</si>
  <si>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</si>
  <si>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</si>
  <si>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</si>
  <si>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</si>
  <si>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</si>
  <si>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</si>
  <si>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</si>
  <si>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</si>
  <si>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</si>
  <si>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</si>
  <si>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</si>
  <si>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</si>
  <si>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</si>
  <si>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</si>
  <si>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</si>
  <si>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</si>
  <si>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</si>
  <si>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</si>
  <si>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</si>
  <si>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</si>
  <si>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</si>
  <si>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</si>
  <si>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</si>
  <si>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</si>
  <si>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</si>
  <si>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</si>
  <si>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</si>
  <si>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</si>
  <si>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</si>
  <si>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</si>
  <si>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(Wed 20 Jan); 12.08+09 (Tue 2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</si>
  <si>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</si>
  <si>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</si>
  <si>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</si>
  <si>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</si>
  <si>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</si>
  <si>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</si>
  <si>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</si>
  <si>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</si>
  <si>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</si>
  <si>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</si>
  <si>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</si>
  <si>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</si>
  <si>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</si>
  <si>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</si>
  <si>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</si>
  <si>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</si>
  <si>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</si>
  <si>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</si>
  <si>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</si>
  <si>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</si>
  <si>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</si>
  <si>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</si>
  <si>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</si>
  <si>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</si>
  <si>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</si>
  <si>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</si>
  <si>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</si>
  <si>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</si>
  <si>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</si>
  <si>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</si>
  <si>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</si>
  <si>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</si>
  <si>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</si>
  <si>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</si>
  <si>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</si>
  <si>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</si>
  <si>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</si>
  <si>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</si>
  <si>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</si>
  <si>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</si>
  <si>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</si>
  <si>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</si>
  <si>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</si>
  <si>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</si>
  <si>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</si>
  <si>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</si>
  <si>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</si>
  <si>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</si>
  <si>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</si>
  <si>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</si>
  <si>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</si>
  <si>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</si>
  <si>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</si>
  <si>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</si>
  <si>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</si>
  <si>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</si>
  <si>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</si>
  <si>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</si>
  <si>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(Thu 4 Feb); 11.02 (Fri 5 Feb); 11.03 (Mon 8 Feb); 11.04 (Tue 9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</si>
  <si>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</si>
  <si>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</si>
  <si>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</si>
  <si>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</si>
  <si>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(Wed 10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</si>
  <si>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</si>
  <si>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</si>
  <si>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</si>
  <si>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</si>
  <si>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</si>
  <si>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(Thu 11 Feb); 11.08 (Fri 12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</si>
  <si>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</si>
  <si>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</si>
  <si>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</si>
  <si>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</si>
  <si>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</si>
  <si>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</si>
  <si>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</si>
  <si>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</si>
  <si>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</si>
  <si>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</si>
  <si>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</si>
  <si>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</si>
  <si>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</si>
  <si>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</si>
  <si>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(Mon 1 Mar); 12.08+09 (Tue 2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</si>
  <si>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</si>
  <si>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</si>
  <si>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</si>
  <si>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</si>
  <si>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</si>
  <si>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</si>
  <si>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</si>
  <si>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</si>
  <si>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</si>
  <si>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</si>
  <si>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</si>
  <si>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</si>
  <si>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</si>
  <si>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</si>
  <si>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</si>
  <si>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</si>
  <si>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</si>
  <si>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</si>
  <si>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</si>
  <si>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</si>
  <si>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</si>
  <si>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</si>
  <si>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</si>
  <si>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</si>
  <si>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</si>
  <si>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</si>
  <si>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</si>
  <si>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</si>
  <si>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</si>
  <si>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</si>
  <si>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</si>
  <si>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</si>
  <si>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</si>
  <si>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</si>
  <si>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</si>
  <si>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</si>
  <si>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</si>
  <si>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</si>
  <si>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</si>
  <si>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</si>
  <si>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</si>
  <si>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</si>
  <si>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</si>
  <si>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</si>
  <si>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</si>
  <si>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</si>
  <si>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</si>
  <si>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</si>
  <si>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</si>
  <si>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</si>
  <si>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</si>
  <si>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</si>
  <si>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</si>
  <si>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</si>
  <si>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</si>
  <si>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</si>
  <si>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</si>
  <si>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</si>
  <si>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</si>
  <si>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</si>
  <si>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</si>
  <si>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</si>
  <si>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</si>
  <si>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</si>
  <si>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</si>
  <si>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</si>
  <si>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</si>
  <si>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</si>
  <si>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</si>
  <si>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</si>
  <si>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</si>
  <si>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</si>
  <si>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</si>
  <si>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</si>
  <si>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</si>
  <si>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</si>
  <si>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</si>
  <si>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</si>
  <si>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</si>
  <si>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</si>
  <si>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</si>
  <si>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</si>
  <si>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</si>
  <si>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</si>
  <si>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</si>
  <si>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</si>
  <si>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</si>
  <si>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</si>
  <si>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</si>
  <si>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</si>
  <si>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</si>
  <si>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</si>
  <si>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</si>
  <si>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</si>
  <si>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</si>
  <si>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</si>
  <si>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</si>
  <si>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</si>
  <si>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</si>
  <si>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</si>
  <si>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</si>
  <si>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</si>
  <si>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</si>
  <si>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</si>
  <si>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</si>
  <si>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</si>
  <si>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</si>
  <si>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</si>
  <si>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</si>
  <si>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</si>
  <si>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</si>
  <si>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</si>
  <si>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</si>
  <si>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</si>
  <si>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</si>
  <si>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</si>
  <si>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</si>
  <si>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</si>
  <si>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</si>
  <si>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</si>
  <si>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</si>
  <si>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</si>
  <si>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</si>
  <si>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</si>
  <si>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</si>
  <si>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</si>
  <si>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</si>
  <si>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</si>
  <si>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</si>
  <si>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</si>
  <si>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</si>
  <si>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</si>
  <si>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</si>
  <si>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</si>
  <si>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</si>
  <si>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</si>
  <si>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T-A1
Thread A: the same laws with variable bases (14.1–14.2)</t>
  </si>
  <si>
    <t xml:space="preserve">2   T-A2
Thread A: negative exponents and multiple laws, variable bases (14.3–14.4)</t>
  </si>
  <si>
    <t xml:space="preserve">5   3.08
Large numbers in scientific notation</t>
  </si>
  <si>
    <t xml:space="preserve">6   3.09
Small numbers in scientific notation; how many times larger</t>
  </si>
  <si>
    <t xml:space="preserve">7   spiral
Spiral day — mixed retrieval from the unit just finished and the two before it</t>
  </si>
  <si>
    <t xml:space="preserve">8   3.X1
Unit 3 exam, day 1</t>
  </si>
  <si>
    <t xml:space="preserve">9   3.X2
Unit 3 exam, day 2</t>
  </si>
  <si>
    <t xml:space="preserve">12
No school</t>
  </si>
  <si>
    <t xml:space="preserve">13   flex
Flex day — reteach from exam evidence, or absorb a lost day</t>
  </si>
  <si>
    <t xml:space="preserve">14   4.01
Add and subtract in scientific notation</t>
  </si>
  <si>
    <t xml:space="preserve">15   4.02+03
Multiply and divide in scientific notation</t>
  </si>
  <si>
    <t xml:space="preserve">16   4.04
Real-world scientific notation; significant digits</t>
  </si>
  <si>
    <t xml:space="preserve">19   4.05
Expressions with radicals (perfect squares to 225, cubes −125 to 125)</t>
  </si>
  <si>
    <t xml:space="preserve">20   4.06
Order of operations with exponents and radicals</t>
  </si>
  <si>
    <t xml:space="preserve">21   4.07+08
Real-world order-of-operations problems</t>
  </si>
  <si>
    <t xml:space="preserve">22   4.X1
Unit 4 exam, day 1</t>
  </si>
  <si>
    <t xml:space="preserve">23   4.X2
Unit 4 exam, day 2</t>
  </si>
  <si>
    <t xml:space="preserve">26   flex
Flex day — reteach from exam evidence, or absorb a lost day</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</si>
  <si>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</si>
  <si>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</si>
  <si>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</si>
  <si>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</si>
  <si>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</si>
  <si>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</si>
  <si>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</si>
  <si>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</si>
  <si>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</si>
  <si>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</si>
  <si>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</si>
  <si>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</si>
  <si>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</si>
  <si>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</si>
  <si>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</si>
  <si>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</si>
  <si>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</si>
  <si>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</si>
  <si>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</si>
  <si>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</si>
  <si>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</si>
  <si>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</si>
  <si>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</si>
  <si>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</si>
  <si>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</si>
  <si>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</si>
  <si>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</si>
  <si>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</si>
  <si>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</si>
  <si>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</si>
  <si>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</si>
  <si>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</si>
  <si>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</si>
  <si>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</si>
  <si>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</si>
  <si>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</si>
  <si>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</si>
  <si>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</si>
  <si>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</si>
  <si>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</si>
  <si>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</si>
  <si>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</si>
  <si>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</si>
  <si>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</si>
  <si>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</si>
  <si>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</si>
  <si>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</si>
  <si>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</si>
  <si>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</si>
  <si>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</si>
  <si>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</si>
  <si>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</si>
  <si>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</si>
  <si>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</si>
  <si>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</si>
  <si>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</si>
  <si>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13   spiral
Spiral day — mixed retrieval from the unit just finished and the two before it</t>
  </si>
  <si>
    <t xml:space="preserve">14   8/9.X1
Units 8–9 exam, day 1</t>
  </si>
  <si>
    <t xml:space="preserve">15   8/9.X2
Units 8–9 exam, day 2</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</si>
  <si>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</si>
  <si>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</si>
  <si>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</si>
  <si>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</si>
  <si>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</si>
  <si>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</si>
  <si>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</si>
  <si>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</si>
  <si>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</si>
  <si>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</si>
  <si>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</si>
  <si>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10.X1
Unit 10 exam, day 1</t>
  </si>
  <si>
    <t xml:space="preserve">2   10.X2
Unit 10 exam, day 2</t>
  </si>
  <si>
    <t xml:space="preserve">3   flex
Flex day — reteach from exam evidence, or absorb a lost day</t>
  </si>
  <si>
    <t xml:space="preserve">4   11.01
Equations with like terms and the distributive property</t>
  </si>
  <si>
    <t xml:space="preserve">5   11.02
Variables on both sides</t>
  </si>
  <si>
    <t xml:space="preserve">8   11.03
One, none, infinitely many solutions</t>
  </si>
  <si>
    <t xml:space="preserve">9   11.04
Multi-step equations</t>
  </si>
  <si>
    <t xml:space="preserve">10   11.05+06
Systems: which points are solutions; how many solutions</t>
  </si>
  <si>
    <t xml:space="preserve">11   11.07
Solving systems by graphing</t>
  </si>
  <si>
    <t xml:space="preserve">12   11.08
Systems in context (approximate solutions)</t>
  </si>
  <si>
    <t xml:space="preserve">15
No school</t>
  </si>
  <si>
    <t xml:space="preserve">16   spiral
Spiral day — mixed retrieval from the unit just finished and the two before it</t>
  </si>
  <si>
    <t xml:space="preserve">17   spiral
Spiral day — mixed retrieval from the unit just finished and the two before it</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</si>
  <si>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</si>
  <si>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</si>
  <si>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</si>
  <si>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</si>
  <si>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</si>
  <si>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</si>
  <si>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</si>
  <si>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</si>
  <si>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12.07
Functions from equations, tables, graphs</t>
  </si>
  <si>
    <t xml:space="preserve">2   12.08+09
Is it linear? (graphs, equations, tables)</t>
  </si>
  <si>
    <t xml:space="preserve">3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</si>
  <si>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</si>
  <si>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</si>
  <si>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</si>
  <si>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</si>
  <si>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</si>
  <si>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</si>
  <si>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</si>
  <si>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</si>
  <si>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</si>
  <si>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</si>
  <si>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</si>
  <si>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</si>
  <si>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</si>
  <si>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</si>
  <si>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</si>
  <si>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</si>
  <si>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</si>
  <si>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</si>
  <si>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</si>
  <si>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</si>
  <si>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</si>
  <si>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</si>
  <si>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</si>
  <si>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</si>
  <si>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</si>
  <si>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</si>
  <si>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</si>
  <si>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</si>
  <si>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</si>
  <si>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</si>
  <si>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</si>
  <si>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</si>
  <si>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</si>
  <si>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</si>
  <si>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</si>
  <si>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</si>
  <si>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</si>
  <si>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</si>
  <si>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</si>
  <si>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</si>
  <si>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</si>
  <si>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</si>
  <si>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</si>
  <si>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</si>
  <si>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</si>
  <si>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</si>
  <si>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</si>
  <si>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</si>
  <si>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</si>
  <si>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</si>
  <si>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</si>
  <si>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</si>
  <si>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</si>
  <si>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</si>
  <si>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</si>
  <si>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</si>
  <si>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</si>
  <si>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</si>
  <si>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</si>
  <si>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</si>
  <si>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</si>
  <si>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</si>
  <si>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</si>
  <si>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</si>
  <si>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</si>
  <si>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</si>
  <si>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</si>
  <si>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</si>
  <si>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</si>
  <si>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</si>
  <si>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</si>
  <si>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</si>
  <si>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</si>
  <si>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</si>
  <si>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</si>
  <si>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</si>
  <si>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</si>
  <si>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</si>
  <si>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</si>
  <si>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</si>
  <si>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</si>
  <si>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</si>
  <si>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</si>
  <si>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</si>
  <si>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</si>
  <si>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</si>
  <si>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</si>
  <si>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</si>
  <si>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</si>
  <si>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</si>
  <si>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</si>
  <si>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</si>
  <si>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</si>
  <si>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</si>
  <si>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</si>
  <si>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</si>
  <si>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</si>
  <si>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</si>
  <si>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</si>
  <si>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</si>
  <si>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</si>
  <si>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</si>
  <si>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</si>
  <si>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</si>
  <si>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</si>
  <si>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</si>
  <si>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</si>
  <si>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</si>
  <si>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</si>
  <si>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</si>
  <si>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</si>
  <si>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</si>
  <si>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</si>
  <si>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</si>
  <si>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</si>
  <si>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</si>
  <si>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</si>
  <si>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</si>
  <si>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</si>
  <si>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</si>
  <si>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</si>
  <si>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</si>
  <si>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</si>
  <si>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</si>
  <si>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</si>
  <si>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</si>
  <si>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</si>
  <si>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</si>
  <si>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</si>
  <si>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</si>
  <si>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</si>
  <si>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</si>
  <si>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</si>
  <si>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</si>
  <si>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</si>
  <si>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</si>
  <si>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</si>
  <si>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</si>
  <si>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</si>
  <si>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</si>
  <si>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</si>
  <si>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</si>
  <si>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</si>
  <si>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</si>
  <si>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</si>
  <si>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</si>
  <si>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</si>
  <si>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</si>
  <si>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</si>
  <si>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</si>
  <si>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</si>
  <si>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</si>
  <si>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</si>
  <si>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</si>
  <si>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</si>
  <si>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</si>
  <si>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</si>
  <si>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</si>
  <si>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</si>
  <si>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</si>
  <si>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</si>
  <si>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</si>
  <si>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</si>
  <si>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</si>
  <si>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</si>
  <si>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</si>
  <si>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</si>
  <si>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</si>
  <si>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</si>
  <si>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</si>
  <si>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</si>
  <si>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</si>
  <si>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</si>
  <si>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</si>
  <si>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Answer keys (PDF)</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</si>
  <si>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</si>
  <si>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</si>
  <si>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</si>
  <si>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</si>
  <si>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</si>
  <si>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</si>
  <si>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</si>
  <si>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</si>
  <si>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</si>
  <si>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</si>
  <si>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</si>
  <si>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</si>
  <si>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</si>
  <si>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</si>
  <si>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</si>
  <si>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</si>
  <si>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</si>
  <si>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</si>
  <si>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</si>
  <si>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</si>
  <si>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</si>
  <si>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</si>
  <si>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</si>
  <si>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</si>
  <si>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</si>
  <si>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</si>
  <si>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</si>
  <si>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</si>
  <si>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</si>
  <si>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the file on GitHub. A PDF opens right in the browser; a PowerPoint file shows a download button instead. If GitHub asks you to sign in, use your croix18 account.</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</si>
  <si>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</si>
  <si>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</si>
  <si>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</si>
  <si>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</si>
  <si>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at commit b4f355e on 03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</si>
  <si>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https://github.com/croix18/croix18-windy-hill-a7/blob/main/a7/packages/A7%20Unit%203%20-%20Exponents%20and%20Scientific%20Notation/PDFs/Slides/A7%203.01%20%20Slides.pdf</t>
  </si>
  <si>
    <t xml:space="preserve">https://github.com/croix18/croix18-windy-hill-a7/blob/main/a7/packages/A7%20Unit%203%20-%20Exponents%20and%20Scientific%20Notation/Slides/A7%203.01%20%20Slides.pptx</t>
  </si>
  <si>
    <t xml:space="preserve">https://github.com/croix18/croix18-windy-hill-a7/blob/main/a7/packages/A7%20Unit%203%20-%20Exponents%20and%20Scientific%20Notation/PDFs/Teacher%20Editions/A7%203.01%20%20Teacher%20Edition.pdf</t>
  </si>
  <si>
    <t xml:space="preserve">https://github.com/croix18/croix18-windy-hill-a7/blob/main/a7/packages/A7%20Unit%203%20-%20Exponents%20and%20Scientific%20Notation/PDFs/Lesson%20Plans/A7%203.01%20%20Lesson%20Plan.pdf</t>
  </si>
  <si>
    <t xml:space="preserve">https://github.com/croix18/croix18-windy-hill-a7/blob/main/a7/packages/A7%20Unit%203%20-%20Exponents%20and%20Scientific%20Notation/PDFs/Question%20Banks/A7%203.01%20%20Question%20Bank.pdf</t>
  </si>
  <si>
    <t xml:space="preserve">https://github.com/croix18/croix18-windy-hill-a7/blob/main/a7/packages/A7%20Unit%203%20-%20Exponents%20and%20Scientific%20Notation/PDFs/Answer%20Keys/A7%203.01%20%20Question%20Bank%20Key.pdf</t>
  </si>
  <si>
    <t xml:space="preserve">https://github.com/croix18/croix18-windy-hill-a7/blob/main/a7/packages/A7%20Unit%203%20-%20Exponents%20and%20Scientific%20Notation/PDFs/Question%20Banks/A7%203.01%20%20Question%20Bank%20-%20Additional.pdf</t>
  </si>
  <si>
    <t xml:space="preserve">https://github.com/croix18/croix18-windy-hill-a7/blob/main/a7/packages/A7%20Unit%203%20-%20Exponents%20and%20Scientific%20Notation/PDFs/Answer%20Keys/A7%203.01%20%20Question%20Bank%20-%20Additional%20Key.pdf</t>
  </si>
  <si>
    <t xml:space="preserve">https://github.com/croix18/croix18-windy-hill-a7/blob/main/a7/packages/A7%20Unit%203%20-%20Exponents%20and%20Scientific%20Notation/PDFs/Independent%20Sets/A7%203.01%20%20Independent%20Set.pdf</t>
  </si>
  <si>
    <t xml:space="preserve">https://github.com/croix18/croix18-windy-hill-a7/blob/main/a7/packages/A7%20Unit%203%20-%20Exponents%20and%20Scientific%20Notation/PDFs/Answer%20Keys/A7%203.01%20%20Independent%20Set%20Key.pdf</t>
  </si>
  <si>
    <t xml:space="preserve">https://github.com/croix18/croix18-windy-hill-a7/tree/main/a7/packages/A7%20Unit%203%20-%20Exponents%20and%20Scientific%20Notation</t>
  </si>
  <si>
    <t xml:space="preserve">https://github.com/croix18/croix18-windy-hill-a7/blob/main/a7/packages/A7%20Unit%203%20-%20Exponents%20and%20Scientific%20Notation/PDFs/Slides/A7%203.02%20%20Slides.pdf</t>
  </si>
  <si>
    <t xml:space="preserve">https://github.com/croix18/croix18-windy-hill-a7/blob/main/a7/packages/A7%20Unit%203%20-%20Exponents%20and%20Scientific%20Notation/Slides/A7%203.02%20%20Slides.pptx</t>
  </si>
  <si>
    <t xml:space="preserve">https://github.com/croix18/croix18-windy-hill-a7/blob/main/a7/packages/A7%20Unit%203%20-%20Exponents%20and%20Scientific%20Notation/PDFs/Teacher%20Editions/A7%203.02%20%20Teacher%20Edition.pdf</t>
  </si>
  <si>
    <t xml:space="preserve">https://github.com/croix18/croix18-windy-hill-a7/blob/main/a7/packages/A7%20Unit%203%20-%20Exponents%20and%20Scientific%20Notation/PDFs/Lesson%20Plans/A7%203.02%20%20Lesson%20Plan.pdf</t>
  </si>
  <si>
    <t xml:space="preserve">https://github.com/croix18/croix18-windy-hill-a7/blob/main/a7/packages/A7%20Unit%203%20-%20Exponents%20and%20Scientific%20Notation/PDFs/Question%20Banks/A7%203.02%20%20Question%20Bank.pdf</t>
  </si>
  <si>
    <t xml:space="preserve">https://github.com/croix18/croix18-windy-hill-a7/blob/main/a7/packages/A7%20Unit%203%20-%20Exponents%20and%20Scientific%20Notation/PDFs/Answer%20Keys/A7%203.02%20%20Question%20Bank%20Key.pdf</t>
  </si>
  <si>
    <t xml:space="preserve">https://github.com/croix18/croix18-windy-hill-a7/blob/main/a7/packages/A7%20Unit%203%20-%20Exponents%20and%20Scientific%20Notation/PDFs/Question%20Banks/A7%203.02%20%20Question%20Bank%20-%20Additional.pdf</t>
  </si>
  <si>
    <t xml:space="preserve">https://github.com/croix18/croix18-windy-hill-a7/blob/main/a7/packages/A7%20Unit%203%20-%20Exponents%20and%20Scientific%20Notation/PDFs/Answer%20Keys/A7%203.02%20%20Question%20Bank%20-%20Additional%20Key.pdf</t>
  </si>
  <si>
    <t xml:space="preserve">https://github.com/croix18/croix18-windy-hill-a7/blob/main/a7/packages/A7%20Unit%203%20-%20Exponents%20and%20Scientific%20Notation/PDFs/Independent%20Sets/A7%203.02%20%20Independent%20Set.pdf</t>
  </si>
  <si>
    <t xml:space="preserve">https://github.com/croix18/croix18-windy-hill-a7/blob/main/a7/packages/A7%20Unit%203%20-%20Exponents%20and%20Scientific%20Notation/PDFs/Answer%20Keys/A7%203.02%20%20Independent%20Set%20Key.pdf</t>
  </si>
  <si>
    <t xml:space="preserve">https://github.com/croix18/croix18-windy-hill-a7/blob/main/a7/packages/A7%20Unit%203%20-%20Exponents%20and%20Scientific%20Notation/PDFs/Slides/A7%203.03%20%20Slides.pdf</t>
  </si>
  <si>
    <t xml:space="preserve">https://github.com/croix18/croix18-windy-hill-a7/blob/main/a7/packages/A7%20Unit%203%20-%20Exponents%20and%20Scientific%20Notation/Slides/A7%203.03%20%20Slides.pptx</t>
  </si>
  <si>
    <t xml:space="preserve">https://github.com/croix18/croix18-windy-hill-a7/blob/main/a7/packages/A7%20Unit%203%20-%20Exponents%20and%20Scientific%20Notation/PDFs/Teacher%20Editions/A7%203.03%20%20Teacher%20Edition.pdf</t>
  </si>
  <si>
    <t xml:space="preserve">https://github.com/croix18/croix18-windy-hill-a7/blob/main/a7/packages/A7%20Unit%203%20-%20Exponents%20and%20Scientific%20Notation/PDFs/Lesson%20Plans/A7%203.03%20%20Lesson%20Plan.pdf</t>
  </si>
  <si>
    <t xml:space="preserve">https://github.com/croix18/croix18-windy-hill-a7/blob/main/a7/packages/A7%20Unit%203%20-%20Exponents%20and%20Scientific%20Notation/PDFs/Question%20Banks/A7%203.03%20%20Question%20Bank.pdf</t>
  </si>
  <si>
    <t xml:space="preserve">https://github.com/croix18/croix18-windy-hill-a7/blob/main/a7/packages/A7%20Unit%203%20-%20Exponents%20and%20Scientific%20Notation/PDFs/Answer%20Keys/A7%203.03%20%20Question%20Bank%20Key.pdf</t>
  </si>
  <si>
    <t xml:space="preserve">https://github.com/croix18/croix18-windy-hill-a7/blob/main/a7/packages/A7%20Unit%203%20-%20Exponents%20and%20Scientific%20Notation/PDFs/Question%20Banks/A7%203.03%20%20Question%20Bank%20-%20Additional.pdf</t>
  </si>
  <si>
    <t xml:space="preserve">https://github.com/croix18/croix18-windy-hill-a7/blob/main/a7/packages/A7%20Unit%203%20-%20Exponents%20and%20Scientific%20Notation/PDFs/Answer%20Keys/A7%203.03%20%20Question%20Bank%20-%20Additional%20Key.pdf</t>
  </si>
  <si>
    <t xml:space="preserve">https://github.com/croix18/croix18-windy-hill-a7/blob/main/a7/packages/A7%20Unit%203%20-%20Exponents%20and%20Scientific%20Notation/PDFs/Independent%20Sets/A7%203.03%20%20Independent%20Set.pdf</t>
  </si>
  <si>
    <t xml:space="preserve">https://github.com/croix18/croix18-windy-hill-a7/blob/main/a7/packages/A7%20Unit%203%20-%20Exponents%20and%20Scientific%20Notation/PDFs/Answer%20Keys/A7%203.03%20%20Independent%20Set%20Key.pdf</t>
  </si>
  <si>
    <t xml:space="preserve">https://github.com/croix18/croix18-windy-hill-a7/blob/main/a7/packages/A7%20Unit%203%20-%20Exponents%20and%20Scientific%20Notation/PDFs/Slides/A7%203.04%20%20Slides.pdf</t>
  </si>
  <si>
    <t xml:space="preserve">https://github.com/croix18/croix18-windy-hill-a7/blob/main/a7/packages/A7%20Unit%203%20-%20Exponents%20and%20Scientific%20Notation/Slides/A7%203.04%20%20Slides.pptx</t>
  </si>
  <si>
    <t xml:space="preserve">https://github.com/croix18/croix18-windy-hill-a7/blob/main/a7/packages/A7%20Unit%203%20-%20Exponents%20and%20Scientific%20Notation/PDFs/Teacher%20Editions/A7%203.04%20%20Teacher%20Edition.pdf</t>
  </si>
  <si>
    <t xml:space="preserve">https://github.com/croix18/croix18-windy-hill-a7/blob/main/a7/packages/A7%20Unit%203%20-%20Exponents%20and%20Scientific%20Notation/PDFs/Lesson%20Plans/A7%203.04%20%20Lesson%20Plan.pdf</t>
  </si>
  <si>
    <t xml:space="preserve">https://github.com/croix18/croix18-windy-hill-a7/blob/main/a7/packages/A7%20Unit%203%20-%20Exponents%20and%20Scientific%20Notation/PDFs/Question%20Banks/A7%203.04%20%20Question%20Bank.pdf</t>
  </si>
  <si>
    <t xml:space="preserve">https://github.com/croix18/croix18-windy-hill-a7/blob/main/a7/packages/A7%20Unit%203%20-%20Exponents%20and%20Scientific%20Notation/PDFs/Answer%20Keys/A7%203.04%20%20Question%20Bank%20Key.pdf</t>
  </si>
  <si>
    <t xml:space="preserve">https://github.com/croix18/croix18-windy-hill-a7/blob/main/a7/packages/A7%20Unit%203%20-%20Exponents%20and%20Scientific%20Notation/PDFs/Question%20Banks/A7%203.04%20%20Question%20Bank%20-%20Additional.pdf</t>
  </si>
  <si>
    <t xml:space="preserve">https://github.com/croix18/croix18-windy-hill-a7/blob/main/a7/packages/A7%20Unit%203%20-%20Exponents%20and%20Scientific%20Notation/PDFs/Answer%20Keys/A7%203.04%20%20Question%20Bank%20-%20Additional%20Key.pdf</t>
  </si>
  <si>
    <t xml:space="preserve">https://github.com/croix18/croix18-windy-hill-a7/blob/main/a7/packages/A7%20Unit%203%20-%20Exponents%20and%20Scientific%20Notation/PDFs/Independent%20Sets/A7%203.04%20%20Independent%20Set.pdf</t>
  </si>
  <si>
    <t xml:space="preserve">https://github.com/croix18/croix18-windy-hill-a7/blob/main/a7/packages/A7%20Unit%203%20-%20Exponents%20and%20Scientific%20Notation/PDFs/Answer%20Keys/A7%203.04%20%20Independent%20Set%20Key.pdf</t>
  </si>
  <si>
    <t xml:space="preserve">https://github.com/croix18/croix18-windy-hill-a7/blob/main/a7/packages/A7%20Unit%203%20-%20Exponents%20and%20Scientific%20Notation/PDFs/Slides/A7%203.05%20%20Slides.pdf</t>
  </si>
  <si>
    <t xml:space="preserve">https://github.com/croix18/croix18-windy-hill-a7/blob/main/a7/packages/A7%20Unit%203%20-%20Exponents%20and%20Scientific%20Notation/Slides/A7%203.05%20%20Slides.pptx</t>
  </si>
  <si>
    <t xml:space="preserve">https://github.com/croix18/croix18-windy-hill-a7/blob/main/a7/packages/A7%20Unit%203%20-%20Exponents%20and%20Scientific%20Notation/PDFs/Teacher%20Editions/A7%203.05%20%20Teacher%20Edition.pdf</t>
  </si>
  <si>
    <t xml:space="preserve">https://github.com/croix18/croix18-windy-hill-a7/blob/main/a7/packages/A7%20Unit%203%20-%20Exponents%20and%20Scientific%20Notation/PDFs/Lesson%20Plans/A7%203.05%20%20Lesson%20Plan.pdf</t>
  </si>
  <si>
    <t xml:space="preserve">https://github.com/croix18/croix18-windy-hill-a7/blob/main/a7/packages/A7%20Unit%203%20-%20Exponents%20and%20Scientific%20Notation/PDFs/Question%20Banks/A7%203.05%20%20Question%20Bank.pdf</t>
  </si>
  <si>
    <t xml:space="preserve">https://github.com/croix18/croix18-windy-hill-a7/blob/main/a7/packages/A7%20Unit%203%20-%20Exponents%20and%20Scientific%20Notation/PDFs/Answer%20Keys/A7%203.05%20%20Question%20Bank%20Key.pdf</t>
  </si>
  <si>
    <t xml:space="preserve">https://github.com/croix18/croix18-windy-hill-a7/blob/main/a7/packages/A7%20Unit%203%20-%20Exponents%20and%20Scientific%20Notation/PDFs/Question%20Banks/A7%203.05%20%20Question%20Bank%20-%20Additional.pdf</t>
  </si>
  <si>
    <t xml:space="preserve">https://github.com/croix18/croix18-windy-hill-a7/blob/main/a7/packages/A7%20Unit%203%20-%20Exponents%20and%20Scientific%20Notation/PDFs/Answer%20Keys/A7%203.05%20%20Question%20Bank%20-%20Additional%20Key.pdf</t>
  </si>
  <si>
    <t xml:space="preserve">https://github.com/croix18/croix18-windy-hill-a7/blob/main/a7/packages/A7%20Unit%203%20-%20Exponents%20and%20Scientific%20Notation/PDFs/Independent%20Sets/A7%203.05%20%20Independent%20Set.pdf</t>
  </si>
  <si>
    <t xml:space="preserve">https://github.com/croix18/croix18-windy-hill-a7/blob/main/a7/packages/A7%20Unit%203%20-%20Exponents%20and%20Scientific%20Notation/PDFs/Answer%20Keys/A7%203.05%20%20Independent%20Set%20Key.pdf</t>
  </si>
  <si>
    <t xml:space="preserve">https://github.com/croix18/croix18-windy-hill-a7/blob/main/a7/packages/A7%20Unit%203%20-%20Exponents%20and%20Scientific%20Notation/PDFs/Slides/A7%203.06%20%20Slides.pdf</t>
  </si>
  <si>
    <t xml:space="preserve">https://github.com/croix18/croix18-windy-hill-a7/blob/main/a7/packages/A7%20Unit%203%20-%20Exponents%20and%20Scientific%20Notation/Slides/A7%203.06%20%20Slides.pptx</t>
  </si>
  <si>
    <t xml:space="preserve">https://github.com/croix18/croix18-windy-hill-a7/blob/main/a7/packages/A7%20Unit%203%20-%20Exponents%20and%20Scientific%20Notation/PDFs/Teacher%20Editions/A7%203.06%20%20Teacher%20Edition.pdf</t>
  </si>
  <si>
    <t xml:space="preserve">https://github.com/croix18/croix18-windy-hill-a7/blob/main/a7/packages/A7%20Unit%203%20-%20Exponents%20and%20Scientific%20Notation/PDFs/Lesson%20Plans/A7%203.06%20%20Lesson%20Plan.pdf</t>
  </si>
  <si>
    <t xml:space="preserve">https://github.com/croix18/croix18-windy-hill-a7/blob/main/a7/packages/A7%20Unit%203%20-%20Exponents%20and%20Scientific%20Notation/PDFs/Question%20Banks/A7%203.06%20%20Question%20Bank.pdf</t>
  </si>
  <si>
    <t xml:space="preserve">https://github.com/croix18/croix18-windy-hill-a7/blob/main/a7/packages/A7%20Unit%203%20-%20Exponents%20and%20Scientific%20Notation/PDFs/Answer%20Keys/A7%203.06%20%20Question%20Bank%20Key.pdf</t>
  </si>
  <si>
    <t xml:space="preserve">https://github.com/croix18/croix18-windy-hill-a7/blob/main/a7/packages/A7%20Unit%203%20-%20Exponents%20and%20Scientific%20Notation/PDFs/Question%20Banks/A7%203.06%20%20Question%20Bank%20-%20Additional.pdf</t>
  </si>
  <si>
    <t xml:space="preserve">https://github.com/croix18/croix18-windy-hill-a7/blob/main/a7/packages/A7%20Unit%203%20-%20Exponents%20and%20Scientific%20Notation/PDFs/Answer%20Keys/A7%203.06%20%20Question%20Bank%20-%20Additional%20Key.pdf</t>
  </si>
  <si>
    <t xml:space="preserve">https://github.com/croix18/croix18-windy-hill-a7/blob/main/a7/packages/A7%20Unit%203%20-%20Exponents%20and%20Scientific%20Notation/PDFs/Independent%20Sets/A7%203.06%20%20Independent%20Set.pdf</t>
  </si>
  <si>
    <t xml:space="preserve">https://github.com/croix18/croix18-windy-hill-a7/blob/main/a7/packages/A7%20Unit%203%20-%20Exponents%20and%20Scientific%20Notation/PDFs/Answer%20Keys/A7%203.06%20%20Independent%20Set%20Key.pdf</t>
  </si>
  <si>
    <t xml:space="preserve">https://github.com/croix18/croix18-windy-hill-a7/blob/main/a7/packages/A7%20Unit%203%20-%20Exponents%20and%20Scientific%20Notation/PDFs/Slides/A7%203.T1%20%20Slides.pdf</t>
  </si>
  <si>
    <t xml:space="preserve">https://github.com/croix18/croix18-windy-hill-a7/blob/main/a7/packages/A7%20Unit%203%20-%20Exponents%20and%20Scientific%20Notation/Slides/A7%203.T1%20%20Slides.pptx</t>
  </si>
  <si>
    <t xml:space="preserve">https://github.com/croix18/croix18-windy-hill-a7/blob/main/a7/packages/A7%20Unit%203%20-%20Exponents%20and%20Scientific%20Notation/PDFs/Teacher%20Editions/A7%203.T1%20%20Teacher%20Edition.pdf</t>
  </si>
  <si>
    <t xml:space="preserve">https://github.com/croix18/croix18-windy-hill-a7/blob/main/a7/packages/A7%20Unit%203%20-%20Exponents%20and%20Scientific%20Notation/PDFs/Lesson%20Plans/A7%203.T1%20%20Lesson%20Plan.pdf</t>
  </si>
  <si>
    <t xml:space="preserve">https://github.com/croix18/croix18-windy-hill-a7/blob/main/a7/packages/A7%20Unit%203%20-%20Exponents%20and%20Scientific%20Notation/PDFs/Question%20Banks/A7%203.T1%20%20Question%20Bank.pdf</t>
  </si>
  <si>
    <t xml:space="preserve">https://github.com/croix18/croix18-windy-hill-a7/blob/main/a7/packages/A7%20Unit%203%20-%20Exponents%20and%20Scientific%20Notation/PDFs/Answer%20Keys/A7%203.T1%20%20Question%20Bank%20Key.pdf</t>
  </si>
  <si>
    <t xml:space="preserve">https://github.com/croix18/croix18-windy-hill-a7/blob/main/a7/packages/A7%20Unit%203%20-%20Exponents%20and%20Scientific%20Notation/PDFs/Question%20Banks/A7%203.T1%20%20Question%20Bank%20-%20Additional.pdf</t>
  </si>
  <si>
    <t xml:space="preserve">https://github.com/croix18/croix18-windy-hill-a7/blob/main/a7/packages/A7%20Unit%203%20-%20Exponents%20and%20Scientific%20Notation/PDFs/Answer%20Keys/A7%203.T1%20%20Question%20Bank%20-%20Additional%20Key.pdf</t>
  </si>
  <si>
    <t xml:space="preserve">https://github.com/croix18/croix18-windy-hill-a7/blob/main/a7/packages/A7%20Unit%203%20-%20Exponents%20and%20Scientific%20Notation/PDFs/Independent%20Sets/A7%203.T1%20%20Independent%20Set.pdf</t>
  </si>
  <si>
    <t xml:space="preserve">https://github.com/croix18/croix18-windy-hill-a7/blob/main/a7/packages/A7%20Unit%203%20-%20Exponents%20and%20Scientific%20Notation/PDFs/Answer%20Keys/A7%203.T1%20%20Independent%20Set%20Key.pdf</t>
  </si>
  <si>
    <t xml:space="preserve">https://github.com/croix18/croix18-windy-hill-a7/blob/main/a7/packages/A7%20Unit%203%20-%20Exponents%20and%20Scientific%20Notation/PDFs/Slides/A7%203.T2%20%20Slides.pdf</t>
  </si>
  <si>
    <t xml:space="preserve">https://github.com/croix18/croix18-windy-hill-a7/blob/main/a7/packages/A7%20Unit%203%20-%20Exponents%20and%20Scientific%20Notation/Slides/A7%203.T2%20%20Slides.pptx</t>
  </si>
  <si>
    <t xml:space="preserve">https://github.com/croix18/croix18-windy-hill-a7/blob/main/a7/packages/A7%20Unit%203%20-%20Exponents%20and%20Scientific%20Notation/PDFs/Teacher%20Editions/A7%203.T2%20%20Teacher%20Edition.pdf</t>
  </si>
  <si>
    <t xml:space="preserve">https://github.com/croix18/croix18-windy-hill-a7/blob/main/a7/packages/A7%20Unit%203%20-%20Exponents%20and%20Scientific%20Notation/PDFs/Lesson%20Plans/A7%203.T2%20%20Lesson%20Plan.pdf</t>
  </si>
  <si>
    <t xml:space="preserve">https://github.com/croix18/croix18-windy-hill-a7/blob/main/a7/packages/A7%20Unit%203%20-%20Exponents%20and%20Scientific%20Notation/PDFs/Question%20Banks/A7%203.T2%20%20Question%20Bank.pdf</t>
  </si>
  <si>
    <t xml:space="preserve">https://github.com/croix18/croix18-windy-hill-a7/blob/main/a7/packages/A7%20Unit%203%20-%20Exponents%20and%20Scientific%20Notation/PDFs/Answer%20Keys/A7%203.T2%20%20Question%20Bank%20Key.pdf</t>
  </si>
  <si>
    <t xml:space="preserve">https://github.com/croix18/croix18-windy-hill-a7/blob/main/a7/packages/A7%20Unit%203%20-%20Exponents%20and%20Scientific%20Notation/PDFs/Question%20Banks/A7%203.T2%20%20Question%20Bank%20-%20Additional.pdf</t>
  </si>
  <si>
    <t xml:space="preserve">https://github.com/croix18/croix18-windy-hill-a7/blob/main/a7/packages/A7%20Unit%203%20-%20Exponents%20and%20Scientific%20Notation/PDFs/Answer%20Keys/A7%203.T2%20%20Question%20Bank%20-%20Additional%20Key.pdf</t>
  </si>
  <si>
    <t xml:space="preserve">https://github.com/croix18/croix18-windy-hill-a7/blob/main/a7/packages/A7%20Unit%203%20-%20Exponents%20and%20Scientific%20Notation/PDFs/Independent%20Sets/A7%203.T2%20%20Independent%20Set.pdf</t>
  </si>
  <si>
    <t xml:space="preserve">https://github.com/croix18/croix18-windy-hill-a7/blob/main/a7/packages/A7%20Unit%203%20-%20Exponents%20and%20Scientific%20Notation/PDFs/Answer%20Keys/A7%203.T2%20%20Independent%20Set%20Key.pdf</t>
  </si>
  <si>
    <t xml:space="preserve">https://github.com/croix18/croix18-windy-hill-a7/blob/main/a7/packages/A7%20Unit%203%20-%20Exponents%20and%20Scientific%20Notation/PDFs/Slides/A7%203.08%20%20Slides.pdf</t>
  </si>
  <si>
    <t xml:space="preserve">https://github.com/croix18/croix18-windy-hill-a7/blob/main/a7/packages/A7%20Unit%203%20-%20Exponents%20and%20Scientific%20Notation/Slides/A7%203.08%20%20Slides.pptx</t>
  </si>
  <si>
    <t xml:space="preserve">https://github.com/croix18/croix18-windy-hill-a7/blob/main/a7/packages/A7%20Unit%203%20-%20Exponents%20and%20Scientific%20Notation/PDFs/Teacher%20Editions/A7%203.08%20%20Teacher%20Edition.pdf</t>
  </si>
  <si>
    <t xml:space="preserve">https://github.com/croix18/croix18-windy-hill-a7/blob/main/a7/packages/A7%20Unit%203%20-%20Exponents%20and%20Scientific%20Notation/PDFs/Lesson%20Plans/A7%203.08%20%20Lesson%20Plan.pdf</t>
  </si>
  <si>
    <t xml:space="preserve">https://github.com/croix18/croix18-windy-hill-a7/blob/main/a7/packages/A7%20Unit%203%20-%20Exponents%20and%20Scientific%20Notation/PDFs/Question%20Banks/A7%203.08%20%20Question%20Bank.pdf</t>
  </si>
  <si>
    <t xml:space="preserve">https://github.com/croix18/croix18-windy-hill-a7/blob/main/a7/packages/A7%20Unit%203%20-%20Exponents%20and%20Scientific%20Notation/PDFs/Answer%20Keys/A7%203.08%20%20Question%20Bank%20Key.pdf</t>
  </si>
  <si>
    <t xml:space="preserve">https://github.com/croix18/croix18-windy-hill-a7/blob/main/a7/packages/A7%20Unit%203%20-%20Exponents%20and%20Scientific%20Notation/PDFs/Question%20Banks/A7%203.08%20%20Question%20Bank%20-%20Additional.pdf</t>
  </si>
  <si>
    <t xml:space="preserve">https://github.com/croix18/croix18-windy-hill-a7/blob/main/a7/packages/A7%20Unit%203%20-%20Exponents%20and%20Scientific%20Notation/PDFs/Answer%20Keys/A7%203.08%20%20Question%20Bank%20-%20Additional%20Key.pdf</t>
  </si>
  <si>
    <t xml:space="preserve">https://github.com/croix18/croix18-windy-hill-a7/blob/main/a7/packages/A7%20Unit%203%20-%20Exponents%20and%20Scientific%20Notation/PDFs/Independent%20Sets/A7%203.08%20%20Independent%20Set.pdf</t>
  </si>
  <si>
    <t xml:space="preserve">https://github.com/croix18/croix18-windy-hill-a7/blob/main/a7/packages/A7%20Unit%203%20-%20Exponents%20and%20Scientific%20Notation/PDFs/Answer%20Keys/A7%203.08%20%20Independent%20Set%20Key.pdf</t>
  </si>
  <si>
    <t xml:space="preserve">https://github.com/croix18/croix18-windy-hill-a7/blob/main/a7/packages/A7%20Unit%203%20-%20Exponents%20and%20Scientific%20Notation/PDFs/Slides/A7%203.09%20%20Slides.pdf</t>
  </si>
  <si>
    <t xml:space="preserve">https://github.com/croix18/croix18-windy-hill-a7/blob/main/a7/packages/A7%20Unit%203%20-%20Exponents%20and%20Scientific%20Notation/Slides/A7%203.09%20%20Slides.pptx</t>
  </si>
  <si>
    <t xml:space="preserve">https://github.com/croix18/croix18-windy-hill-a7/blob/main/a7/packages/A7%20Unit%203%20-%20Exponents%20and%20Scientific%20Notation/PDFs/Teacher%20Editions/A7%203.09%20%20Teacher%20Edition.pdf</t>
  </si>
  <si>
    <t xml:space="preserve">https://github.com/croix18/croix18-windy-hill-a7/blob/main/a7/packages/A7%20Unit%203%20-%20Exponents%20and%20Scientific%20Notation/PDFs/Lesson%20Plans/A7%203.09%20%20Lesson%20Plan.pdf</t>
  </si>
  <si>
    <t xml:space="preserve">https://github.com/croix18/croix18-windy-hill-a7/blob/main/a7/packages/A7%20Unit%203%20-%20Exponents%20and%20Scientific%20Notation/PDFs/Question%20Banks/A7%203.09%20%20Question%20Bank.pdf</t>
  </si>
  <si>
    <t xml:space="preserve">https://github.com/croix18/croix18-windy-hill-a7/blob/main/a7/packages/A7%20Unit%203%20-%20Exponents%20and%20Scientific%20Notation/PDFs/Answer%20Keys/A7%203.09%20%20Question%20Bank%20Key.pdf</t>
  </si>
  <si>
    <t xml:space="preserve">https://github.com/croix18/croix18-windy-hill-a7/blob/main/a7/packages/A7%20Unit%203%20-%20Exponents%20and%20Scientific%20Notation/PDFs/Question%20Banks/A7%203.09%20%20Question%20Bank%20-%20Additional.pdf</t>
  </si>
  <si>
    <t xml:space="preserve">https://github.com/croix18/croix18-windy-hill-a7/blob/main/a7/packages/A7%20Unit%203%20-%20Exponents%20and%20Scientific%20Notation/PDFs/Answer%20Keys/A7%203.09%20%20Question%20Bank%20-%20Additional%20Key.pdf</t>
  </si>
  <si>
    <t xml:space="preserve">https://github.com/croix18/croix18-windy-hill-a7/blob/main/a7/packages/A7%20Unit%203%20-%20Exponents%20and%20Scientific%20Notation/PDFs/Independent%20Sets/A7%203.09%20%20Independent%20Set.pdf</t>
  </si>
  <si>
    <t xml:space="preserve">https://github.com/croix18/croix18-windy-hill-a7/blob/main/a7/packages/A7%20Unit%203%20-%20Exponents%20and%20Scientific%20Notation/PDFs/Answer%20Keys/A7%203.09%20%20Independent%20Set%20Key.pdf</t>
  </si>
  <si>
    <t xml:space="preserve">https://github.com/croix18/croix18-windy-hill-a7/blob/main/a7/packages/A7%20Unit%203%20-%20Exponents%20and%20Scientific%20Notation/PDFs/Assessments/A7%203%20%20Unit%20Review.pdf</t>
  </si>
  <si>
    <t xml:space="preserve">https://github.com/croix18/croix18-windy-hill-a7/blob/main/a7/packages/A7%20Unit%203%20-%20Exponents%20and%20Scientific%20Notation/PDFs/Answer%20Keys/A7%203%20%20Unit%20Review%20Key.pdf</t>
  </si>
  <si>
    <t xml:space="preserve">https://github.com/croix18/croix18-windy-hill-a7/blob/main/a7/packages/A7%20Unit%203%20-%20Exponents%20and%20Scientific%20Notation/PDFs/Assessments/A7%203%20%20Unit%20Assessment.pdf</t>
  </si>
  <si>
    <t xml:space="preserve">https://github.com/croix18/croix18-windy-hill-a7/blob/main/a7/packages/A7%20Unit%203%20-%20Exponents%20and%20Scientific%20Notation/PDFs/Answer%20Keys/A7%203%20%20Unit%20Assessment%20Key.pdf</t>
  </si>
  <si>
    <t xml:space="preserve">https://github.com/croix18/croix18-windy-hill-a7/blob/main/a7/packages/A7%20Unit%204%20-%20Solving%20Problems%20with%20Rational%20Numbers/PDFs/Slides/A7%204.01%20%20Slides.pdf</t>
  </si>
  <si>
    <t xml:space="preserve">https://github.com/croix18/croix18-windy-hill-a7/blob/main/a7/packages/A7%20Unit%204%20-%20Solving%20Problems%20with%20Rational%20Numbers/Slides/A7%204.01%20%20Slides.pptx</t>
  </si>
  <si>
    <t xml:space="preserve">https://github.com/croix18/croix18-windy-hill-a7/blob/main/a7/packages/A7%20Unit%204%20-%20Solving%20Problems%20with%20Rational%20Numbers/PDFs/Teacher%20Editions/A7%204.01%20%20Teacher%20Edition.pdf</t>
  </si>
  <si>
    <t xml:space="preserve">https://github.com/croix18/croix18-windy-hill-a7/blob/main/a7/packages/A7%20Unit%204%20-%20Solving%20Problems%20with%20Rational%20Numbers/PDFs/Lesson%20Plans/A7%204.01%20%20Lesson%20Plan.pdf</t>
  </si>
  <si>
    <t xml:space="preserve">https://github.com/croix18/croix18-windy-hill-a7/blob/main/a7/packages/A7%20Unit%204%20-%20Solving%20Problems%20with%20Rational%20Numbers/PDFs/Question%20Banks/A7%204.01%20%20Question%20Bank.pdf</t>
  </si>
  <si>
    <t xml:space="preserve">https://github.com/croix18/croix18-windy-hill-a7/blob/main/a7/packages/A7%20Unit%204%20-%20Solving%20Problems%20with%20Rational%20Numbers/PDFs/Answer%20Keys/A7%204.01%20%20Question%20Bank%20Key.pdf</t>
  </si>
  <si>
    <t xml:space="preserve">https://github.com/croix18/croix18-windy-hill-a7/blob/main/a7/packages/A7%20Unit%204%20-%20Solving%20Problems%20with%20Rational%20Numbers/PDFs/Question%20Banks/A7%204.01%20%20Question%20Bank%20-%20Additional.pdf</t>
  </si>
  <si>
    <t xml:space="preserve">https://github.com/croix18/croix18-windy-hill-a7/blob/main/a7/packages/A7%20Unit%204%20-%20Solving%20Problems%20with%20Rational%20Numbers/PDFs/Answer%20Keys/A7%204.01%20%20Question%20Bank%20-%20Additional%20Key.pdf</t>
  </si>
  <si>
    <t xml:space="preserve">https://github.com/croix18/croix18-windy-hill-a7/blob/main/a7/packages/A7%20Unit%204%20-%20Solving%20Problems%20with%20Rational%20Numbers/PDFs/Independent%20Sets/A7%204.01%20%20Independent%20Set.pdf</t>
  </si>
  <si>
    <t xml:space="preserve">https://github.com/croix18/croix18-windy-hill-a7/blob/main/a7/packages/A7%20Unit%204%20-%20Solving%20Problems%20with%20Rational%20Numbers/PDFs/Answer%20Keys/A7%204.01%20%20Independent%20Set%20Key.pdf</t>
  </si>
  <si>
    <t xml:space="preserve">https://github.com/croix18/croix18-windy-hill-a7/tree/main/a7/packages/A7%20Unit%204%20-%20Solving%20Problems%20with%20Rational%20Numbers</t>
  </si>
  <si>
    <t xml:space="preserve">https://github.com/croix18/croix18-windy-hill-a7/blob/main/a7/packages/A7%20Unit%204%20-%20Solving%20Problems%20with%20Rational%20Numbers/PDFs/Slides/A7%204.02%20%20Slides.pdf</t>
  </si>
  <si>
    <t xml:space="preserve">https://github.com/croix18/croix18-windy-hill-a7/blob/main/a7/packages/A7%20Unit%204%20-%20Solving%20Problems%20with%20Rational%20Numbers/Slides/A7%204.02%20%20Slides.pptx</t>
  </si>
  <si>
    <t xml:space="preserve">https://github.com/croix18/croix18-windy-hill-a7/blob/main/a7/packages/A7%20Unit%204%20-%20Solving%20Problems%20with%20Rational%20Numbers/PDFs/Teacher%20Editions/A7%204.02%20%20Teacher%20Edition.pdf</t>
  </si>
  <si>
    <t xml:space="preserve">https://github.com/croix18/croix18-windy-hill-a7/blob/main/a7/packages/A7%20Unit%204%20-%20Solving%20Problems%20with%20Rational%20Numbers/PDFs/Lesson%20Plans/A7%204.02%20%20Lesson%20Plan.pdf</t>
  </si>
  <si>
    <t xml:space="preserve">https://github.com/croix18/croix18-windy-hill-a7/blob/main/a7/packages/A7%20Unit%204%20-%20Solving%20Problems%20with%20Rational%20Numbers/PDFs/Question%20Banks/A7%204.02%20%20Question%20Bank.pdf</t>
  </si>
  <si>
    <t xml:space="preserve">https://github.com/croix18/croix18-windy-hill-a7/blob/main/a7/packages/A7%20Unit%204%20-%20Solving%20Problems%20with%20Rational%20Numbers/PDFs/Answer%20Keys/A7%204.02%20%20Question%20Bank%20Key.pdf</t>
  </si>
  <si>
    <t xml:space="preserve">https://github.com/croix18/croix18-windy-hill-a7/blob/main/a7/packages/A7%20Unit%204%20-%20Solving%20Problems%20with%20Rational%20Numbers/PDFs/Question%20Banks/A7%204.02%20%20Question%20Bank%20-%20Additional.pdf</t>
  </si>
  <si>
    <t xml:space="preserve">https://github.com/croix18/croix18-windy-hill-a7/blob/main/a7/packages/A7%20Unit%204%20-%20Solving%20Problems%20with%20Rational%20Numbers/PDFs/Answer%20Keys/A7%204.02%20%20Question%20Bank%20-%20Additional%20Key.pdf</t>
  </si>
  <si>
    <t xml:space="preserve">https://github.com/croix18/croix18-windy-hill-a7/blob/main/a7/packages/A7%20Unit%204%20-%20Solving%20Problems%20with%20Rational%20Numbers/PDFs/Independent%20Sets/A7%204.02%20%20Independent%20Set.pdf</t>
  </si>
  <si>
    <t xml:space="preserve">https://github.com/croix18/croix18-windy-hill-a7/blob/main/a7/packages/A7%20Unit%204%20-%20Solving%20Problems%20with%20Rational%20Numbers/PDFs/Answer%20Keys/A7%204.02%20%20Independent%20Set%20Key.pdf</t>
  </si>
  <si>
    <t xml:space="preserve">https://github.com/croix18/croix18-windy-hill-a7/blob/main/a7/packages/A7%20Unit%204%20-%20Solving%20Problems%20with%20Rational%20Numbers/PDFs/Slides/A7%204.04%20%20Slides.pdf</t>
  </si>
  <si>
    <t xml:space="preserve">https://github.com/croix18/croix18-windy-hill-a7/blob/main/a7/packages/A7%20Unit%204%20-%20Solving%20Problems%20with%20Rational%20Numbers/Slides/A7%204.04%20%20Slides.pptx</t>
  </si>
  <si>
    <t xml:space="preserve">https://github.com/croix18/croix18-windy-hill-a7/blob/main/a7/packages/A7%20Unit%204%20-%20Solving%20Problems%20with%20Rational%20Numbers/PDFs/Teacher%20Editions/A7%204.04%20%20Teacher%20Edition.pdf</t>
  </si>
  <si>
    <t xml:space="preserve">https://github.com/croix18/croix18-windy-hill-a7/blob/main/a7/packages/A7%20Unit%204%20-%20Solving%20Problems%20with%20Rational%20Numbers/PDFs/Lesson%20Plans/A7%204.04%20%20Lesson%20Plan.pdf</t>
  </si>
  <si>
    <t xml:space="preserve">https://github.com/croix18/croix18-windy-hill-a7/blob/main/a7/packages/A7%20Unit%204%20-%20Solving%20Problems%20with%20Rational%20Numbers/PDFs/Question%20Banks/A7%204.04%20%20Question%20Bank.pdf</t>
  </si>
  <si>
    <t xml:space="preserve">https://github.com/croix18/croix18-windy-hill-a7/blob/main/a7/packages/A7%20Unit%204%20-%20Solving%20Problems%20with%20Rational%20Numbers/PDFs/Answer%20Keys/A7%204.04%20%20Question%20Bank%20Key.pdf</t>
  </si>
  <si>
    <t xml:space="preserve">https://github.com/croix18/croix18-windy-hill-a7/blob/main/a7/packages/A7%20Unit%204%20-%20Solving%20Problems%20with%20Rational%20Numbers/PDFs/Question%20Banks/A7%204.04%20%20Question%20Bank%20-%20Additional.pdf</t>
  </si>
  <si>
    <t xml:space="preserve">https://github.com/croix18/croix18-windy-hill-a7/blob/main/a7/packages/A7%20Unit%204%20-%20Solving%20Problems%20with%20Rational%20Numbers/PDFs/Answer%20Keys/A7%204.04%20%20Question%20Bank%20-%20Additional%20Key.pdf</t>
  </si>
  <si>
    <t xml:space="preserve">https://github.com/croix18/croix18-windy-hill-a7/blob/main/a7/packages/A7%20Unit%204%20-%20Solving%20Problems%20with%20Rational%20Numbers/PDFs/Independent%20Sets/A7%204.04%20%20Independent%20Set.pdf</t>
  </si>
  <si>
    <t xml:space="preserve">https://github.com/croix18/croix18-windy-hill-a7/blob/main/a7/packages/A7%20Unit%204%20-%20Solving%20Problems%20with%20Rational%20Numbers/PDFs/Answer%20Keys/A7%204.04%20%20Independent%20Set%20Key.pdf</t>
  </si>
  <si>
    <t xml:space="preserve">https://github.com/croix18/croix18-windy-hill-a7/blob/main/a7/packages/A7%20Unit%204%20-%20Solving%20Problems%20with%20Rational%20Numbers/PDFs/Slides/A7%204.05%20%20Slides.pdf</t>
  </si>
  <si>
    <t xml:space="preserve">https://github.com/croix18/croix18-windy-hill-a7/blob/main/a7/packages/A7%20Unit%204%20-%20Solving%20Problems%20with%20Rational%20Numbers/Slides/A7%204.05%20%20Slides.pptx</t>
  </si>
  <si>
    <t xml:space="preserve">https://github.com/croix18/croix18-windy-hill-a7/blob/main/a7/packages/A7%20Unit%204%20-%20Solving%20Problems%20with%20Rational%20Numbers/PDFs/Teacher%20Editions/A7%204.05%20%20Teacher%20Edition.pdf</t>
  </si>
  <si>
    <t xml:space="preserve">https://github.com/croix18/croix18-windy-hill-a7/blob/main/a7/packages/A7%20Unit%204%20-%20Solving%20Problems%20with%20Rational%20Numbers/PDFs/Lesson%20Plans/A7%204.05%20%20Lesson%20Plan.pdf</t>
  </si>
  <si>
    <t xml:space="preserve">https://github.com/croix18/croix18-windy-hill-a7/blob/main/a7/packages/A7%20Unit%204%20-%20Solving%20Problems%20with%20Rational%20Numbers/PDFs/Question%20Banks/A7%204.05%20%20Question%20Bank.pdf</t>
  </si>
  <si>
    <t xml:space="preserve">https://github.com/croix18/croix18-windy-hill-a7/blob/main/a7/packages/A7%20Unit%204%20-%20Solving%20Problems%20with%20Rational%20Numbers/PDFs/Answer%20Keys/A7%204.05%20%20Question%20Bank%20Key.pdf</t>
  </si>
  <si>
    <t xml:space="preserve">https://github.com/croix18/croix18-windy-hill-a7/blob/main/a7/packages/A7%20Unit%204%20-%20Solving%20Problems%20with%20Rational%20Numbers/PDFs/Question%20Banks/A7%204.05%20%20Question%20Bank%20-%20Additional.pdf</t>
  </si>
  <si>
    <t xml:space="preserve">https://github.com/croix18/croix18-windy-hill-a7/blob/main/a7/packages/A7%20Unit%204%20-%20Solving%20Problems%20with%20Rational%20Numbers/PDFs/Answer%20Keys/A7%204.05%20%20Question%20Bank%20-%20Additional%20Key.pdf</t>
  </si>
  <si>
    <t xml:space="preserve">https://github.com/croix18/croix18-windy-hill-a7/blob/main/a7/packages/A7%20Unit%204%20-%20Solving%20Problems%20with%20Rational%20Numbers/PDFs/Independent%20Sets/A7%204.05%20%20Independent%20Set.pdf</t>
  </si>
  <si>
    <t xml:space="preserve">https://github.com/croix18/croix18-windy-hill-a7/blob/main/a7/packages/A7%20Unit%204%20-%20Solving%20Problems%20with%20Rational%20Numbers/PDFs/Answer%20Keys/A7%204.05%20%20Independent%20Set%20Key.pdf</t>
  </si>
  <si>
    <t xml:space="preserve">https://github.com/croix18/croix18-windy-hill-a7/blob/main/a7/packages/A7%20Unit%204%20-%20Solving%20Problems%20with%20Rational%20Numbers/PDFs/Slides/A7%204.06%20%20Slides.pdf</t>
  </si>
  <si>
    <t xml:space="preserve">https://github.com/croix18/croix18-windy-hill-a7/blob/main/a7/packages/A7%20Unit%204%20-%20Solving%20Problems%20with%20Rational%20Numbers/Slides/A7%204.06%20%20Slides.pptx</t>
  </si>
  <si>
    <t xml:space="preserve">https://github.com/croix18/croix18-windy-hill-a7/blob/main/a7/packages/A7%20Unit%204%20-%20Solving%20Problems%20with%20Rational%20Numbers/PDFs/Teacher%20Editions/A7%204.06%20%20Teacher%20Edition.pdf</t>
  </si>
  <si>
    <t xml:space="preserve">https://github.com/croix18/croix18-windy-hill-a7/blob/main/a7/packages/A7%20Unit%204%20-%20Solving%20Problems%20with%20Rational%20Numbers/PDFs/Lesson%20Plans/A7%204.06%20%20Lesson%20Plan.pdf</t>
  </si>
  <si>
    <t xml:space="preserve">https://github.com/croix18/croix18-windy-hill-a7/blob/main/a7/packages/A7%20Unit%204%20-%20Solving%20Problems%20with%20Rational%20Numbers/PDFs/Question%20Banks/A7%204.06%20%20Question%20Bank.pdf</t>
  </si>
  <si>
    <t xml:space="preserve">https://github.com/croix18/croix18-windy-hill-a7/blob/main/a7/packages/A7%20Unit%204%20-%20Solving%20Problems%20with%20Rational%20Numbers/PDFs/Answer%20Keys/A7%204.06%20%20Question%20Bank%20Key.pdf</t>
  </si>
  <si>
    <t xml:space="preserve">https://github.com/croix18/croix18-windy-hill-a7/blob/main/a7/packages/A7%20Unit%204%20-%20Solving%20Problems%20with%20Rational%20Numbers/PDFs/Question%20Banks/A7%204.06%20%20Question%20Bank%20-%20Additional.pdf</t>
  </si>
  <si>
    <t xml:space="preserve">https://github.com/croix18/croix18-windy-hill-a7/blob/main/a7/packages/A7%20Unit%204%20-%20Solving%20Problems%20with%20Rational%20Numbers/PDFs/Answer%20Keys/A7%204.06%20%20Question%20Bank%20-%20Additional%20Key.pdf</t>
  </si>
  <si>
    <t xml:space="preserve">https://github.com/croix18/croix18-windy-hill-a7/blob/main/a7/packages/A7%20Unit%204%20-%20Solving%20Problems%20with%20Rational%20Numbers/PDFs/Independent%20Sets/A7%204.06%20%20Independent%20Set.pdf</t>
  </si>
  <si>
    <t xml:space="preserve">https://github.com/croix18/croix18-windy-hill-a7/blob/main/a7/packages/A7%20Unit%204%20-%20Solving%20Problems%20with%20Rational%20Numbers/PDFs/Answer%20Keys/A7%204.06%20%20Independent%20Set%20Key.pdf</t>
  </si>
  <si>
    <t xml:space="preserve">https://github.com/croix18/croix18-windy-hill-a7/blob/main/a7/packages/A7%20Unit%204%20-%20Solving%20Problems%20with%20Rational%20Numbers/PDFs/Slides/A7%204.07%20%20Slides.pdf</t>
  </si>
  <si>
    <t xml:space="preserve">https://github.com/croix18/croix18-windy-hill-a7/blob/main/a7/packages/A7%20Unit%204%20-%20Solving%20Problems%20with%20Rational%20Numbers/Slides/A7%204.07%20%20Slides.pptx</t>
  </si>
  <si>
    <t xml:space="preserve">https://github.com/croix18/croix18-windy-hill-a7/blob/main/a7/packages/A7%20Unit%204%20-%20Solving%20Problems%20with%20Rational%20Numbers/PDFs/Teacher%20Editions/A7%204.07%20%20Teacher%20Edition.pdf</t>
  </si>
  <si>
    <t xml:space="preserve">https://github.com/croix18/croix18-windy-hill-a7/blob/main/a7/packages/A7%20Unit%204%20-%20Solving%20Problems%20with%20Rational%20Numbers/PDFs/Lesson%20Plans/A7%204.07%20%20Lesson%20Plan.pdf</t>
  </si>
  <si>
    <t xml:space="preserve">https://github.com/croix18/croix18-windy-hill-a7/blob/main/a7/packages/A7%20Unit%204%20-%20Solving%20Problems%20with%20Rational%20Numbers/PDFs/Question%20Banks/A7%204.07%20%20Question%20Bank.pdf</t>
  </si>
  <si>
    <t xml:space="preserve">https://github.com/croix18/croix18-windy-hill-a7/blob/main/a7/packages/A7%20Unit%204%20-%20Solving%20Problems%20with%20Rational%20Numbers/PDFs/Answer%20Keys/A7%204.07%20%20Question%20Bank%20Key.pdf</t>
  </si>
  <si>
    <t xml:space="preserve">https://github.com/croix18/croix18-windy-hill-a7/blob/main/a7/packages/A7%20Unit%204%20-%20Solving%20Problems%20with%20Rational%20Numbers/PDFs/Question%20Banks/A7%204.07%20%20Question%20Bank%20-%20Additional.pdf</t>
  </si>
  <si>
    <t xml:space="preserve">https://github.com/croix18/croix18-windy-hill-a7/blob/main/a7/packages/A7%20Unit%204%20-%20Solving%20Problems%20with%20Rational%20Numbers/PDFs/Answer%20Keys/A7%204.07%20%20Question%20Bank%20-%20Additional%20Key.pdf</t>
  </si>
  <si>
    <t xml:space="preserve">https://github.com/croix18/croix18-windy-hill-a7/blob/main/a7/packages/A7%20Unit%204%20-%20Solving%20Problems%20with%20Rational%20Numbers/PDFs/Independent%20Sets/A7%204.07%20%20Independent%20Set.pdf</t>
  </si>
  <si>
    <t xml:space="preserve">https://github.com/croix18/croix18-windy-hill-a7/blob/main/a7/packages/A7%20Unit%204%20-%20Solving%20Problems%20with%20Rational%20Numbers/PDFs/Answer%20Keys/A7%204.07%20%20Independent%20Set%20Key.pdf</t>
  </si>
  <si>
    <t xml:space="preserve">https://github.com/croix18/croix18-windy-hill-a7/blob/main/a7/packages/A7%20Unit%204%20-%20Solving%20Problems%20with%20Rational%20Numbers/PDFs/Assessments/A7%204%20%20Unit%20Assessment.pdf</t>
  </si>
  <si>
    <t xml:space="preserve">https://github.com/croix18/croix18-windy-hill-a7/blob/main/a7/packages/A7%20Unit%204%20-%20Solving%20Problems%20with%20Rational%20Numbers/PDFs/Answer%20Keys/A7%204%20%20Unit%20Assessment%20Key.pdf</t>
  </si>
</sst>
</file>

<file path=xl/styles.xml><?xml version="1.0" encoding="utf-8"?>
<styleSheet xmlns="http://schemas.openxmlformats.org/spreadsheetml/2006/main">
  <numFmts count="7">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ithub.com/croix18/croix18-windy-hill-a7/blob/main/a7/packages/A7%20Unit%203%20-%20Exponents%20and%20Scientific%20Notation/PDFs/Slides/A7%203.01%20%20Slides.pdf" TargetMode="External"/><Relationship Id="rId3" Type="http://schemas.openxmlformats.org/officeDocument/2006/relationships/hyperlink" Target="https://github.com/croix18/croix18-windy-hill-a7/blob/main/a7/packages/A7%20Unit%203%20-%20Exponents%20and%20Scientific%20Notation/Slides/A7%203.01%20%20Slides.pptx" TargetMode="External"/><Relationship Id="rId4" Type="http://schemas.openxmlformats.org/officeDocument/2006/relationships/hyperlink" Target="https://github.com/croix18/croix18-windy-hill-a7/blob/main/a7/packages/A7%20Unit%203%20-%20Exponents%20and%20Scientific%20Notation/PDFs/Teacher%20Editions/A7%203.01%20%20Teacher%20Edition.pdf" TargetMode="External"/><Relationship Id="rId5" Type="http://schemas.openxmlformats.org/officeDocument/2006/relationships/hyperlink" Target="https://github.com/croix18/croix18-windy-hill-a7/blob/main/a7/packages/A7%20Unit%203%20-%20Exponents%20and%20Scientific%20Notation/PDFs/Lesson%20Plans/A7%203.01%20%20Lesson%20Plan.pdf" TargetMode="External"/><Relationship Id="rId6" Type="http://schemas.openxmlformats.org/officeDocument/2006/relationships/hyperlink" Target="https://github.com/croix18/croix18-windy-hill-a7/blob/main/a7/packages/A7%20Unit%203%20-%20Exponents%20and%20Scientific%20Notation/PDFs/Question%20Banks/A7%203.01%20%20Question%20Bank.pdf" TargetMode="External"/><Relationship Id="rId7" Type="http://schemas.openxmlformats.org/officeDocument/2006/relationships/hyperlink" Target="https://github.com/croix18/croix18-windy-hill-a7/blob/main/a7/packages/A7%20Unit%203%20-%20Exponents%20and%20Scientific%20Notation/PDFs/Answer%20Keys/A7%203.01%20%20Question%20Bank%20Key.pdf" TargetMode="External"/><Relationship Id="rId8" Type="http://schemas.openxmlformats.org/officeDocument/2006/relationships/hyperlink" Target="https://github.com/croix18/croix18-windy-hill-a7/blob/main/a7/packages/A7%20Unit%203%20-%20Exponents%20and%20Scientific%20Notation/PDFs/Question%20Banks/A7%203.01%20%20Question%20Bank%20-%20Additional.pdf" TargetMode="External"/><Relationship Id="rId9" Type="http://schemas.openxmlformats.org/officeDocument/2006/relationships/hyperlink" Target="https://github.com/croix18/croix18-windy-hill-a7/blob/main/a7/packages/A7%20Unit%203%20-%20Exponents%20and%20Scientific%20Notation/PDFs/Answer%20Keys/A7%203.01%20%20Question%20Bank%20-%20Additional%20Key.pdf" TargetMode="External"/><Relationship Id="rId10" Type="http://schemas.openxmlformats.org/officeDocument/2006/relationships/hyperlink" Target="https://github.com/croix18/croix18-windy-hill-a7/blob/main/a7/packages/A7%20Unit%203%20-%20Exponents%20and%20Scientific%20Notation/PDFs/Independent%20Sets/A7%203.01%20%20Independent%20Set.pdf" TargetMode="External"/><Relationship Id="rId11" Type="http://schemas.openxmlformats.org/officeDocument/2006/relationships/hyperlink" Target="https://github.com/croix18/croix18-windy-hill-a7/blob/main/a7/packages/A7%20Unit%203%20-%20Exponents%20and%20Scientific%20Notation/PDFs/Answer%20Keys/A7%203.01%20%20Independent%20Set%20Key.pdf" TargetMode="External"/><Relationship Id="rId12" Type="http://schemas.openxmlformats.org/officeDocument/2006/relationships/hyperlink" Target="https://github.com/croix18/croix18-windy-hill-a7/tree/main/a7/packages/A7%20Unit%203%20-%20Exponents%20and%20Scientific%20Notation" TargetMode="External"/><Relationship Id="rId13" Type="http://schemas.openxmlformats.org/officeDocument/2006/relationships/hyperlink" Target="https://github.com/croix18/croix18-windy-hill-a7/blob/main/a7/packages/A7%20Unit%203%20-%20Exponents%20and%20Scientific%20Notation/PDFs/Slides/A7%203.02%20%20Slides.pdf" TargetMode="External"/><Relationship Id="rId14" Type="http://schemas.openxmlformats.org/officeDocument/2006/relationships/hyperlink" Target="https://github.com/croix18/croix18-windy-hill-a7/blob/main/a7/packages/A7%20Unit%203%20-%20Exponents%20and%20Scientific%20Notation/Slides/A7%203.02%20%20Slides.pptx" TargetMode="External"/><Relationship Id="rId15" Type="http://schemas.openxmlformats.org/officeDocument/2006/relationships/hyperlink" Target="https://github.com/croix18/croix18-windy-hill-a7/blob/main/a7/packages/A7%20Unit%203%20-%20Exponents%20and%20Scientific%20Notation/PDFs/Teacher%20Editions/A7%203.02%20%20Teacher%20Edition.pdf" TargetMode="External"/><Relationship Id="rId16" Type="http://schemas.openxmlformats.org/officeDocument/2006/relationships/hyperlink" Target="https://github.com/croix18/croix18-windy-hill-a7/blob/main/a7/packages/A7%20Unit%203%20-%20Exponents%20and%20Scientific%20Notation/PDFs/Lesson%20Plans/A7%203.02%20%20Lesson%20Plan.pdf" TargetMode="External"/><Relationship Id="rId17" Type="http://schemas.openxmlformats.org/officeDocument/2006/relationships/hyperlink" Target="https://github.com/croix18/croix18-windy-hill-a7/blob/main/a7/packages/A7%20Unit%203%20-%20Exponents%20and%20Scientific%20Notation/PDFs/Question%20Banks/A7%203.02%20%20Question%20Bank.pdf" TargetMode="External"/><Relationship Id="rId18" Type="http://schemas.openxmlformats.org/officeDocument/2006/relationships/hyperlink" Target="https://github.com/croix18/croix18-windy-hill-a7/blob/main/a7/packages/A7%20Unit%203%20-%20Exponents%20and%20Scientific%20Notation/PDFs/Answer%20Keys/A7%203.02%20%20Question%20Bank%20Key.pdf" TargetMode="External"/><Relationship Id="rId19" Type="http://schemas.openxmlformats.org/officeDocument/2006/relationships/hyperlink" Target="https://github.com/croix18/croix18-windy-hill-a7/blob/main/a7/packages/A7%20Unit%203%20-%20Exponents%20and%20Scientific%20Notation/PDFs/Question%20Banks/A7%203.02%20%20Question%20Bank%20-%20Additional.pdf" TargetMode="External"/><Relationship Id="rId20" Type="http://schemas.openxmlformats.org/officeDocument/2006/relationships/hyperlink" Target="https://github.com/croix18/croix18-windy-hill-a7/blob/main/a7/packages/A7%20Unit%203%20-%20Exponents%20and%20Scientific%20Notation/PDFs/Answer%20Keys/A7%203.02%20%20Question%20Bank%20-%20Additional%20Key.pdf" TargetMode="External"/><Relationship Id="rId21" Type="http://schemas.openxmlformats.org/officeDocument/2006/relationships/hyperlink" Target="https://github.com/croix18/croix18-windy-hill-a7/blob/main/a7/packages/A7%20Unit%203%20-%20Exponents%20and%20Scientific%20Notation/PDFs/Independent%20Sets/A7%203.02%20%20Independent%20Set.pdf" TargetMode="External"/><Relationship Id="rId22" Type="http://schemas.openxmlformats.org/officeDocument/2006/relationships/hyperlink" Target="https://github.com/croix18/croix18-windy-hill-a7/blob/main/a7/packages/A7%20Unit%203%20-%20Exponents%20and%20Scientific%20Notation/PDFs/Answer%20Keys/A7%203.02%20%20Independent%20Set%20Key.pdf" TargetMode="External"/><Relationship Id="rId23" Type="http://schemas.openxmlformats.org/officeDocument/2006/relationships/hyperlink" Target="https://github.com/croix18/croix18-windy-hill-a7/tree/main/a7/packages/A7%20Unit%203%20-%20Exponents%20and%20Scientific%20Notation" TargetMode="External"/><Relationship Id="rId24" Type="http://schemas.openxmlformats.org/officeDocument/2006/relationships/hyperlink" Target="https://github.com/croix18/croix18-windy-hill-a7/blob/main/a7/packages/A7%20Unit%203%20-%20Exponents%20and%20Scientific%20Notation/PDFs/Slides/A7%203.03%20%20Slides.pdf" TargetMode="External"/><Relationship Id="rId25" Type="http://schemas.openxmlformats.org/officeDocument/2006/relationships/hyperlink" Target="https://github.com/croix18/croix18-windy-hill-a7/blob/main/a7/packages/A7%20Unit%203%20-%20Exponents%20and%20Scientific%20Notation/Slides/A7%203.03%20%20Slides.pptx" TargetMode="External"/><Relationship Id="rId26" Type="http://schemas.openxmlformats.org/officeDocument/2006/relationships/hyperlink" Target="https://github.com/croix18/croix18-windy-hill-a7/blob/main/a7/packages/A7%20Unit%203%20-%20Exponents%20and%20Scientific%20Notation/PDFs/Teacher%20Editions/A7%203.03%20%20Teacher%20Edition.pdf" TargetMode="External"/><Relationship Id="rId27" Type="http://schemas.openxmlformats.org/officeDocument/2006/relationships/hyperlink" Target="https://github.com/croix18/croix18-windy-hill-a7/blob/main/a7/packages/A7%20Unit%203%20-%20Exponents%20and%20Scientific%20Notation/PDFs/Lesson%20Plans/A7%203.03%20%20Lesson%20Plan.pdf" TargetMode="External"/><Relationship Id="rId28" Type="http://schemas.openxmlformats.org/officeDocument/2006/relationships/hyperlink" Target="https://github.com/croix18/croix18-windy-hill-a7/blob/main/a7/packages/A7%20Unit%203%20-%20Exponents%20and%20Scientific%20Notation/PDFs/Question%20Banks/A7%203.03%20%20Question%20Bank.pdf" TargetMode="External"/><Relationship Id="rId29" Type="http://schemas.openxmlformats.org/officeDocument/2006/relationships/hyperlink" Target="https://github.com/croix18/croix18-windy-hill-a7/blob/main/a7/packages/A7%20Unit%203%20-%20Exponents%20and%20Scientific%20Notation/PDFs/Answer%20Keys/A7%203.03%20%20Question%20Bank%20Key.pdf" TargetMode="External"/><Relationship Id="rId30" Type="http://schemas.openxmlformats.org/officeDocument/2006/relationships/hyperlink" Target="https://github.com/croix18/croix18-windy-hill-a7/blob/main/a7/packages/A7%20Unit%203%20-%20Exponents%20and%20Scientific%20Notation/PDFs/Question%20Banks/A7%203.03%20%20Question%20Bank%20-%20Additional.pdf" TargetMode="External"/><Relationship Id="rId31" Type="http://schemas.openxmlformats.org/officeDocument/2006/relationships/hyperlink" Target="https://github.com/croix18/croix18-windy-hill-a7/blob/main/a7/packages/A7%20Unit%203%20-%20Exponents%20and%20Scientific%20Notation/PDFs/Answer%20Keys/A7%203.03%20%20Question%20Bank%20-%20Additional%20Key.pdf" TargetMode="External"/><Relationship Id="rId32" Type="http://schemas.openxmlformats.org/officeDocument/2006/relationships/hyperlink" Target="https://github.com/croix18/croix18-windy-hill-a7/blob/main/a7/packages/A7%20Unit%203%20-%20Exponents%20and%20Scientific%20Notation/PDFs/Independent%20Sets/A7%203.03%20%20Independent%20Set.pdf" TargetMode="External"/><Relationship Id="rId33" Type="http://schemas.openxmlformats.org/officeDocument/2006/relationships/hyperlink" Target="https://github.com/croix18/croix18-windy-hill-a7/blob/main/a7/packages/A7%20Unit%203%20-%20Exponents%20and%20Scientific%20Notation/PDFs/Answer%20Keys/A7%203.03%20%20Independent%20Set%20Key.pdf" TargetMode="External"/><Relationship Id="rId34" Type="http://schemas.openxmlformats.org/officeDocument/2006/relationships/hyperlink" Target="https://github.com/croix18/croix18-windy-hill-a7/tree/main/a7/packages/A7%20Unit%203%20-%20Exponents%20and%20Scientific%20Notation" TargetMode="External"/><Relationship Id="rId35" Type="http://schemas.openxmlformats.org/officeDocument/2006/relationships/hyperlink" Target="https://github.com/croix18/croix18-windy-hill-a7/blob/main/a7/packages/A7%20Unit%203%20-%20Exponents%20and%20Scientific%20Notation/PDFs/Slides/A7%203.04%20%20Slides.pdf" TargetMode="External"/><Relationship Id="rId36" Type="http://schemas.openxmlformats.org/officeDocument/2006/relationships/hyperlink" Target="https://github.com/croix18/croix18-windy-hill-a7/blob/main/a7/packages/A7%20Unit%203%20-%20Exponents%20and%20Scientific%20Notation/Slides/A7%203.04%20%20Slides.pptx" TargetMode="External"/><Relationship Id="rId37" Type="http://schemas.openxmlformats.org/officeDocument/2006/relationships/hyperlink" Target="https://github.com/croix18/croix18-windy-hill-a7/blob/main/a7/packages/A7%20Unit%203%20-%20Exponents%20and%20Scientific%20Notation/PDFs/Teacher%20Editions/A7%203.04%20%20Teacher%20Edition.pdf" TargetMode="External"/><Relationship Id="rId38" Type="http://schemas.openxmlformats.org/officeDocument/2006/relationships/hyperlink" Target="https://github.com/croix18/croix18-windy-hill-a7/blob/main/a7/packages/A7%20Unit%203%20-%20Exponents%20and%20Scientific%20Notation/PDFs/Lesson%20Plans/A7%203.04%20%20Lesson%20Plan.pdf" TargetMode="External"/><Relationship Id="rId39" Type="http://schemas.openxmlformats.org/officeDocument/2006/relationships/hyperlink" Target="https://github.com/croix18/croix18-windy-hill-a7/blob/main/a7/packages/A7%20Unit%203%20-%20Exponents%20and%20Scientific%20Notation/PDFs/Question%20Banks/A7%203.04%20%20Question%20Bank.pdf" TargetMode="External"/><Relationship Id="rId40" Type="http://schemas.openxmlformats.org/officeDocument/2006/relationships/hyperlink" Target="https://github.com/croix18/croix18-windy-hill-a7/blob/main/a7/packages/A7%20Unit%203%20-%20Exponents%20and%20Scientific%20Notation/PDFs/Answer%20Keys/A7%203.04%20%20Question%20Bank%20Key.pdf" TargetMode="External"/><Relationship Id="rId41" Type="http://schemas.openxmlformats.org/officeDocument/2006/relationships/hyperlink" Target="https://github.com/croix18/croix18-windy-hill-a7/blob/main/a7/packages/A7%20Unit%203%20-%20Exponents%20and%20Scientific%20Notation/PDFs/Question%20Banks/A7%203.04%20%20Question%20Bank%20-%20Additional.pdf" TargetMode="External"/><Relationship Id="rId42" Type="http://schemas.openxmlformats.org/officeDocument/2006/relationships/hyperlink" Target="https://github.com/croix18/croix18-windy-hill-a7/blob/main/a7/packages/A7%20Unit%203%20-%20Exponents%20and%20Scientific%20Notation/PDFs/Answer%20Keys/A7%203.04%20%20Question%20Bank%20-%20Additional%20Key.pdf" TargetMode="External"/><Relationship Id="rId43" Type="http://schemas.openxmlformats.org/officeDocument/2006/relationships/hyperlink" Target="https://github.com/croix18/croix18-windy-hill-a7/blob/main/a7/packages/A7%20Unit%203%20-%20Exponents%20and%20Scientific%20Notation/PDFs/Independent%20Sets/A7%203.04%20%20Independent%20Set.pdf" TargetMode="External"/><Relationship Id="rId44" Type="http://schemas.openxmlformats.org/officeDocument/2006/relationships/hyperlink" Target="https://github.com/croix18/croix18-windy-hill-a7/blob/main/a7/packages/A7%20Unit%203%20-%20Exponents%20and%20Scientific%20Notation/PDFs/Answer%20Keys/A7%203.04%20%20Independent%20Set%20Key.pdf" TargetMode="External"/><Relationship Id="rId45" Type="http://schemas.openxmlformats.org/officeDocument/2006/relationships/hyperlink" Target="https://github.com/croix18/croix18-windy-hill-a7/tree/main/a7/packages/A7%20Unit%203%20-%20Exponents%20and%20Scientific%20Notation" TargetMode="External"/><Relationship Id="rId46" Type="http://schemas.openxmlformats.org/officeDocument/2006/relationships/hyperlink" Target="https://github.com/croix18/croix18-windy-hill-a7/blob/main/a7/packages/A7%20Unit%203%20-%20Exponents%20and%20Scientific%20Notation/PDFs/Slides/A7%203.05%20%20Slides.pdf" TargetMode="External"/><Relationship Id="rId47" Type="http://schemas.openxmlformats.org/officeDocument/2006/relationships/hyperlink" Target="https://github.com/croix18/croix18-windy-hill-a7/blob/main/a7/packages/A7%20Unit%203%20-%20Exponents%20and%20Scientific%20Notation/Slides/A7%203.05%20%20Slides.pptx" TargetMode="External"/><Relationship Id="rId48" Type="http://schemas.openxmlformats.org/officeDocument/2006/relationships/hyperlink" Target="https://github.com/croix18/croix18-windy-hill-a7/blob/main/a7/packages/A7%20Unit%203%20-%20Exponents%20and%20Scientific%20Notation/PDFs/Teacher%20Editions/A7%203.05%20%20Teacher%20Edition.pdf" TargetMode="External"/><Relationship Id="rId49" Type="http://schemas.openxmlformats.org/officeDocument/2006/relationships/hyperlink" Target="https://github.com/croix18/croix18-windy-hill-a7/blob/main/a7/packages/A7%20Unit%203%20-%20Exponents%20and%20Scientific%20Notation/PDFs/Lesson%20Plans/A7%203.05%20%20Lesson%20Plan.pdf" TargetMode="External"/><Relationship Id="rId50" Type="http://schemas.openxmlformats.org/officeDocument/2006/relationships/hyperlink" Target="https://github.com/croix18/croix18-windy-hill-a7/blob/main/a7/packages/A7%20Unit%203%20-%20Exponents%20and%20Scientific%20Notation/PDFs/Question%20Banks/A7%203.05%20%20Question%20Bank.pdf" TargetMode="External"/><Relationship Id="rId51" Type="http://schemas.openxmlformats.org/officeDocument/2006/relationships/hyperlink" Target="https://github.com/croix18/croix18-windy-hill-a7/blob/main/a7/packages/A7%20Unit%203%20-%20Exponents%20and%20Scientific%20Notation/PDFs/Answer%20Keys/A7%203.05%20%20Question%20Bank%20Key.pdf" TargetMode="External"/><Relationship Id="rId52" Type="http://schemas.openxmlformats.org/officeDocument/2006/relationships/hyperlink" Target="https://github.com/croix18/croix18-windy-hill-a7/blob/main/a7/packages/A7%20Unit%203%20-%20Exponents%20and%20Scientific%20Notation/PDFs/Question%20Banks/A7%203.05%20%20Question%20Bank%20-%20Additional.pdf" TargetMode="External"/><Relationship Id="rId53" Type="http://schemas.openxmlformats.org/officeDocument/2006/relationships/hyperlink" Target="https://github.com/croix18/croix18-windy-hill-a7/blob/main/a7/packages/A7%20Unit%203%20-%20Exponents%20and%20Scientific%20Notation/PDFs/Answer%20Keys/A7%203.05%20%20Question%20Bank%20-%20Additional%20Key.pdf" TargetMode="External"/><Relationship Id="rId54" Type="http://schemas.openxmlformats.org/officeDocument/2006/relationships/hyperlink" Target="https://github.com/croix18/croix18-windy-hill-a7/blob/main/a7/packages/A7%20Unit%203%20-%20Exponents%20and%20Scientific%20Notation/PDFs/Independent%20Sets/A7%203.05%20%20Independent%20Set.pdf" TargetMode="External"/><Relationship Id="rId55" Type="http://schemas.openxmlformats.org/officeDocument/2006/relationships/hyperlink" Target="https://github.com/croix18/croix18-windy-hill-a7/blob/main/a7/packages/A7%20Unit%203%20-%20Exponents%20and%20Scientific%20Notation/PDFs/Answer%20Keys/A7%203.05%20%20Independent%20Set%20Key.pdf" TargetMode="External"/><Relationship Id="rId56" Type="http://schemas.openxmlformats.org/officeDocument/2006/relationships/hyperlink" Target="https://github.com/croix18/croix18-windy-hill-a7/tree/main/a7/packages/A7%20Unit%203%20-%20Exponents%20and%20Scientific%20Notation" TargetMode="External"/><Relationship Id="rId57" Type="http://schemas.openxmlformats.org/officeDocument/2006/relationships/hyperlink" Target="https://github.com/croix18/croix18-windy-hill-a7/blob/main/a7/packages/A7%20Unit%203%20-%20Exponents%20and%20Scientific%20Notation/PDFs/Slides/A7%203.06%20%20Slides.pdf" TargetMode="External"/><Relationship Id="rId58" Type="http://schemas.openxmlformats.org/officeDocument/2006/relationships/hyperlink" Target="https://github.com/croix18/croix18-windy-hill-a7/blob/main/a7/packages/A7%20Unit%203%20-%20Exponents%20and%20Scientific%20Notation/Slides/A7%203.06%20%20Slides.pptx" TargetMode="External"/><Relationship Id="rId59" Type="http://schemas.openxmlformats.org/officeDocument/2006/relationships/hyperlink" Target="https://github.com/croix18/croix18-windy-hill-a7/blob/main/a7/packages/A7%20Unit%203%20-%20Exponents%20and%20Scientific%20Notation/PDFs/Teacher%20Editions/A7%203.06%20%20Teacher%20Edition.pdf" TargetMode="External"/><Relationship Id="rId60" Type="http://schemas.openxmlformats.org/officeDocument/2006/relationships/hyperlink" Target="https://github.com/croix18/croix18-windy-hill-a7/blob/main/a7/packages/A7%20Unit%203%20-%20Exponents%20and%20Scientific%20Notation/PDFs/Lesson%20Plans/A7%203.06%20%20Lesson%20Plan.pdf" TargetMode="External"/><Relationship Id="rId61" Type="http://schemas.openxmlformats.org/officeDocument/2006/relationships/hyperlink" Target="https://github.com/croix18/croix18-windy-hill-a7/blob/main/a7/packages/A7%20Unit%203%20-%20Exponents%20and%20Scientific%20Notation/PDFs/Question%20Banks/A7%203.06%20%20Question%20Bank.pdf" TargetMode="External"/><Relationship Id="rId62" Type="http://schemas.openxmlformats.org/officeDocument/2006/relationships/hyperlink" Target="https://github.com/croix18/croix18-windy-hill-a7/blob/main/a7/packages/A7%20Unit%203%20-%20Exponents%20and%20Scientific%20Notation/PDFs/Answer%20Keys/A7%203.06%20%20Question%20Bank%20Key.pdf" TargetMode="External"/><Relationship Id="rId63" Type="http://schemas.openxmlformats.org/officeDocument/2006/relationships/hyperlink" Target="https://github.com/croix18/croix18-windy-hill-a7/blob/main/a7/packages/A7%20Unit%203%20-%20Exponents%20and%20Scientific%20Notation/PDFs/Question%20Banks/A7%203.06%20%20Question%20Bank%20-%20Additional.pdf" TargetMode="External"/><Relationship Id="rId64" Type="http://schemas.openxmlformats.org/officeDocument/2006/relationships/hyperlink" Target="https://github.com/croix18/croix18-windy-hill-a7/blob/main/a7/packages/A7%20Unit%203%20-%20Exponents%20and%20Scientific%20Notation/PDFs/Answer%20Keys/A7%203.06%20%20Question%20Bank%20-%20Additional%20Key.pdf" TargetMode="External"/><Relationship Id="rId65" Type="http://schemas.openxmlformats.org/officeDocument/2006/relationships/hyperlink" Target="https://github.com/croix18/croix18-windy-hill-a7/blob/main/a7/packages/A7%20Unit%203%20-%20Exponents%20and%20Scientific%20Notation/PDFs/Independent%20Sets/A7%203.06%20%20Independent%20Set.pdf" TargetMode="External"/><Relationship Id="rId66" Type="http://schemas.openxmlformats.org/officeDocument/2006/relationships/hyperlink" Target="https://github.com/croix18/croix18-windy-hill-a7/blob/main/a7/packages/A7%20Unit%203%20-%20Exponents%20and%20Scientific%20Notation/PDFs/Answer%20Keys/A7%203.06%20%20Independent%20Set%20Key.pdf" TargetMode="External"/><Relationship Id="rId67" Type="http://schemas.openxmlformats.org/officeDocument/2006/relationships/hyperlink" Target="https://github.com/croix18/croix18-windy-hill-a7/tree/main/a7/packages/A7%20Unit%203%20-%20Exponents%20and%20Scientific%20Notation" TargetMode="External"/><Relationship Id="rId68" Type="http://schemas.openxmlformats.org/officeDocument/2006/relationships/hyperlink" Target="https://github.com/croix18/croix18-windy-hill-a7/blob/main/a7/packages/A7%20Unit%203%20-%20Exponents%20and%20Scientific%20Notation/PDFs/Slides/A7%203.T1%20%20Slides.pdf" TargetMode="External"/><Relationship Id="rId69" Type="http://schemas.openxmlformats.org/officeDocument/2006/relationships/hyperlink" Target="https://github.com/croix18/croix18-windy-hill-a7/blob/main/a7/packages/A7%20Unit%203%20-%20Exponents%20and%20Scientific%20Notation/Slides/A7%203.T1%20%20Slides.pptx" TargetMode="External"/><Relationship Id="rId70" Type="http://schemas.openxmlformats.org/officeDocument/2006/relationships/hyperlink" Target="https://github.com/croix18/croix18-windy-hill-a7/blob/main/a7/packages/A7%20Unit%203%20-%20Exponents%20and%20Scientific%20Notation/PDFs/Teacher%20Editions/A7%203.T1%20%20Teacher%20Edition.pdf" TargetMode="External"/><Relationship Id="rId71" Type="http://schemas.openxmlformats.org/officeDocument/2006/relationships/hyperlink" Target="https://github.com/croix18/croix18-windy-hill-a7/blob/main/a7/packages/A7%20Unit%203%20-%20Exponents%20and%20Scientific%20Notation/PDFs/Lesson%20Plans/A7%203.T1%20%20Lesson%20Plan.pdf" TargetMode="External"/><Relationship Id="rId72" Type="http://schemas.openxmlformats.org/officeDocument/2006/relationships/hyperlink" Target="https://github.com/croix18/croix18-windy-hill-a7/blob/main/a7/packages/A7%20Unit%203%20-%20Exponents%20and%20Scientific%20Notation/PDFs/Question%20Banks/A7%203.T1%20%20Question%20Bank.pdf" TargetMode="External"/><Relationship Id="rId73" Type="http://schemas.openxmlformats.org/officeDocument/2006/relationships/hyperlink" Target="https://github.com/croix18/croix18-windy-hill-a7/blob/main/a7/packages/A7%20Unit%203%20-%20Exponents%20and%20Scientific%20Notation/PDFs/Answer%20Keys/A7%203.T1%20%20Question%20Bank%20Key.pdf" TargetMode="External"/><Relationship Id="rId74" Type="http://schemas.openxmlformats.org/officeDocument/2006/relationships/hyperlink" Target="https://github.com/croix18/croix18-windy-hill-a7/blob/main/a7/packages/A7%20Unit%203%20-%20Exponents%20and%20Scientific%20Notation/PDFs/Question%20Banks/A7%203.T1%20%20Question%20Bank%20-%20Additional.pdf" TargetMode="External"/><Relationship Id="rId75" Type="http://schemas.openxmlformats.org/officeDocument/2006/relationships/hyperlink" Target="https://github.com/croix18/croix18-windy-hill-a7/blob/main/a7/packages/A7%20Unit%203%20-%20Exponents%20and%20Scientific%20Notation/PDFs/Answer%20Keys/A7%203.T1%20%20Question%20Bank%20-%20Additional%20Key.pdf" TargetMode="External"/><Relationship Id="rId76" Type="http://schemas.openxmlformats.org/officeDocument/2006/relationships/hyperlink" Target="https://github.com/croix18/croix18-windy-hill-a7/blob/main/a7/packages/A7%20Unit%203%20-%20Exponents%20and%20Scientific%20Notation/PDFs/Independent%20Sets/A7%203.T1%20%20Independent%20Set.pdf" TargetMode="External"/><Relationship Id="rId77" Type="http://schemas.openxmlformats.org/officeDocument/2006/relationships/hyperlink" Target="https://github.com/croix18/croix18-windy-hill-a7/blob/main/a7/packages/A7%20Unit%203%20-%20Exponents%20and%20Scientific%20Notation/PDFs/Answer%20Keys/A7%203.T1%20%20Independent%20Set%20Key.pdf" TargetMode="External"/><Relationship Id="rId78" Type="http://schemas.openxmlformats.org/officeDocument/2006/relationships/hyperlink" Target="https://github.com/croix18/croix18-windy-hill-a7/tree/main/a7/packages/A7%20Unit%203%20-%20Exponents%20and%20Scientific%20Notation" TargetMode="External"/><Relationship Id="rId79" Type="http://schemas.openxmlformats.org/officeDocument/2006/relationships/hyperlink" Target="https://github.com/croix18/croix18-windy-hill-a7/blob/main/a7/packages/A7%20Unit%203%20-%20Exponents%20and%20Scientific%20Notation/PDFs/Slides/A7%203.T2%20%20Slides.pdf" TargetMode="External"/><Relationship Id="rId80" Type="http://schemas.openxmlformats.org/officeDocument/2006/relationships/hyperlink" Target="https://github.com/croix18/croix18-windy-hill-a7/blob/main/a7/packages/A7%20Unit%203%20-%20Exponents%20and%20Scientific%20Notation/Slides/A7%203.T2%20%20Slides.pptx" TargetMode="External"/><Relationship Id="rId81" Type="http://schemas.openxmlformats.org/officeDocument/2006/relationships/hyperlink" Target="https://github.com/croix18/croix18-windy-hill-a7/blob/main/a7/packages/A7%20Unit%203%20-%20Exponents%20and%20Scientific%20Notation/PDFs/Teacher%20Editions/A7%203.T2%20%20Teacher%20Edition.pdf" TargetMode="External"/><Relationship Id="rId82" Type="http://schemas.openxmlformats.org/officeDocument/2006/relationships/hyperlink" Target="https://github.com/croix18/croix18-windy-hill-a7/blob/main/a7/packages/A7%20Unit%203%20-%20Exponents%20and%20Scientific%20Notation/PDFs/Lesson%20Plans/A7%203.T2%20%20Lesson%20Plan.pdf" TargetMode="External"/><Relationship Id="rId83" Type="http://schemas.openxmlformats.org/officeDocument/2006/relationships/hyperlink" Target="https://github.com/croix18/croix18-windy-hill-a7/blob/main/a7/packages/A7%20Unit%203%20-%20Exponents%20and%20Scientific%20Notation/PDFs/Question%20Banks/A7%203.T2%20%20Question%20Bank.pdf" TargetMode="External"/><Relationship Id="rId84" Type="http://schemas.openxmlformats.org/officeDocument/2006/relationships/hyperlink" Target="https://github.com/croix18/croix18-windy-hill-a7/blob/main/a7/packages/A7%20Unit%203%20-%20Exponents%20and%20Scientific%20Notation/PDFs/Answer%20Keys/A7%203.T2%20%20Question%20Bank%20Key.pdf" TargetMode="External"/><Relationship Id="rId85" Type="http://schemas.openxmlformats.org/officeDocument/2006/relationships/hyperlink" Target="https://github.com/croix18/croix18-windy-hill-a7/blob/main/a7/packages/A7%20Unit%203%20-%20Exponents%20and%20Scientific%20Notation/PDFs/Question%20Banks/A7%203.T2%20%20Question%20Bank%20-%20Additional.pdf" TargetMode="External"/><Relationship Id="rId86" Type="http://schemas.openxmlformats.org/officeDocument/2006/relationships/hyperlink" Target="https://github.com/croix18/croix18-windy-hill-a7/blob/main/a7/packages/A7%20Unit%203%20-%20Exponents%20and%20Scientific%20Notation/PDFs/Answer%20Keys/A7%203.T2%20%20Question%20Bank%20-%20Additional%20Key.pdf" TargetMode="External"/><Relationship Id="rId87" Type="http://schemas.openxmlformats.org/officeDocument/2006/relationships/hyperlink" Target="https://github.com/croix18/croix18-windy-hill-a7/blob/main/a7/packages/A7%20Unit%203%20-%20Exponents%20and%20Scientific%20Notation/PDFs/Independent%20Sets/A7%203.T2%20%20Independent%20Set.pdf" TargetMode="External"/><Relationship Id="rId88" Type="http://schemas.openxmlformats.org/officeDocument/2006/relationships/hyperlink" Target="https://github.com/croix18/croix18-windy-hill-a7/blob/main/a7/packages/A7%20Unit%203%20-%20Exponents%20and%20Scientific%20Notation/PDFs/Answer%20Keys/A7%203.T2%20%20Independent%20Set%20Key.pdf" TargetMode="External"/><Relationship Id="rId89" Type="http://schemas.openxmlformats.org/officeDocument/2006/relationships/hyperlink" Target="https://github.com/croix18/croix18-windy-hill-a7/tree/main/a7/packages/A7%20Unit%203%20-%20Exponents%20and%20Scientific%20Notation" TargetMode="External"/><Relationship Id="rId90" Type="http://schemas.openxmlformats.org/officeDocument/2006/relationships/hyperlink" Target="https://github.com/croix18/croix18-windy-hill-a7/blob/main/a7/packages/A7%20Unit%203%20-%20Exponents%20and%20Scientific%20Notation/PDFs/Slides/A7%203.08%20%20Slides.pdf" TargetMode="External"/><Relationship Id="rId91" Type="http://schemas.openxmlformats.org/officeDocument/2006/relationships/hyperlink" Target="https://github.com/croix18/croix18-windy-hill-a7/blob/main/a7/packages/A7%20Unit%203%20-%20Exponents%20and%20Scientific%20Notation/Slides/A7%203.08%20%20Slides.pptx" TargetMode="External"/><Relationship Id="rId92" Type="http://schemas.openxmlformats.org/officeDocument/2006/relationships/hyperlink" Target="https://github.com/croix18/croix18-windy-hill-a7/blob/main/a7/packages/A7%20Unit%203%20-%20Exponents%20and%20Scientific%20Notation/PDFs/Teacher%20Editions/A7%203.08%20%20Teacher%20Edition.pdf" TargetMode="External"/><Relationship Id="rId93" Type="http://schemas.openxmlformats.org/officeDocument/2006/relationships/hyperlink" Target="https://github.com/croix18/croix18-windy-hill-a7/blob/main/a7/packages/A7%20Unit%203%20-%20Exponents%20and%20Scientific%20Notation/PDFs/Lesson%20Plans/A7%203.08%20%20Lesson%20Plan.pdf" TargetMode="External"/><Relationship Id="rId94" Type="http://schemas.openxmlformats.org/officeDocument/2006/relationships/hyperlink" Target="https://github.com/croix18/croix18-windy-hill-a7/blob/main/a7/packages/A7%20Unit%203%20-%20Exponents%20and%20Scientific%20Notation/PDFs/Question%20Banks/A7%203.08%20%20Question%20Bank.pdf" TargetMode="External"/><Relationship Id="rId95" Type="http://schemas.openxmlformats.org/officeDocument/2006/relationships/hyperlink" Target="https://github.com/croix18/croix18-windy-hill-a7/blob/main/a7/packages/A7%20Unit%203%20-%20Exponents%20and%20Scientific%20Notation/PDFs/Answer%20Keys/A7%203.08%20%20Question%20Bank%20Key.pdf" TargetMode="External"/><Relationship Id="rId96" Type="http://schemas.openxmlformats.org/officeDocument/2006/relationships/hyperlink" Target="https://github.com/croix18/croix18-windy-hill-a7/blob/main/a7/packages/A7%20Unit%203%20-%20Exponents%20and%20Scientific%20Notation/PDFs/Question%20Banks/A7%203.08%20%20Question%20Bank%20-%20Additional.pdf" TargetMode="External"/><Relationship Id="rId97" Type="http://schemas.openxmlformats.org/officeDocument/2006/relationships/hyperlink" Target="https://github.com/croix18/croix18-windy-hill-a7/blob/main/a7/packages/A7%20Unit%203%20-%20Exponents%20and%20Scientific%20Notation/PDFs/Answer%20Keys/A7%203.08%20%20Question%20Bank%20-%20Additional%20Key.pdf" TargetMode="External"/><Relationship Id="rId98" Type="http://schemas.openxmlformats.org/officeDocument/2006/relationships/hyperlink" Target="https://github.com/croix18/croix18-windy-hill-a7/blob/main/a7/packages/A7%20Unit%203%20-%20Exponents%20and%20Scientific%20Notation/PDFs/Independent%20Sets/A7%203.08%20%20Independent%20Set.pdf" TargetMode="External"/><Relationship Id="rId99" Type="http://schemas.openxmlformats.org/officeDocument/2006/relationships/hyperlink" Target="https://github.com/croix18/croix18-windy-hill-a7/blob/main/a7/packages/A7%20Unit%203%20-%20Exponents%20and%20Scientific%20Notation/PDFs/Answer%20Keys/A7%203.08%20%20Independent%20Set%20Key.pdf" TargetMode="External"/><Relationship Id="rId100" Type="http://schemas.openxmlformats.org/officeDocument/2006/relationships/hyperlink" Target="https://github.com/croix18/croix18-windy-hill-a7/tree/main/a7/packages/A7%20Unit%203%20-%20Exponents%20and%20Scientific%20Notation" TargetMode="External"/><Relationship Id="rId101" Type="http://schemas.openxmlformats.org/officeDocument/2006/relationships/hyperlink" Target="https://github.com/croix18/croix18-windy-hill-a7/blob/main/a7/packages/A7%20Unit%203%20-%20Exponents%20and%20Scientific%20Notation/PDFs/Slides/A7%203.09%20%20Slides.pdf" TargetMode="External"/><Relationship Id="rId102" Type="http://schemas.openxmlformats.org/officeDocument/2006/relationships/hyperlink" Target="https://github.com/croix18/croix18-windy-hill-a7/blob/main/a7/packages/A7%20Unit%203%20-%20Exponents%20and%20Scientific%20Notation/Slides/A7%203.09%20%20Slides.pptx" TargetMode="External"/><Relationship Id="rId103" Type="http://schemas.openxmlformats.org/officeDocument/2006/relationships/hyperlink" Target="https://github.com/croix18/croix18-windy-hill-a7/blob/main/a7/packages/A7%20Unit%203%20-%20Exponents%20and%20Scientific%20Notation/PDFs/Teacher%20Editions/A7%203.09%20%20Teacher%20Edition.pdf" TargetMode="External"/><Relationship Id="rId104" Type="http://schemas.openxmlformats.org/officeDocument/2006/relationships/hyperlink" Target="https://github.com/croix18/croix18-windy-hill-a7/blob/main/a7/packages/A7%20Unit%203%20-%20Exponents%20and%20Scientific%20Notation/PDFs/Lesson%20Plans/A7%203.09%20%20Lesson%20Plan.pdf" TargetMode="External"/><Relationship Id="rId105" Type="http://schemas.openxmlformats.org/officeDocument/2006/relationships/hyperlink" Target="https://github.com/croix18/croix18-windy-hill-a7/blob/main/a7/packages/A7%20Unit%203%20-%20Exponents%20and%20Scientific%20Notation/PDFs/Question%20Banks/A7%203.09%20%20Question%20Bank.pdf" TargetMode="External"/><Relationship Id="rId106" Type="http://schemas.openxmlformats.org/officeDocument/2006/relationships/hyperlink" Target="https://github.com/croix18/croix18-windy-hill-a7/blob/main/a7/packages/A7%20Unit%203%20-%20Exponents%20and%20Scientific%20Notation/PDFs/Answer%20Keys/A7%203.09%20%20Question%20Bank%20Key.pdf" TargetMode="External"/><Relationship Id="rId107" Type="http://schemas.openxmlformats.org/officeDocument/2006/relationships/hyperlink" Target="https://github.com/croix18/croix18-windy-hill-a7/blob/main/a7/packages/A7%20Unit%203%20-%20Exponents%20and%20Scientific%20Notation/PDFs/Question%20Banks/A7%203.09%20%20Question%20Bank%20-%20Additional.pdf" TargetMode="External"/><Relationship Id="rId108" Type="http://schemas.openxmlformats.org/officeDocument/2006/relationships/hyperlink" Target="https://github.com/croix18/croix18-windy-hill-a7/blob/main/a7/packages/A7%20Unit%203%20-%20Exponents%20and%20Scientific%20Notation/PDFs/Answer%20Keys/A7%203.09%20%20Question%20Bank%20-%20Additional%20Key.pdf" TargetMode="External"/><Relationship Id="rId109" Type="http://schemas.openxmlformats.org/officeDocument/2006/relationships/hyperlink" Target="https://github.com/croix18/croix18-windy-hill-a7/blob/main/a7/packages/A7%20Unit%203%20-%20Exponents%20and%20Scientific%20Notation/PDFs/Independent%20Sets/A7%203.09%20%20Independent%20Set.pdf" TargetMode="External"/><Relationship Id="rId110" Type="http://schemas.openxmlformats.org/officeDocument/2006/relationships/hyperlink" Target="https://github.com/croix18/croix18-windy-hill-a7/blob/main/a7/packages/A7%20Unit%203%20-%20Exponents%20and%20Scientific%20Notation/PDFs/Answer%20Keys/A7%203.09%20%20Independent%20Set%20Key.pdf" TargetMode="External"/><Relationship Id="rId111" Type="http://schemas.openxmlformats.org/officeDocument/2006/relationships/hyperlink" Target="https://github.com/croix18/croix18-windy-hill-a7/tree/main/a7/packages/A7%20Unit%203%20-%20Exponents%20and%20Scientific%20Notation" TargetMode="External"/><Relationship Id="rId112" Type="http://schemas.openxmlformats.org/officeDocument/2006/relationships/hyperlink" Target="https://github.com/croix18/croix18-windy-hill-a7/blob/main/a7/packages/A7%20Unit%203%20-%20Exponents%20and%20Scientific%20Notation/PDFs/Assessments/A7%203%20%20Unit%20Review.pdf" TargetMode="External"/><Relationship Id="rId113" Type="http://schemas.openxmlformats.org/officeDocument/2006/relationships/hyperlink" Target="https://github.com/croix18/croix18-windy-hill-a7/blob/main/a7/packages/A7%20Unit%203%20-%20Exponents%20and%20Scientific%20Notation/PDFs/Answer%20Keys/A7%203%20%20Unit%20Review%20Key.pdf" TargetMode="External"/><Relationship Id="rId114" Type="http://schemas.openxmlformats.org/officeDocument/2006/relationships/hyperlink" Target="https://github.com/croix18/croix18-windy-hill-a7/tree/main/a7/packages/A7%20Unit%203%20-%20Exponents%20and%20Scientific%20Notation" TargetMode="External"/><Relationship Id="rId115" Type="http://schemas.openxmlformats.org/officeDocument/2006/relationships/hyperlink" Target="https://github.com/croix18/croix18-windy-hill-a7/blob/main/a7/packages/A7%20Unit%203%20-%20Exponents%20and%20Scientific%20Notation/PDFs/Assessments/A7%203%20%20Unit%20Assessment.pdf" TargetMode="External"/><Relationship Id="rId116" Type="http://schemas.openxmlformats.org/officeDocument/2006/relationships/hyperlink" Target="https://github.com/croix18/croix18-windy-hill-a7/blob/main/a7/packages/A7%20Unit%203%20-%20Exponents%20and%20Scientific%20Notation/PDFs/Answer%20Keys/A7%203%20%20Unit%20Assessment%20Key.pdf" TargetMode="External"/><Relationship Id="rId117" Type="http://schemas.openxmlformats.org/officeDocument/2006/relationships/hyperlink" Target="https://github.com/croix18/croix18-windy-hill-a7/tree/main/a7/packages/A7%20Unit%203%20-%20Exponents%20and%20Scientific%20Notation" TargetMode="External"/><Relationship Id="rId118" Type="http://schemas.openxmlformats.org/officeDocument/2006/relationships/hyperlink" Target="https://github.com/croix18/croix18-windy-hill-a7/blob/main/a7/packages/A7%20Unit%203%20-%20Exponents%20and%20Scientific%20Notation/PDFs/Assessments/A7%203%20%20Unit%20Assessment.pdf" TargetMode="External"/><Relationship Id="rId119" Type="http://schemas.openxmlformats.org/officeDocument/2006/relationships/hyperlink" Target="https://github.com/croix18/croix18-windy-hill-a7/blob/main/a7/packages/A7%20Unit%203%20-%20Exponents%20and%20Scientific%20Notation/PDFs/Answer%20Keys/A7%203%20%20Unit%20Assessment%20Key.pdf" TargetMode="External"/><Relationship Id="rId120" Type="http://schemas.openxmlformats.org/officeDocument/2006/relationships/hyperlink" Target="https://github.com/croix18/croix18-windy-hill-a7/tree/main/a7/packages/A7%20Unit%203%20-%20Exponents%20and%20Scientific%20Notation" TargetMode="External"/><Relationship Id="rId121" Type="http://schemas.openxmlformats.org/officeDocument/2006/relationships/hyperlink" Target="https://github.com/croix18/croix18-windy-hill-a7/tree/main/a7/packages/A7%20Unit%203%20-%20Exponents%20and%20Scientific%20Notation" TargetMode="External"/><Relationship Id="rId122" Type="http://schemas.openxmlformats.org/officeDocument/2006/relationships/hyperlink" Target="https://github.com/croix18/croix18-windy-hill-a7/blob/main/a7/packages/A7%20Unit%204%20-%20Solving%20Problems%20with%20Rational%20Numbers/PDFs/Slides/A7%204.01%20%20Slides.pdf" TargetMode="External"/><Relationship Id="rId123" Type="http://schemas.openxmlformats.org/officeDocument/2006/relationships/hyperlink" Target="https://github.com/croix18/croix18-windy-hill-a7/blob/main/a7/packages/A7%20Unit%204%20-%20Solving%20Problems%20with%20Rational%20Numbers/Slides/A7%204.01%20%20Slides.pptx" TargetMode="External"/><Relationship Id="rId124" Type="http://schemas.openxmlformats.org/officeDocument/2006/relationships/hyperlink" Target="https://github.com/croix18/croix18-windy-hill-a7/blob/main/a7/packages/A7%20Unit%204%20-%20Solving%20Problems%20with%20Rational%20Numbers/PDFs/Teacher%20Editions/A7%204.01%20%20Teacher%20Edition.pdf" TargetMode="External"/><Relationship Id="rId125" Type="http://schemas.openxmlformats.org/officeDocument/2006/relationships/hyperlink" Target="https://github.com/croix18/croix18-windy-hill-a7/blob/main/a7/packages/A7%20Unit%204%20-%20Solving%20Problems%20with%20Rational%20Numbers/PDFs/Lesson%20Plans/A7%204.01%20%20Lesson%20Plan.pdf" TargetMode="External"/><Relationship Id="rId126" Type="http://schemas.openxmlformats.org/officeDocument/2006/relationships/hyperlink" Target="https://github.com/croix18/croix18-windy-hill-a7/blob/main/a7/packages/A7%20Unit%204%20-%20Solving%20Problems%20with%20Rational%20Numbers/PDFs/Question%20Banks/A7%204.01%20%20Question%20Bank.pdf" TargetMode="External"/><Relationship Id="rId127" Type="http://schemas.openxmlformats.org/officeDocument/2006/relationships/hyperlink" Target="https://github.com/croix18/croix18-windy-hill-a7/blob/main/a7/packages/A7%20Unit%204%20-%20Solving%20Problems%20with%20Rational%20Numbers/PDFs/Answer%20Keys/A7%204.01%20%20Question%20Bank%20Key.pdf" TargetMode="External"/><Relationship Id="rId128" Type="http://schemas.openxmlformats.org/officeDocument/2006/relationships/hyperlink" Target="https://github.com/croix18/croix18-windy-hill-a7/blob/main/a7/packages/A7%20Unit%204%20-%20Solving%20Problems%20with%20Rational%20Numbers/PDFs/Question%20Banks/A7%204.01%20%20Question%20Bank%20-%20Additional.pdf" TargetMode="External"/><Relationship Id="rId129" Type="http://schemas.openxmlformats.org/officeDocument/2006/relationships/hyperlink" Target="https://github.com/croix18/croix18-windy-hill-a7/blob/main/a7/packages/A7%20Unit%204%20-%20Solving%20Problems%20with%20Rational%20Numbers/PDFs/Answer%20Keys/A7%204.01%20%20Question%20Bank%20-%20Additional%20Key.pdf" TargetMode="External"/><Relationship Id="rId130" Type="http://schemas.openxmlformats.org/officeDocument/2006/relationships/hyperlink" Target="https://github.com/croix18/croix18-windy-hill-a7/blob/main/a7/packages/A7%20Unit%204%20-%20Solving%20Problems%20with%20Rational%20Numbers/PDFs/Independent%20Sets/A7%204.01%20%20Independent%20Set.pdf" TargetMode="External"/><Relationship Id="rId131" Type="http://schemas.openxmlformats.org/officeDocument/2006/relationships/hyperlink" Target="https://github.com/croix18/croix18-windy-hill-a7/blob/main/a7/packages/A7%20Unit%204%20-%20Solving%20Problems%20with%20Rational%20Numbers/PDFs/Answer%20Keys/A7%204.01%20%20Independent%20Set%20Key.pdf" TargetMode="External"/><Relationship Id="rId132" Type="http://schemas.openxmlformats.org/officeDocument/2006/relationships/hyperlink" Target="https://github.com/croix18/croix18-windy-hill-a7/tree/main/a7/packages/A7%20Unit%204%20-%20Solving%20Problems%20with%20Rational%20Numbers" TargetMode="External"/><Relationship Id="rId133" Type="http://schemas.openxmlformats.org/officeDocument/2006/relationships/hyperlink" Target="https://github.com/croix18/croix18-windy-hill-a7/blob/main/a7/packages/A7%20Unit%204%20-%20Solving%20Problems%20with%20Rational%20Numbers/PDFs/Slides/A7%204.02%20%20Slides.pdf" TargetMode="External"/><Relationship Id="rId134" Type="http://schemas.openxmlformats.org/officeDocument/2006/relationships/hyperlink" Target="https://github.com/croix18/croix18-windy-hill-a7/blob/main/a7/packages/A7%20Unit%204%20-%20Solving%20Problems%20with%20Rational%20Numbers/Slides/A7%204.02%20%20Slides.pptx" TargetMode="External"/><Relationship Id="rId135" Type="http://schemas.openxmlformats.org/officeDocument/2006/relationships/hyperlink" Target="https://github.com/croix18/croix18-windy-hill-a7/blob/main/a7/packages/A7%20Unit%204%20-%20Solving%20Problems%20with%20Rational%20Numbers/PDFs/Teacher%20Editions/A7%204.02%20%20Teacher%20Edition.pdf" TargetMode="External"/><Relationship Id="rId136" Type="http://schemas.openxmlformats.org/officeDocument/2006/relationships/hyperlink" Target="https://github.com/croix18/croix18-windy-hill-a7/blob/main/a7/packages/A7%20Unit%204%20-%20Solving%20Problems%20with%20Rational%20Numbers/PDFs/Lesson%20Plans/A7%204.02%20%20Lesson%20Plan.pdf" TargetMode="External"/><Relationship Id="rId137" Type="http://schemas.openxmlformats.org/officeDocument/2006/relationships/hyperlink" Target="https://github.com/croix18/croix18-windy-hill-a7/blob/main/a7/packages/A7%20Unit%204%20-%20Solving%20Problems%20with%20Rational%20Numbers/PDFs/Question%20Banks/A7%204.02%20%20Question%20Bank.pdf" TargetMode="External"/><Relationship Id="rId138" Type="http://schemas.openxmlformats.org/officeDocument/2006/relationships/hyperlink" Target="https://github.com/croix18/croix18-windy-hill-a7/blob/main/a7/packages/A7%20Unit%204%20-%20Solving%20Problems%20with%20Rational%20Numbers/PDFs/Answer%20Keys/A7%204.02%20%20Question%20Bank%20Key.pdf" TargetMode="External"/><Relationship Id="rId139" Type="http://schemas.openxmlformats.org/officeDocument/2006/relationships/hyperlink" Target="https://github.com/croix18/croix18-windy-hill-a7/blob/main/a7/packages/A7%20Unit%204%20-%20Solving%20Problems%20with%20Rational%20Numbers/PDFs/Question%20Banks/A7%204.02%20%20Question%20Bank%20-%20Additional.pdf" TargetMode="External"/><Relationship Id="rId140" Type="http://schemas.openxmlformats.org/officeDocument/2006/relationships/hyperlink" Target="https://github.com/croix18/croix18-windy-hill-a7/blob/main/a7/packages/A7%20Unit%204%20-%20Solving%20Problems%20with%20Rational%20Numbers/PDFs/Answer%20Keys/A7%204.02%20%20Question%20Bank%20-%20Additional%20Key.pdf" TargetMode="External"/><Relationship Id="rId141" Type="http://schemas.openxmlformats.org/officeDocument/2006/relationships/hyperlink" Target="https://github.com/croix18/croix18-windy-hill-a7/blob/main/a7/packages/A7%20Unit%204%20-%20Solving%20Problems%20with%20Rational%20Numbers/PDFs/Independent%20Sets/A7%204.02%20%20Independent%20Set.pdf" TargetMode="External"/><Relationship Id="rId142" Type="http://schemas.openxmlformats.org/officeDocument/2006/relationships/hyperlink" Target="https://github.com/croix18/croix18-windy-hill-a7/blob/main/a7/packages/A7%20Unit%204%20-%20Solving%20Problems%20with%20Rational%20Numbers/PDFs/Answer%20Keys/A7%204.02%20%20Independent%20Set%20Key.pdf" TargetMode="External"/><Relationship Id="rId143" Type="http://schemas.openxmlformats.org/officeDocument/2006/relationships/hyperlink" Target="https://github.com/croix18/croix18-windy-hill-a7/tree/main/a7/packages/A7%20Unit%204%20-%20Solving%20Problems%20with%20Rational%20Numbers" TargetMode="External"/><Relationship Id="rId144" Type="http://schemas.openxmlformats.org/officeDocument/2006/relationships/hyperlink" Target="https://github.com/croix18/croix18-windy-hill-a7/blob/main/a7/packages/A7%20Unit%204%20-%20Solving%20Problems%20with%20Rational%20Numbers/PDFs/Slides/A7%204.04%20%20Slides.pdf" TargetMode="External"/><Relationship Id="rId145" Type="http://schemas.openxmlformats.org/officeDocument/2006/relationships/hyperlink" Target="https://github.com/croix18/croix18-windy-hill-a7/blob/main/a7/packages/A7%20Unit%204%20-%20Solving%20Problems%20with%20Rational%20Numbers/Slides/A7%204.04%20%20Slides.pptx" TargetMode="External"/><Relationship Id="rId146" Type="http://schemas.openxmlformats.org/officeDocument/2006/relationships/hyperlink" Target="https://github.com/croix18/croix18-windy-hill-a7/blob/main/a7/packages/A7%20Unit%204%20-%20Solving%20Problems%20with%20Rational%20Numbers/PDFs/Teacher%20Editions/A7%204.04%20%20Teacher%20Edition.pdf" TargetMode="External"/><Relationship Id="rId147" Type="http://schemas.openxmlformats.org/officeDocument/2006/relationships/hyperlink" Target="https://github.com/croix18/croix18-windy-hill-a7/blob/main/a7/packages/A7%20Unit%204%20-%20Solving%20Problems%20with%20Rational%20Numbers/PDFs/Lesson%20Plans/A7%204.04%20%20Lesson%20Plan.pdf" TargetMode="External"/><Relationship Id="rId148" Type="http://schemas.openxmlformats.org/officeDocument/2006/relationships/hyperlink" Target="https://github.com/croix18/croix18-windy-hill-a7/blob/main/a7/packages/A7%20Unit%204%20-%20Solving%20Problems%20with%20Rational%20Numbers/PDFs/Question%20Banks/A7%204.04%20%20Question%20Bank.pdf" TargetMode="External"/><Relationship Id="rId149" Type="http://schemas.openxmlformats.org/officeDocument/2006/relationships/hyperlink" Target="https://github.com/croix18/croix18-windy-hill-a7/blob/main/a7/packages/A7%20Unit%204%20-%20Solving%20Problems%20with%20Rational%20Numbers/PDFs/Answer%20Keys/A7%204.04%20%20Question%20Bank%20Key.pdf" TargetMode="External"/><Relationship Id="rId150" Type="http://schemas.openxmlformats.org/officeDocument/2006/relationships/hyperlink" Target="https://github.com/croix18/croix18-windy-hill-a7/blob/main/a7/packages/A7%20Unit%204%20-%20Solving%20Problems%20with%20Rational%20Numbers/PDFs/Question%20Banks/A7%204.04%20%20Question%20Bank%20-%20Additional.pdf" TargetMode="External"/><Relationship Id="rId151" Type="http://schemas.openxmlformats.org/officeDocument/2006/relationships/hyperlink" Target="https://github.com/croix18/croix18-windy-hill-a7/blob/main/a7/packages/A7%20Unit%204%20-%20Solving%20Problems%20with%20Rational%20Numbers/PDFs/Answer%20Keys/A7%204.04%20%20Question%20Bank%20-%20Additional%20Key.pdf" TargetMode="External"/><Relationship Id="rId152" Type="http://schemas.openxmlformats.org/officeDocument/2006/relationships/hyperlink" Target="https://github.com/croix18/croix18-windy-hill-a7/blob/main/a7/packages/A7%20Unit%204%20-%20Solving%20Problems%20with%20Rational%20Numbers/PDFs/Independent%20Sets/A7%204.04%20%20Independent%20Set.pdf" TargetMode="External"/><Relationship Id="rId153" Type="http://schemas.openxmlformats.org/officeDocument/2006/relationships/hyperlink" Target="https://github.com/croix18/croix18-windy-hill-a7/blob/main/a7/packages/A7%20Unit%204%20-%20Solving%20Problems%20with%20Rational%20Numbers/PDFs/Answer%20Keys/A7%204.04%20%20Independent%20Set%20Key.pdf" TargetMode="External"/><Relationship Id="rId154" Type="http://schemas.openxmlformats.org/officeDocument/2006/relationships/hyperlink" Target="https://github.com/croix18/croix18-windy-hill-a7/tree/main/a7/packages/A7%20Unit%204%20-%20Solving%20Problems%20with%20Rational%20Numbers" TargetMode="External"/><Relationship Id="rId155" Type="http://schemas.openxmlformats.org/officeDocument/2006/relationships/hyperlink" Target="https://github.com/croix18/croix18-windy-hill-a7/blob/main/a7/packages/A7%20Unit%204%20-%20Solving%20Problems%20with%20Rational%20Numbers/PDFs/Slides/A7%204.05%20%20Slides.pdf" TargetMode="External"/><Relationship Id="rId156" Type="http://schemas.openxmlformats.org/officeDocument/2006/relationships/hyperlink" Target="https://github.com/croix18/croix18-windy-hill-a7/blob/main/a7/packages/A7%20Unit%204%20-%20Solving%20Problems%20with%20Rational%20Numbers/Slides/A7%204.05%20%20Slides.pptx" TargetMode="External"/><Relationship Id="rId157" Type="http://schemas.openxmlformats.org/officeDocument/2006/relationships/hyperlink" Target="https://github.com/croix18/croix18-windy-hill-a7/blob/main/a7/packages/A7%20Unit%204%20-%20Solving%20Problems%20with%20Rational%20Numbers/PDFs/Teacher%20Editions/A7%204.05%20%20Teacher%20Edition.pdf" TargetMode="External"/><Relationship Id="rId158" Type="http://schemas.openxmlformats.org/officeDocument/2006/relationships/hyperlink" Target="https://github.com/croix18/croix18-windy-hill-a7/blob/main/a7/packages/A7%20Unit%204%20-%20Solving%20Problems%20with%20Rational%20Numbers/PDFs/Lesson%20Plans/A7%204.05%20%20Lesson%20Plan.pdf" TargetMode="External"/><Relationship Id="rId159" Type="http://schemas.openxmlformats.org/officeDocument/2006/relationships/hyperlink" Target="https://github.com/croix18/croix18-windy-hill-a7/blob/main/a7/packages/A7%20Unit%204%20-%20Solving%20Problems%20with%20Rational%20Numbers/PDFs/Question%20Banks/A7%204.05%20%20Question%20Bank.pdf" TargetMode="External"/><Relationship Id="rId160" Type="http://schemas.openxmlformats.org/officeDocument/2006/relationships/hyperlink" Target="https://github.com/croix18/croix18-windy-hill-a7/blob/main/a7/packages/A7%20Unit%204%20-%20Solving%20Problems%20with%20Rational%20Numbers/PDFs/Answer%20Keys/A7%204.05%20%20Question%20Bank%20Key.pdf" TargetMode="External"/><Relationship Id="rId161" Type="http://schemas.openxmlformats.org/officeDocument/2006/relationships/hyperlink" Target="https://github.com/croix18/croix18-windy-hill-a7/blob/main/a7/packages/A7%20Unit%204%20-%20Solving%20Problems%20with%20Rational%20Numbers/PDFs/Question%20Banks/A7%204.05%20%20Question%20Bank%20-%20Additional.pdf" TargetMode="External"/><Relationship Id="rId162" Type="http://schemas.openxmlformats.org/officeDocument/2006/relationships/hyperlink" Target="https://github.com/croix18/croix18-windy-hill-a7/blob/main/a7/packages/A7%20Unit%204%20-%20Solving%20Problems%20with%20Rational%20Numbers/PDFs/Answer%20Keys/A7%204.05%20%20Question%20Bank%20-%20Additional%20Key.pdf" TargetMode="External"/><Relationship Id="rId163" Type="http://schemas.openxmlformats.org/officeDocument/2006/relationships/hyperlink" Target="https://github.com/croix18/croix18-windy-hill-a7/blob/main/a7/packages/A7%20Unit%204%20-%20Solving%20Problems%20with%20Rational%20Numbers/PDFs/Independent%20Sets/A7%204.05%20%20Independent%20Set.pdf" TargetMode="External"/><Relationship Id="rId164" Type="http://schemas.openxmlformats.org/officeDocument/2006/relationships/hyperlink" Target="https://github.com/croix18/croix18-windy-hill-a7/blob/main/a7/packages/A7%20Unit%204%20-%20Solving%20Problems%20with%20Rational%20Numbers/PDFs/Answer%20Keys/A7%204.05%20%20Independent%20Set%20Key.pdf" TargetMode="External"/><Relationship Id="rId165" Type="http://schemas.openxmlformats.org/officeDocument/2006/relationships/hyperlink" Target="https://github.com/croix18/croix18-windy-hill-a7/tree/main/a7/packages/A7%20Unit%204%20-%20Solving%20Problems%20with%20Rational%20Numbers" TargetMode="External"/><Relationship Id="rId166" Type="http://schemas.openxmlformats.org/officeDocument/2006/relationships/hyperlink" Target="https://github.com/croix18/croix18-windy-hill-a7/blob/main/a7/packages/A7%20Unit%204%20-%20Solving%20Problems%20with%20Rational%20Numbers/PDFs/Slides/A7%204.06%20%20Slides.pdf" TargetMode="External"/><Relationship Id="rId167" Type="http://schemas.openxmlformats.org/officeDocument/2006/relationships/hyperlink" Target="https://github.com/croix18/croix18-windy-hill-a7/blob/main/a7/packages/A7%20Unit%204%20-%20Solving%20Problems%20with%20Rational%20Numbers/Slides/A7%204.06%20%20Slides.pptx" TargetMode="External"/><Relationship Id="rId168" Type="http://schemas.openxmlformats.org/officeDocument/2006/relationships/hyperlink" Target="https://github.com/croix18/croix18-windy-hill-a7/blob/main/a7/packages/A7%20Unit%204%20-%20Solving%20Problems%20with%20Rational%20Numbers/PDFs/Teacher%20Editions/A7%204.06%20%20Teacher%20Edition.pdf" TargetMode="External"/><Relationship Id="rId169" Type="http://schemas.openxmlformats.org/officeDocument/2006/relationships/hyperlink" Target="https://github.com/croix18/croix18-windy-hill-a7/blob/main/a7/packages/A7%20Unit%204%20-%20Solving%20Problems%20with%20Rational%20Numbers/PDFs/Lesson%20Plans/A7%204.06%20%20Lesson%20Plan.pdf" TargetMode="External"/><Relationship Id="rId170" Type="http://schemas.openxmlformats.org/officeDocument/2006/relationships/hyperlink" Target="https://github.com/croix18/croix18-windy-hill-a7/blob/main/a7/packages/A7%20Unit%204%20-%20Solving%20Problems%20with%20Rational%20Numbers/PDFs/Question%20Banks/A7%204.06%20%20Question%20Bank.pdf" TargetMode="External"/><Relationship Id="rId171" Type="http://schemas.openxmlformats.org/officeDocument/2006/relationships/hyperlink" Target="https://github.com/croix18/croix18-windy-hill-a7/blob/main/a7/packages/A7%20Unit%204%20-%20Solving%20Problems%20with%20Rational%20Numbers/PDFs/Answer%20Keys/A7%204.06%20%20Question%20Bank%20Key.pdf" TargetMode="External"/><Relationship Id="rId172" Type="http://schemas.openxmlformats.org/officeDocument/2006/relationships/hyperlink" Target="https://github.com/croix18/croix18-windy-hill-a7/blob/main/a7/packages/A7%20Unit%204%20-%20Solving%20Problems%20with%20Rational%20Numbers/PDFs/Question%20Banks/A7%204.06%20%20Question%20Bank%20-%20Additional.pdf" TargetMode="External"/><Relationship Id="rId173" Type="http://schemas.openxmlformats.org/officeDocument/2006/relationships/hyperlink" Target="https://github.com/croix18/croix18-windy-hill-a7/blob/main/a7/packages/A7%20Unit%204%20-%20Solving%20Problems%20with%20Rational%20Numbers/PDFs/Answer%20Keys/A7%204.06%20%20Question%20Bank%20-%20Additional%20Key.pdf" TargetMode="External"/><Relationship Id="rId174" Type="http://schemas.openxmlformats.org/officeDocument/2006/relationships/hyperlink" Target="https://github.com/croix18/croix18-windy-hill-a7/blob/main/a7/packages/A7%20Unit%204%20-%20Solving%20Problems%20with%20Rational%20Numbers/PDFs/Independent%20Sets/A7%204.06%20%20Independent%20Set.pdf" TargetMode="External"/><Relationship Id="rId175" Type="http://schemas.openxmlformats.org/officeDocument/2006/relationships/hyperlink" Target="https://github.com/croix18/croix18-windy-hill-a7/blob/main/a7/packages/A7%20Unit%204%20-%20Solving%20Problems%20with%20Rational%20Numbers/PDFs/Answer%20Keys/A7%204.06%20%20Independent%20Set%20Key.pdf" TargetMode="External"/><Relationship Id="rId176" Type="http://schemas.openxmlformats.org/officeDocument/2006/relationships/hyperlink" Target="https://github.com/croix18/croix18-windy-hill-a7/tree/main/a7/packages/A7%20Unit%204%20-%20Solving%20Problems%20with%20Rational%20Numbers" TargetMode="External"/><Relationship Id="rId177" Type="http://schemas.openxmlformats.org/officeDocument/2006/relationships/hyperlink" Target="https://github.com/croix18/croix18-windy-hill-a7/blob/main/a7/packages/A7%20Unit%204%20-%20Solving%20Problems%20with%20Rational%20Numbers/PDFs/Slides/A7%204.07%20%20Slides.pdf" TargetMode="External"/><Relationship Id="rId178" Type="http://schemas.openxmlformats.org/officeDocument/2006/relationships/hyperlink" Target="https://github.com/croix18/croix18-windy-hill-a7/blob/main/a7/packages/A7%20Unit%204%20-%20Solving%20Problems%20with%20Rational%20Numbers/Slides/A7%204.07%20%20Slides.pptx" TargetMode="External"/><Relationship Id="rId179" Type="http://schemas.openxmlformats.org/officeDocument/2006/relationships/hyperlink" Target="https://github.com/croix18/croix18-windy-hill-a7/blob/main/a7/packages/A7%20Unit%204%20-%20Solving%20Problems%20with%20Rational%20Numbers/PDFs/Teacher%20Editions/A7%204.07%20%20Teacher%20Edition.pdf" TargetMode="External"/><Relationship Id="rId180" Type="http://schemas.openxmlformats.org/officeDocument/2006/relationships/hyperlink" Target="https://github.com/croix18/croix18-windy-hill-a7/blob/main/a7/packages/A7%20Unit%204%20-%20Solving%20Problems%20with%20Rational%20Numbers/PDFs/Lesson%20Plans/A7%204.07%20%20Lesson%20Plan.pdf" TargetMode="External"/><Relationship Id="rId181" Type="http://schemas.openxmlformats.org/officeDocument/2006/relationships/hyperlink" Target="https://github.com/croix18/croix18-windy-hill-a7/blob/main/a7/packages/A7%20Unit%204%20-%20Solving%20Problems%20with%20Rational%20Numbers/PDFs/Question%20Banks/A7%204.07%20%20Question%20Bank.pdf" TargetMode="External"/><Relationship Id="rId182" Type="http://schemas.openxmlformats.org/officeDocument/2006/relationships/hyperlink" Target="https://github.com/croix18/croix18-windy-hill-a7/blob/main/a7/packages/A7%20Unit%204%20-%20Solving%20Problems%20with%20Rational%20Numbers/PDFs/Answer%20Keys/A7%204.07%20%20Question%20Bank%20Key.pdf" TargetMode="External"/><Relationship Id="rId183" Type="http://schemas.openxmlformats.org/officeDocument/2006/relationships/hyperlink" Target="https://github.com/croix18/croix18-windy-hill-a7/blob/main/a7/packages/A7%20Unit%204%20-%20Solving%20Problems%20with%20Rational%20Numbers/PDFs/Question%20Banks/A7%204.07%20%20Question%20Bank%20-%20Additional.pdf" TargetMode="External"/><Relationship Id="rId184" Type="http://schemas.openxmlformats.org/officeDocument/2006/relationships/hyperlink" Target="https://github.com/croix18/croix18-windy-hill-a7/blob/main/a7/packages/A7%20Unit%204%20-%20Solving%20Problems%20with%20Rational%20Numbers/PDFs/Answer%20Keys/A7%204.07%20%20Question%20Bank%20-%20Additional%20Key.pdf" TargetMode="External"/><Relationship Id="rId185" Type="http://schemas.openxmlformats.org/officeDocument/2006/relationships/hyperlink" Target="https://github.com/croix18/croix18-windy-hill-a7/blob/main/a7/packages/A7%20Unit%204%20-%20Solving%20Problems%20with%20Rational%20Numbers/PDFs/Independent%20Sets/A7%204.07%20%20Independent%20Set.pdf" TargetMode="External"/><Relationship Id="rId186" Type="http://schemas.openxmlformats.org/officeDocument/2006/relationships/hyperlink" Target="https://github.com/croix18/croix18-windy-hill-a7/blob/main/a7/packages/A7%20Unit%204%20-%20Solving%20Problems%20with%20Rational%20Numbers/PDFs/Answer%20Keys/A7%204.07%20%20Independent%20Set%20Key.pdf" TargetMode="External"/><Relationship Id="rId187" Type="http://schemas.openxmlformats.org/officeDocument/2006/relationships/hyperlink" Target="https://github.com/croix18/croix18-windy-hill-a7/tree/main/a7/packages/A7%20Unit%204%20-%20Solving%20Problems%20with%20Rational%20Numbers" TargetMode="External"/><Relationship Id="rId188" Type="http://schemas.openxmlformats.org/officeDocument/2006/relationships/hyperlink" Target="https://github.com/croix18/croix18-windy-hill-a7/blob/main/a7/packages/A7%20Unit%204%20-%20Solving%20Problems%20with%20Rational%20Numbers/PDFs/Assessments/A7%204%20%20Unit%20Assessment.pdf" TargetMode="External"/><Relationship Id="rId189"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0" Type="http://schemas.openxmlformats.org/officeDocument/2006/relationships/hyperlink" Target="https://github.com/croix18/croix18-windy-hill-a7/tree/main/a7/packages/A7%20Unit%204%20-%20Solving%20Problems%20with%20Rational%20Numbers" TargetMode="External"/><Relationship Id="rId191" Type="http://schemas.openxmlformats.org/officeDocument/2006/relationships/hyperlink" Target="https://github.com/croix18/croix18-windy-hill-a7/blob/main/a7/packages/A7%20Unit%204%20-%20Solving%20Problems%20with%20Rational%20Numbers/PDFs/Assessments/A7%204%20%20Unit%20Assessment.pdf" TargetMode="External"/><Relationship Id="rId192"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3" Type="http://schemas.openxmlformats.org/officeDocument/2006/relationships/hyperlink" Target="https://github.com/croix18/croix18-windy-hill-a7/tree/main/a7/packages/A7%20Unit%204%20-%20Solving%20Problems%20with%20Rational%20Numbers" TargetMode="External"/><Relationship Id="rId194" Type="http://schemas.openxmlformats.org/officeDocument/2006/relationships/hyperlink" Target="https://github.com/croix18/croix18-windy-hill-a7/tree/main/a7/packages/A7%20Unit%204%20-%20Solving%20Problems%20with%20Rational%20Numbers" TargetMode="External"/><Relationship Id="rId195" Type="http://schemas.openxmlformats.org/officeDocument/2006/relationships/drawing" Target="../drawings/drawing1.xml"/><Relationship Id="rId19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Assessments/A7%201%20%20Unit%20Assessment.pdf" TargetMode="External"/><Relationship Id="rId2" Type="http://schemas.openxmlformats.org/officeDocument/2006/relationships/hyperlink" Target="https://github.com/croix18/croix18-windy-hill-a7/blob/main/a7/packages/A7%20Unit%201%20-%20Equations%20and%20Inequalities/PDFs/Answer%20Keys/A7%201%20%20Unit%20Assessment%20Key.pdf" TargetMode="External"/><Relationship Id="rId3" Type="http://schemas.openxmlformats.org/officeDocument/2006/relationships/hyperlink" Target="https://github.com/croix18/croix18-windy-hill-a7/blob/main/a7/packages/A7%20Unit%201%20-%20Equations%20and%20Inequalities/PDFs/Assessments/A7%201%20%20Unit%20Review.pdf" TargetMode="External"/><Relationship Id="rId4" Type="http://schemas.openxmlformats.org/officeDocument/2006/relationships/hyperlink" Target="https://github.com/croix18/croix18-windy-hill-a7/blob/main/a7/packages/A7%20Unit%201%20-%20Equations%20and%20Inequalities/PDFs/Answer%20Keys/A7%201%20%20Unit%20Review%20Key.pdf" TargetMode="External"/><Relationship Id="rId5" Type="http://schemas.openxmlformats.org/officeDocument/2006/relationships/hyperlink" Target="https://github.com/croix18/croix18-windy-hill-a7/blob/main/a7/packages/A7%20Unit%201%20-%20Equations%20and%20Inequalities/PDFs/Handouts/A7%201%20%20Reference%20Sheet.pdf" TargetMode="External"/><Relationship Id="rId6"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7"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8" Type="http://schemas.openxmlformats.org/officeDocument/2006/relationships/hyperlink" Target="https://github.com/croix18/croix18-windy-hill-a7/blob/main/a7/packages/A7%20Unit%202%20-%20Real%20Numbers%2C%20Square%20Roots%20and%20Cube%20Roots/PDFs/Assessments/A7%202%20%20Unit%20Review.pdf" TargetMode="External"/><Relationship Id="rId9"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0" Type="http://schemas.openxmlformats.org/officeDocument/2006/relationships/hyperlink" Target="https://github.com/croix18/croix18-windy-hill-a7/blob/main/a7/packages/A7%20Unit%202%20-%20Real%20Numbers%2C%20Square%20Roots%20and%20Cube%20Roots/PDFs/Handouts/A7%202%20%20Reference%20Sheet.pdf" TargetMode="External"/><Relationship Id="rId11" Type="http://schemas.openxmlformats.org/officeDocument/2006/relationships/hyperlink" Target="https://github.com/croix18/croix18-windy-hill-a7/blob/main/a7/packages/A7%20Unit%203%20-%20Exponents%20and%20Scientific%20Notation/PDFs/Assessments/A7%203%20%20Unit%20Assessment.pdf" TargetMode="External"/><Relationship Id="rId12" Type="http://schemas.openxmlformats.org/officeDocument/2006/relationships/hyperlink" Target="https://github.com/croix18/croix18-windy-hill-a7/blob/main/a7/packages/A7%20Unit%203%20-%20Exponents%20and%20Scientific%20Notation/PDFs/Answer%20Keys/A7%203%20%20Unit%20Assessment%20Key.pdf" TargetMode="External"/><Relationship Id="rId13" Type="http://schemas.openxmlformats.org/officeDocument/2006/relationships/hyperlink" Target="https://github.com/croix18/croix18-windy-hill-a7/blob/main/a7/packages/A7%20Unit%203%20-%20Exponents%20and%20Scientific%20Notation/PDFs/Assessments/A7%203%20%20Unit%20Review.pdf" TargetMode="External"/><Relationship Id="rId14" Type="http://schemas.openxmlformats.org/officeDocument/2006/relationships/hyperlink" Target="https://github.com/croix18/croix18-windy-hill-a7/blob/main/a7/packages/A7%20Unit%203%20-%20Exponents%20and%20Scientific%20Notation/PDFs/Answer%20Keys/A7%203%20%20Unit%20Review%20Key.pdf" TargetMode="External"/><Relationship Id="rId15" Type="http://schemas.openxmlformats.org/officeDocument/2006/relationships/hyperlink" Target="https://github.com/croix18/croix18-windy-hill-a7/blob/main/a7/packages/A7%20Unit%203%20-%20Exponents%20and%20Scientific%20Notation/PDFs/Handouts/A7%203%20%20Reference%20Sheet.pdf" TargetMode="External"/><Relationship Id="rId16" Type="http://schemas.openxmlformats.org/officeDocument/2006/relationships/hyperlink" Target="https://github.com/croix18/croix18-windy-hill-a7/blob/main/a7/packages/A7%20Unit%204%20-%20Solving%20Problems%20with%20Rational%20Numbers/PDFs/Assessments/A7%204%20%20Unit%20Assessment.pdf" TargetMode="External"/><Relationship Id="rId17"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8" Type="http://schemas.openxmlformats.org/officeDocument/2006/relationships/hyperlink" Target="https://github.com/croix18/croix18-windy-hill-a7/blob/main/a7/packages/A7%20Unit%204%20-%20Solving%20Problems%20with%20Rational%20Numbers/PDFs/Assessments/A7%204%20%20Unit%20Review.pdf" TargetMode="External"/><Relationship Id="rId19" Type="http://schemas.openxmlformats.org/officeDocument/2006/relationships/hyperlink" Target="https://github.com/croix18/croix18-windy-hill-a7/blob/main/a7/packages/A7%20Unit%204%20-%20Solving%20Problems%20with%20Rational%20Numbers/PDFs/Answer%20Keys/A7%204%20%20Unit%20Review%20Key.pdf" TargetMode="External"/><Relationship Id="rId20" Type="http://schemas.openxmlformats.org/officeDocument/2006/relationships/hyperlink" Target="https://github.com/croix18/croix18-windy-hill-a7/blob/main/a7/packages/A7%20Unit%204%20-%20Solving%20Problems%20with%20Rational%20Numbers/PDFs/Handouts/A7%204%20%20Reference%20Sheet.pdf"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hyperlink" Target="https://github.com/croix18/croix18-windy-hill-a7/tree/main/a7/packages/A7%20Unit%201%20-%20Equations%20and%20Inequalities" TargetMode="External"/><Relationship Id="rId2" Type="http://schemas.openxmlformats.org/officeDocument/2006/relationships/hyperlink" Target="https://github.com/croix18/croix18-windy-hill-a7/blob/main/a7/packages/A7%20Unit%201%20-%20Equations%20and%20Inequalities/00%20-%20START%20HERE.md" TargetMode="External"/><Relationship Id="rId3" Type="http://schemas.openxmlformats.org/officeDocument/2006/relationships/hyperlink" Target="https://github.com/croix18/croix18-windy-hill-a7/blob/main/a7/packages/A7%20Unit%201%20-%20Equations%20and%20Inequalities/PDFs/Handouts/A7%201%20%20Reference%20Sheet.pdf" TargetMode="External"/><Relationship Id="rId4" Type="http://schemas.openxmlformats.org/officeDocument/2006/relationships/hyperlink" Target="https://github.com/croix18/croix18-windy-hill-a7/blob/main/a7/packages/A7%20Unit%201%20-%20Equations%20and%20Inequalities/PDFs/Assessments/A7%201%20%20Unit%20Review.pdf" TargetMode="External"/><Relationship Id="rId5" Type="http://schemas.openxmlformats.org/officeDocument/2006/relationships/hyperlink" Target="https://github.com/croix18/croix18-windy-hill-a7/blob/main/a7/packages/A7%20Unit%201%20-%20Equations%20and%20Inequalities/PDFs/Answer%20Keys/A7%201%20%20Unit%20Review%20Key.pdf" TargetMode="External"/><Relationship Id="rId6" Type="http://schemas.openxmlformats.org/officeDocument/2006/relationships/hyperlink" Target="https://github.com/croix18/croix18-windy-hill-a7/blob/main/a7/packages/A7%20Unit%201%20-%20Equations%20and%20Inequalities/PDFs/Assessments/A7%201%20%20Unit%20Assessment.pdf" TargetMode="External"/><Relationship Id="rId7" Type="http://schemas.openxmlformats.org/officeDocument/2006/relationships/hyperlink" Target="https://github.com/croix18/croix18-windy-hill-a7/blob/main/a7/packages/A7%20Unit%201%20-%20Equations%20and%20Inequalities/PDFs/Answer%20Keys/A7%201%20%20Unit%20Assessment%20Key.pdf" TargetMode="External"/><Relationship Id="rId8" Type="http://schemas.openxmlformats.org/officeDocument/2006/relationships/hyperlink" Target="https://github.com/croix18/croix18-windy-hill-a7/tree/main/a7/packages/A7%20Unit%201%20-%20Equations%20and%20Inequalities/PDFs/Slides" TargetMode="External"/><Relationship Id="rId9" Type="http://schemas.openxmlformats.org/officeDocument/2006/relationships/hyperlink" Target="https://github.com/croix18/croix18-windy-hill-a7/tree/main/a7/packages/A7%20Unit%202%20-%20Real%20Numbers%2C%20Square%20Roots%20and%20Cube%20Roots" TargetMode="External"/><Relationship Id="rId10" Type="http://schemas.openxmlformats.org/officeDocument/2006/relationships/hyperlink" Target="https://github.com/croix18/croix18-windy-hill-a7/blob/main/a7/packages/A7%20Unit%202%20-%20Real%20Numbers%2C%20Square%20Roots%20and%20Cube%20Roots/00%20-%20START%20HERE.md" TargetMode="External"/><Relationship Id="rId11" Type="http://schemas.openxmlformats.org/officeDocument/2006/relationships/hyperlink" Target="https://github.com/croix18/croix18-windy-hill-a7/blob/main/a7/packages/A7%20Unit%202%20-%20Real%20Numbers%2C%20Square%20Roots%20and%20Cube%20Roots/PDFs/Handouts/A7%202%20%20Reference%20Sheet.pdf" TargetMode="External"/><Relationship Id="rId12" Type="http://schemas.openxmlformats.org/officeDocument/2006/relationships/hyperlink" Target="https://github.com/croix18/croix18-windy-hill-a7/blob/main/a7/packages/A7%20Unit%202%20-%20Real%20Numbers%2C%20Square%20Roots%20and%20Cube%20Roots/PDFs/Assessments/A7%202%20%20Unit%20Review.pdf" TargetMode="External"/><Relationship Id="rId13"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4"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15"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16" Type="http://schemas.openxmlformats.org/officeDocument/2006/relationships/hyperlink" Target="https://github.com/croix18/croix18-windy-hill-a7/tree/main/a7/packages/A7%20Unit%202%20-%20Real%20Numbers%2C%20Square%20Roots%20and%20Cube%20Roots/PDFs/Slides" TargetMode="External"/><Relationship Id="rId17" Type="http://schemas.openxmlformats.org/officeDocument/2006/relationships/hyperlink" Target="https://github.com/croix18/croix18-windy-hill-a7/tree/main/a7/packages/A7%20Unit%203%20-%20Exponents%20and%20Scientific%20Notation" TargetMode="External"/><Relationship Id="rId18" Type="http://schemas.openxmlformats.org/officeDocument/2006/relationships/hyperlink" Target="https://github.com/croix18/croix18-windy-hill-a7/blob/main/a7/packages/A7%20Unit%203%20-%20Exponents%20and%20Scientific%20Notation/00%20-%20START%20HERE.md" TargetMode="External"/><Relationship Id="rId19" Type="http://schemas.openxmlformats.org/officeDocument/2006/relationships/hyperlink" Target="https://github.com/croix18/croix18-windy-hill-a7/blob/main/a7/packages/A7%20Unit%203%20-%20Exponents%20and%20Scientific%20Notation/PDFs/Handouts/A7%203%20%20Reference%20Sheet.pdf" TargetMode="External"/><Relationship Id="rId20" Type="http://schemas.openxmlformats.org/officeDocument/2006/relationships/hyperlink" Target="https://github.com/croix18/croix18-windy-hill-a7/blob/main/a7/packages/A7%20Unit%203%20-%20Exponents%20and%20Scientific%20Notation/PDFs/Assessments/A7%203%20%20Unit%20Review.pdf" TargetMode="External"/><Relationship Id="rId21" Type="http://schemas.openxmlformats.org/officeDocument/2006/relationships/hyperlink" Target="https://github.com/croix18/croix18-windy-hill-a7/blob/main/a7/packages/A7%20Unit%203%20-%20Exponents%20and%20Scientific%20Notation/PDFs/Answer%20Keys/A7%203%20%20Unit%20Review%20Key.pdf" TargetMode="External"/><Relationship Id="rId22" Type="http://schemas.openxmlformats.org/officeDocument/2006/relationships/hyperlink" Target="https://github.com/croix18/croix18-windy-hill-a7/blob/main/a7/packages/A7%20Unit%203%20-%20Exponents%20and%20Scientific%20Notation/PDFs/Assessments/A7%203%20%20Unit%20Assessment.pdf" TargetMode="External"/><Relationship Id="rId23" Type="http://schemas.openxmlformats.org/officeDocument/2006/relationships/hyperlink" Target="https://github.com/croix18/croix18-windy-hill-a7/blob/main/a7/packages/A7%20Unit%203%20-%20Exponents%20and%20Scientific%20Notation/PDFs/Answer%20Keys/A7%203%20%20Unit%20Assessment%20Key.pdf" TargetMode="External"/><Relationship Id="rId24" Type="http://schemas.openxmlformats.org/officeDocument/2006/relationships/hyperlink" Target="https://github.com/croix18/croix18-windy-hill-a7/tree/main/a7/packages/A7%20Unit%203%20-%20Exponents%20and%20Scientific%20Notation/PDFs/Slides" TargetMode="External"/><Relationship Id="rId25" Type="http://schemas.openxmlformats.org/officeDocument/2006/relationships/hyperlink" Target="https://github.com/croix18/croix18-windy-hill-a7/tree/main/a7/packages/A7%20Unit%204%20-%20Solving%20Problems%20with%20Rational%20Numbers" TargetMode="External"/><Relationship Id="rId26" Type="http://schemas.openxmlformats.org/officeDocument/2006/relationships/hyperlink" Target="https://github.com/croix18/croix18-windy-hill-a7/blob/main/a7/packages/A7%20Unit%204%20-%20Solving%20Problems%20with%20Rational%20Numbers/00%20-%20START%20HERE.md" TargetMode="External"/><Relationship Id="rId27" Type="http://schemas.openxmlformats.org/officeDocument/2006/relationships/hyperlink" Target="https://github.com/croix18/croix18-windy-hill-a7/blob/main/a7/packages/A7%20Unit%204%20-%20Solving%20Problems%20with%20Rational%20Numbers/PDFs/Handouts/A7%204%20%20Reference%20Sheet.pdf" TargetMode="External"/><Relationship Id="rId28" Type="http://schemas.openxmlformats.org/officeDocument/2006/relationships/hyperlink" Target="https://github.com/croix18/croix18-windy-hill-a7/blob/main/a7/packages/A7%20Unit%204%20-%20Solving%20Problems%20with%20Rational%20Numbers/PDFs/Assessments/A7%204%20%20Unit%20Review.pdf" TargetMode="External"/><Relationship Id="rId29" Type="http://schemas.openxmlformats.org/officeDocument/2006/relationships/hyperlink" Target="https://github.com/croix18/croix18-windy-hill-a7/blob/main/a7/packages/A7%20Unit%204%20-%20Solving%20Problems%20with%20Rational%20Numbers/PDFs/Answer%20Keys/A7%204%20%20Unit%20Review%20Key.pdf" TargetMode="External"/><Relationship Id="rId30" Type="http://schemas.openxmlformats.org/officeDocument/2006/relationships/hyperlink" Target="https://github.com/croix18/croix18-windy-hill-a7/blob/main/a7/packages/A7%20Unit%204%20-%20Solving%20Problems%20with%20Rational%20Numbers/PDFs/Assessments/A7%204%20%20Unit%20Assessment.pdf" TargetMode="External"/><Relationship Id="rId31"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32" Type="http://schemas.openxmlformats.org/officeDocument/2006/relationships/hyperlink" Target="https://github.com/croix18/croix18-windy-hill-a7/tree/main/a7/packages/A7%20Unit%204%20-%20Solving%20Problems%20with%20Rational%20Numbers/PDFs/Slide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Slides/A7%201.01%20%20Slides.pdf" TargetMode="External"/><Relationship Id="rId2" Type="http://schemas.openxmlformats.org/officeDocument/2006/relationships/hyperlink" Target="https://github.com/croix18/croix18-windy-hill-a7/blob/main/a7/packages/A7%20Unit%201%20-%20Equations%20and%20Inequalities/PDFs/Teacher%20Editions/A7%201.01%20%20Teacher%20Edition.pdf" TargetMode="External"/><Relationship Id="rId3" Type="http://schemas.openxmlformats.org/officeDocument/2006/relationships/hyperlink" Target="https://github.com/croix18/croix18-windy-hill-a7/blob/main/a7/packages/A7%20Unit%201%20-%20Equations%20and%20Inequalities/PDFs/Question%20Banks/A7%201.01%20%20Question%20Bank.pdf" TargetMode="External"/><Relationship Id="rId4" Type="http://schemas.openxmlformats.org/officeDocument/2006/relationships/hyperlink" Target="https://github.com/croix18/croix18-windy-hill-a7/blob/main/a7/packages/A7%20Unit%201%20-%20Equations%20and%20Inequalities/PDFs/Question%20Banks/A7%201.01%20%20Question%20Bank%20-%20Additional.pdf" TargetMode="External"/><Relationship Id="rId5" Type="http://schemas.openxmlformats.org/officeDocument/2006/relationships/hyperlink" Target="https://github.com/croix18/croix18-windy-hill-a7/tree/main/a7/packages/A7%20Unit%201%20-%20Equations%20and%20Inequalities/PDFs/Answer%20Keys" TargetMode="External"/><Relationship Id="rId6" Type="http://schemas.openxmlformats.org/officeDocument/2006/relationships/hyperlink" Target="https://github.com/croix18/croix18-windy-hill-a7/blob/main/a7/packages/A7%20Unit%201%20-%20Equations%20and%20Inequalities/PDFs/Slides/A7%201.02%20%20Slides.pdf" TargetMode="External"/><Relationship Id="rId7" Type="http://schemas.openxmlformats.org/officeDocument/2006/relationships/hyperlink" Target="https://github.com/croix18/croix18-windy-hill-a7/blob/main/a7/packages/A7%20Unit%201%20-%20Equations%20and%20Inequalities/PDFs/Teacher%20Editions/A7%201.02%20%20Teacher%20Edition.pdf" TargetMode="External"/><Relationship Id="rId8" Type="http://schemas.openxmlformats.org/officeDocument/2006/relationships/hyperlink" Target="https://github.com/croix18/croix18-windy-hill-a7/blob/main/a7/packages/A7%20Unit%201%20-%20Equations%20and%20Inequalities/PDFs/Question%20Banks/A7%201.02%20%20Question%20Bank.pdf" TargetMode="External"/><Relationship Id="rId9" Type="http://schemas.openxmlformats.org/officeDocument/2006/relationships/hyperlink" Target="https://github.com/croix18/croix18-windy-hill-a7/blob/main/a7/packages/A7%20Unit%201%20-%20Equations%20and%20Inequalities/PDFs/Question%20Banks/A7%201.02%20%20Question%20Bank%20-%20Additional.pdf" TargetMode="External"/><Relationship Id="rId10" Type="http://schemas.openxmlformats.org/officeDocument/2006/relationships/hyperlink" Target="https://github.com/croix18/croix18-windy-hill-a7/tree/main/a7/packages/A7%20Unit%201%20-%20Equations%20and%20Inequalities/PDFs/Answer%20Keys" TargetMode="External"/><Relationship Id="rId11" Type="http://schemas.openxmlformats.org/officeDocument/2006/relationships/hyperlink" Target="https://github.com/croix18/croix18-windy-hill-a7/blob/main/a7/packages/A7%20Unit%201%20-%20Equations%20and%20Inequalities/PDFs/Slides/A7%201.03%20%20Slides.pdf" TargetMode="External"/><Relationship Id="rId12" Type="http://schemas.openxmlformats.org/officeDocument/2006/relationships/hyperlink" Target="https://github.com/croix18/croix18-windy-hill-a7/blob/main/a7/packages/A7%20Unit%201%20-%20Equations%20and%20Inequalities/PDFs/Teacher%20Editions/A7%201.03%20%20Teacher%20Edition.pdf" TargetMode="External"/><Relationship Id="rId13" Type="http://schemas.openxmlformats.org/officeDocument/2006/relationships/hyperlink" Target="https://github.com/croix18/croix18-windy-hill-a7/blob/main/a7/packages/A7%20Unit%201%20-%20Equations%20and%20Inequalities/PDFs/Question%20Banks/A7%201.03%20%20Question%20Bank.pdf" TargetMode="External"/><Relationship Id="rId14" Type="http://schemas.openxmlformats.org/officeDocument/2006/relationships/hyperlink" Target="https://github.com/croix18/croix18-windy-hill-a7/blob/main/a7/packages/A7%20Unit%201%20-%20Equations%20and%20Inequalities/PDFs/Question%20Banks/A7%201.03%20%20Question%20Bank%20-%20Additional.pdf" TargetMode="External"/><Relationship Id="rId15" Type="http://schemas.openxmlformats.org/officeDocument/2006/relationships/hyperlink" Target="https://github.com/croix18/croix18-windy-hill-a7/tree/main/a7/packages/A7%20Unit%201%20-%20Equations%20and%20Inequalities/PDFs/Answer%20Keys" TargetMode="External"/><Relationship Id="rId16" Type="http://schemas.openxmlformats.org/officeDocument/2006/relationships/hyperlink" Target="https://github.com/croix18/croix18-windy-hill-a7/blob/main/a7/packages/A7%20Unit%201%20-%20Equations%20and%20Inequalities/PDFs/Slides/A7%201.04%20%20Slides.pdf" TargetMode="External"/><Relationship Id="rId17" Type="http://schemas.openxmlformats.org/officeDocument/2006/relationships/hyperlink" Target="https://github.com/croix18/croix18-windy-hill-a7/blob/main/a7/packages/A7%20Unit%201%20-%20Equations%20and%20Inequalities/PDFs/Teacher%20Editions/A7%201.04%20%20Teacher%20Edition.pdf" TargetMode="External"/><Relationship Id="rId18" Type="http://schemas.openxmlformats.org/officeDocument/2006/relationships/hyperlink" Target="https://github.com/croix18/croix18-windy-hill-a7/blob/main/a7/packages/A7%20Unit%201%20-%20Equations%20and%20Inequalities/PDFs/Question%20Banks/A7%201.04%20%20Question%20Bank.pdf" TargetMode="External"/><Relationship Id="rId19" Type="http://schemas.openxmlformats.org/officeDocument/2006/relationships/hyperlink" Target="https://github.com/croix18/croix18-windy-hill-a7/blob/main/a7/packages/A7%20Unit%201%20-%20Equations%20and%20Inequalities/PDFs/Question%20Banks/A7%201.04%20%20Question%20Bank%20-%20Additional.pdf" TargetMode="External"/><Relationship Id="rId20" Type="http://schemas.openxmlformats.org/officeDocument/2006/relationships/hyperlink" Target="https://github.com/croix18/croix18-windy-hill-a7/tree/main/a7/packages/A7%20Unit%201%20-%20Equations%20and%20Inequalities/PDFs/Answer%20Keys" TargetMode="External"/><Relationship Id="rId21" Type="http://schemas.openxmlformats.org/officeDocument/2006/relationships/hyperlink" Target="https://github.com/croix18/croix18-windy-hill-a7/blob/main/a7/packages/A7%20Unit%201%20-%20Equations%20and%20Inequalities/PDFs/Slides/A7%201.05%20%20Slides.pdf" TargetMode="External"/><Relationship Id="rId22" Type="http://schemas.openxmlformats.org/officeDocument/2006/relationships/hyperlink" Target="https://github.com/croix18/croix18-windy-hill-a7/blob/main/a7/packages/A7%20Unit%201%20-%20Equations%20and%20Inequalities/PDFs/Teacher%20Editions/A7%201.05%20%20Teacher%20Edition.pdf" TargetMode="External"/><Relationship Id="rId23" Type="http://schemas.openxmlformats.org/officeDocument/2006/relationships/hyperlink" Target="https://github.com/croix18/croix18-windy-hill-a7/blob/main/a7/packages/A7%20Unit%201%20-%20Equations%20and%20Inequalities/PDFs/Question%20Banks/A7%201.05%20%20Question%20Bank.pdf" TargetMode="External"/><Relationship Id="rId24" Type="http://schemas.openxmlformats.org/officeDocument/2006/relationships/hyperlink" Target="https://github.com/croix18/croix18-windy-hill-a7/blob/main/a7/packages/A7%20Unit%201%20-%20Equations%20and%20Inequalities/PDFs/Question%20Banks/A7%201.05%20%20Question%20Bank%20-%20Additional.pdf" TargetMode="External"/><Relationship Id="rId25" Type="http://schemas.openxmlformats.org/officeDocument/2006/relationships/hyperlink" Target="https://github.com/croix18/croix18-windy-hill-a7/tree/main/a7/packages/A7%20Unit%201%20-%20Equations%20and%20Inequalities/PDFs/Answer%20Keys" TargetMode="External"/><Relationship Id="rId26" Type="http://schemas.openxmlformats.org/officeDocument/2006/relationships/hyperlink" Target="https://github.com/croix18/croix18-windy-hill-a7/blob/main/a7/packages/A7%20Unit%201%20-%20Equations%20and%20Inequalities/PDFs/Slides/A7%201.06%20%20Slides.pdf" TargetMode="External"/><Relationship Id="rId27" Type="http://schemas.openxmlformats.org/officeDocument/2006/relationships/hyperlink" Target="https://github.com/croix18/croix18-windy-hill-a7/blob/main/a7/packages/A7%20Unit%201%20-%20Equations%20and%20Inequalities/PDFs/Teacher%20Editions/A7%201.06%20%20Teacher%20Edition.pdf" TargetMode="External"/><Relationship Id="rId28" Type="http://schemas.openxmlformats.org/officeDocument/2006/relationships/hyperlink" Target="https://github.com/croix18/croix18-windy-hill-a7/blob/main/a7/packages/A7%20Unit%201%20-%20Equations%20and%20Inequalities/PDFs/Question%20Banks/A7%201.06%20%20Question%20Bank.pdf" TargetMode="External"/><Relationship Id="rId29" Type="http://schemas.openxmlformats.org/officeDocument/2006/relationships/hyperlink" Target="https://github.com/croix18/croix18-windy-hill-a7/blob/main/a7/packages/A7%20Unit%201%20-%20Equations%20and%20Inequalities/PDFs/Question%20Banks/A7%201.06%20%20Question%20Bank%20-%20Additional.pdf" TargetMode="External"/><Relationship Id="rId30" Type="http://schemas.openxmlformats.org/officeDocument/2006/relationships/hyperlink" Target="https://github.com/croix18/croix18-windy-hill-a7/tree/main/a7/packages/A7%20Unit%201%20-%20Equations%20and%20Inequalities/PDFs/Answer%20Keys" TargetMode="External"/><Relationship Id="rId31" Type="http://schemas.openxmlformats.org/officeDocument/2006/relationships/hyperlink" Target="https://github.com/croix18/croix18-windy-hill-a7/blob/main/a7/packages/A7%20Unit%201%20-%20Equations%20and%20Inequalities/PDFs/Slides/A7%201.07%20%20Slides.pdf" TargetMode="External"/><Relationship Id="rId32" Type="http://schemas.openxmlformats.org/officeDocument/2006/relationships/hyperlink" Target="https://github.com/croix18/croix18-windy-hill-a7/blob/main/a7/packages/A7%20Unit%201%20-%20Equations%20and%20Inequalities/PDFs/Teacher%20Editions/A7%201.07%20%20Teacher%20Edition.pdf" TargetMode="External"/><Relationship Id="rId33" Type="http://schemas.openxmlformats.org/officeDocument/2006/relationships/hyperlink" Target="https://github.com/croix18/croix18-windy-hill-a7/blob/main/a7/packages/A7%20Unit%201%20-%20Equations%20and%20Inequalities/PDFs/Question%20Banks/A7%201.07%20%20Question%20Bank.pdf" TargetMode="External"/><Relationship Id="rId34" Type="http://schemas.openxmlformats.org/officeDocument/2006/relationships/hyperlink" Target="https://github.com/croix18/croix18-windy-hill-a7/blob/main/a7/packages/A7%20Unit%201%20-%20Equations%20and%20Inequalities/PDFs/Question%20Banks/A7%201.07%20%20Question%20Bank%20-%20Additional.pdf" TargetMode="External"/><Relationship Id="rId35" Type="http://schemas.openxmlformats.org/officeDocument/2006/relationships/hyperlink" Target="https://github.com/croix18/croix18-windy-hill-a7/tree/main/a7/packages/A7%20Unit%201%20-%20Equations%20and%20Inequalities/PDFs/Answer%20Keys" TargetMode="External"/><Relationship Id="rId36" Type="http://schemas.openxmlformats.org/officeDocument/2006/relationships/hyperlink" Target="https://github.com/croix18/croix18-windy-hill-a7/blob/main/a7/packages/A7%20Unit%201%20-%20Equations%20and%20Inequalities/PDFs/Slides/A7%201.08%20%20Slides.pdf" TargetMode="External"/><Relationship Id="rId37" Type="http://schemas.openxmlformats.org/officeDocument/2006/relationships/hyperlink" Target="https://github.com/croix18/croix18-windy-hill-a7/blob/main/a7/packages/A7%20Unit%201%20-%20Equations%20and%20Inequalities/PDFs/Teacher%20Editions/A7%201.08%20%20Teacher%20Edition.pdf" TargetMode="External"/><Relationship Id="rId38" Type="http://schemas.openxmlformats.org/officeDocument/2006/relationships/hyperlink" Target="https://github.com/croix18/croix18-windy-hill-a7/blob/main/a7/packages/A7%20Unit%201%20-%20Equations%20and%20Inequalities/PDFs/Question%20Banks/A7%201.08%20%20Question%20Bank.pdf" TargetMode="External"/><Relationship Id="rId39" Type="http://schemas.openxmlformats.org/officeDocument/2006/relationships/hyperlink" Target="https://github.com/croix18/croix18-windy-hill-a7/blob/main/a7/packages/A7%20Unit%201%20-%20Equations%20and%20Inequalities/PDFs/Question%20Banks/A7%201.08%20%20Question%20Bank%20-%20Additional.pdf" TargetMode="External"/><Relationship Id="rId40" Type="http://schemas.openxmlformats.org/officeDocument/2006/relationships/hyperlink" Target="https://github.com/croix18/croix18-windy-hill-a7/tree/main/a7/packages/A7%20Unit%201%20-%20Equations%20and%20Inequalities/PDFs/Answer%20Keys" TargetMode="External"/><Relationship Id="rId41" Type="http://schemas.openxmlformats.org/officeDocument/2006/relationships/hyperlink" Target="https://github.com/croix18/croix18-windy-hill-a7/blob/main/a7/packages/A7%20Unit%201%20-%20Equations%20and%20Inequalities/PDFs/Slides/A7%201.09%20%20Slides.pdf" TargetMode="External"/><Relationship Id="rId42" Type="http://schemas.openxmlformats.org/officeDocument/2006/relationships/hyperlink" Target="https://github.com/croix18/croix18-windy-hill-a7/blob/main/a7/packages/A7%20Unit%201%20-%20Equations%20and%20Inequalities/PDFs/Teacher%20Editions/A7%201.09%20%20Teacher%20Edition.pdf" TargetMode="External"/><Relationship Id="rId43" Type="http://schemas.openxmlformats.org/officeDocument/2006/relationships/hyperlink" Target="https://github.com/croix18/croix18-windy-hill-a7/blob/main/a7/packages/A7%20Unit%201%20-%20Equations%20and%20Inequalities/PDFs/Question%20Banks/A7%201.09%20%20Question%20Bank.pdf" TargetMode="External"/><Relationship Id="rId44" Type="http://schemas.openxmlformats.org/officeDocument/2006/relationships/hyperlink" Target="https://github.com/croix18/croix18-windy-hill-a7/blob/main/a7/packages/A7%20Unit%201%20-%20Equations%20and%20Inequalities/PDFs/Question%20Banks/A7%201.09%20%20Question%20Bank%20-%20Additional.pdf" TargetMode="External"/><Relationship Id="rId45" Type="http://schemas.openxmlformats.org/officeDocument/2006/relationships/hyperlink" Target="https://github.com/croix18/croix18-windy-hill-a7/tree/main/a7/packages/A7%20Unit%201%20-%20Equations%20and%20Inequalities/PDFs/Answer%20Keys" TargetMode="External"/><Relationship Id="rId46" Type="http://schemas.openxmlformats.org/officeDocument/2006/relationships/hyperlink" Target="https://github.com/croix18/croix18-windy-hill-a7/blob/main/a7/packages/A7%20Unit%201%20-%20Equations%20and%20Inequalities/PDFs/Slides/A7%201.10%20%20Slides.pdf" TargetMode="External"/><Relationship Id="rId47" Type="http://schemas.openxmlformats.org/officeDocument/2006/relationships/hyperlink" Target="https://github.com/croix18/croix18-windy-hill-a7/blob/main/a7/packages/A7%20Unit%201%20-%20Equations%20and%20Inequalities/PDFs/Teacher%20Editions/A7%201.10%20%20Teacher%20Edition.pdf" TargetMode="External"/><Relationship Id="rId48" Type="http://schemas.openxmlformats.org/officeDocument/2006/relationships/hyperlink" Target="https://github.com/croix18/croix18-windy-hill-a7/blob/main/a7/packages/A7%20Unit%201%20-%20Equations%20and%20Inequalities/PDFs/Question%20Banks/A7%201.10%20%20Question%20Bank.pdf" TargetMode="External"/><Relationship Id="rId49" Type="http://schemas.openxmlformats.org/officeDocument/2006/relationships/hyperlink" Target="https://github.com/croix18/croix18-windy-hill-a7/blob/main/a7/packages/A7%20Unit%201%20-%20Equations%20and%20Inequalities/PDFs/Question%20Banks/A7%201.10%20%20Question%20Bank%20-%20Additional.pdf" TargetMode="External"/><Relationship Id="rId50" Type="http://schemas.openxmlformats.org/officeDocument/2006/relationships/hyperlink" Target="https://github.com/croix18/croix18-windy-hill-a7/tree/main/a7/packages/A7%20Unit%201%20-%20Equations%20and%20Inequalities/PDFs/Answer%20Keys" TargetMode="External"/><Relationship Id="rId51" Type="http://schemas.openxmlformats.org/officeDocument/2006/relationships/hyperlink" Target="https://github.com/croix18/croix18-windy-hill-a7/blob/main/a7/packages/A7%20Unit%202%20-%20Real%20Numbers%2C%20Square%20Roots%20and%20Cube%20Roots/PDFs/Slides/A7%202.01%20%20Slides.pdf" TargetMode="External"/><Relationship Id="rId52" Type="http://schemas.openxmlformats.org/officeDocument/2006/relationships/hyperlink" Target="https://github.com/croix18/croix18-windy-hill-a7/blob/main/a7/packages/A7%20Unit%202%20-%20Real%20Numbers%2C%20Square%20Roots%20and%20Cube%20Roots/PDFs/Teacher%20Editions/A7%202.01%20%20Teacher%20Edition.pdf" TargetMode="External"/><Relationship Id="rId53" Type="http://schemas.openxmlformats.org/officeDocument/2006/relationships/hyperlink" Target="https://github.com/croix18/croix18-windy-hill-a7/blob/main/a7/packages/A7%20Unit%202%20-%20Real%20Numbers%2C%20Square%20Roots%20and%20Cube%20Roots/PDFs/Question%20Banks/A7%202.01%20%20Question%20Bank.pdf" TargetMode="External"/><Relationship Id="rId54" Type="http://schemas.openxmlformats.org/officeDocument/2006/relationships/hyperlink" Target="https://github.com/croix18/croix18-windy-hill-a7/blob/main/a7/packages/A7%20Unit%202%20-%20Real%20Numbers%2C%20Square%20Roots%20and%20Cube%20Roots/PDFs/Question%20Banks/A7%202.01%20%20Question%20Bank%20-%20Additional.pdf" TargetMode="External"/><Relationship Id="rId55" Type="http://schemas.openxmlformats.org/officeDocument/2006/relationships/hyperlink" Target="https://github.com/croix18/croix18-windy-hill-a7/tree/main/a7/packages/A7%20Unit%202%20-%20Real%20Numbers%2C%20Square%20Roots%20and%20Cube%20Roots/PDFs/Answer%20Keys" TargetMode="External"/><Relationship Id="rId56" Type="http://schemas.openxmlformats.org/officeDocument/2006/relationships/hyperlink" Target="https://github.com/croix18/croix18-windy-hill-a7/blob/main/a7/packages/A7%20Unit%202%20-%20Real%20Numbers%2C%20Square%20Roots%20and%20Cube%20Roots/PDFs/Slides/A7%202.02%20%20Slides.pdf" TargetMode="External"/><Relationship Id="rId57" Type="http://schemas.openxmlformats.org/officeDocument/2006/relationships/hyperlink" Target="https://github.com/croix18/croix18-windy-hill-a7/blob/main/a7/packages/A7%20Unit%202%20-%20Real%20Numbers%2C%20Square%20Roots%20and%20Cube%20Roots/PDFs/Teacher%20Editions/A7%202.02%20%20Teacher%20Edition.pdf" TargetMode="External"/><Relationship Id="rId58" Type="http://schemas.openxmlformats.org/officeDocument/2006/relationships/hyperlink" Target="https://github.com/croix18/croix18-windy-hill-a7/blob/main/a7/packages/A7%20Unit%202%20-%20Real%20Numbers%2C%20Square%20Roots%20and%20Cube%20Roots/PDFs/Question%20Banks/A7%202.02%20%20Question%20Bank.pdf" TargetMode="External"/><Relationship Id="rId59" Type="http://schemas.openxmlformats.org/officeDocument/2006/relationships/hyperlink" Target="https://github.com/croix18/croix18-windy-hill-a7/blob/main/a7/packages/A7%20Unit%202%20-%20Real%20Numbers%2C%20Square%20Roots%20and%20Cube%20Roots/PDFs/Question%20Banks/A7%202.02%20%20Question%20Bank%20-%20Additional.pdf" TargetMode="External"/><Relationship Id="rId60" Type="http://schemas.openxmlformats.org/officeDocument/2006/relationships/hyperlink" Target="https://github.com/croix18/croix18-windy-hill-a7/tree/main/a7/packages/A7%20Unit%202%20-%20Real%20Numbers%2C%20Square%20Roots%20and%20Cube%20Roots/PDFs/Answer%20Keys" TargetMode="External"/><Relationship Id="rId61" Type="http://schemas.openxmlformats.org/officeDocument/2006/relationships/hyperlink" Target="https://github.com/croix18/croix18-windy-hill-a7/blob/main/a7/packages/A7%20Unit%202%20-%20Real%20Numbers%2C%20Square%20Roots%20and%20Cube%20Roots/PDFs/Slides/A7%202.03%20%20Slides.pdf" TargetMode="External"/><Relationship Id="rId62" Type="http://schemas.openxmlformats.org/officeDocument/2006/relationships/hyperlink" Target="https://github.com/croix18/croix18-windy-hill-a7/blob/main/a7/packages/A7%20Unit%202%20-%20Real%20Numbers%2C%20Square%20Roots%20and%20Cube%20Roots/PDFs/Teacher%20Editions/A7%202.03%20%20Teacher%20Edition.pdf" TargetMode="External"/><Relationship Id="rId63" Type="http://schemas.openxmlformats.org/officeDocument/2006/relationships/hyperlink" Target="https://github.com/croix18/croix18-windy-hill-a7/blob/main/a7/packages/A7%20Unit%202%20-%20Real%20Numbers%2C%20Square%20Roots%20and%20Cube%20Roots/PDFs/Question%20Banks/A7%202.03%20%20Question%20Bank.pdf" TargetMode="External"/><Relationship Id="rId64" Type="http://schemas.openxmlformats.org/officeDocument/2006/relationships/hyperlink" Target="https://github.com/croix18/croix18-windy-hill-a7/blob/main/a7/packages/A7%20Unit%202%20-%20Real%20Numbers%2C%20Square%20Roots%20and%20Cube%20Roots/PDFs/Question%20Banks/A7%202.03%20%20Question%20Bank%20-%20Additional.pdf" TargetMode="External"/><Relationship Id="rId65" Type="http://schemas.openxmlformats.org/officeDocument/2006/relationships/hyperlink" Target="https://github.com/croix18/croix18-windy-hill-a7/tree/main/a7/packages/A7%20Unit%202%20-%20Real%20Numbers%2C%20Square%20Roots%20and%20Cube%20Roots/PDFs/Answer%20Keys" TargetMode="External"/><Relationship Id="rId66" Type="http://schemas.openxmlformats.org/officeDocument/2006/relationships/hyperlink" Target="https://github.com/croix18/croix18-windy-hill-a7/blob/main/a7/packages/A7%20Unit%202%20-%20Real%20Numbers%2C%20Square%20Roots%20and%20Cube%20Roots/PDFs/Slides/A7%202.04%20%20Slides.pdf" TargetMode="External"/><Relationship Id="rId67" Type="http://schemas.openxmlformats.org/officeDocument/2006/relationships/hyperlink" Target="https://github.com/croix18/croix18-windy-hill-a7/blob/main/a7/packages/A7%20Unit%202%20-%20Real%20Numbers%2C%20Square%20Roots%20and%20Cube%20Roots/PDFs/Teacher%20Editions/A7%202.04%20%20Teacher%20Edition.pdf" TargetMode="External"/><Relationship Id="rId68" Type="http://schemas.openxmlformats.org/officeDocument/2006/relationships/hyperlink" Target="https://github.com/croix18/croix18-windy-hill-a7/blob/main/a7/packages/A7%20Unit%202%20-%20Real%20Numbers%2C%20Square%20Roots%20and%20Cube%20Roots/PDFs/Question%20Banks/A7%202.04%20%20Question%20Bank.pdf" TargetMode="External"/><Relationship Id="rId69" Type="http://schemas.openxmlformats.org/officeDocument/2006/relationships/hyperlink" Target="https://github.com/croix18/croix18-windy-hill-a7/blob/main/a7/packages/A7%20Unit%202%20-%20Real%20Numbers%2C%20Square%20Roots%20and%20Cube%20Roots/PDFs/Question%20Banks/A7%202.04%20%20Question%20Bank%20-%20Additional.pdf" TargetMode="External"/><Relationship Id="rId70" Type="http://schemas.openxmlformats.org/officeDocument/2006/relationships/hyperlink" Target="https://github.com/croix18/croix18-windy-hill-a7/tree/main/a7/packages/A7%20Unit%202%20-%20Real%20Numbers%2C%20Square%20Roots%20and%20Cube%20Roots/PDFs/Answer%20Keys" TargetMode="External"/><Relationship Id="rId71" Type="http://schemas.openxmlformats.org/officeDocument/2006/relationships/hyperlink" Target="https://github.com/croix18/croix18-windy-hill-a7/blob/main/a7/packages/A7%20Unit%202%20-%20Real%20Numbers%2C%20Square%20Roots%20and%20Cube%20Roots/PDFs/Slides/A7%202.05%20%20Slides.pdf" TargetMode="External"/><Relationship Id="rId72" Type="http://schemas.openxmlformats.org/officeDocument/2006/relationships/hyperlink" Target="https://github.com/croix18/croix18-windy-hill-a7/blob/main/a7/packages/A7%20Unit%202%20-%20Real%20Numbers%2C%20Square%20Roots%20and%20Cube%20Roots/PDFs/Teacher%20Editions/A7%202.05%20%20Teacher%20Edition.pdf" TargetMode="External"/><Relationship Id="rId73" Type="http://schemas.openxmlformats.org/officeDocument/2006/relationships/hyperlink" Target="https://github.com/croix18/croix18-windy-hill-a7/blob/main/a7/packages/A7%20Unit%202%20-%20Real%20Numbers%2C%20Square%20Roots%20and%20Cube%20Roots/PDFs/Question%20Banks/A7%202.05%20%20Question%20Bank.pdf" TargetMode="External"/><Relationship Id="rId74" Type="http://schemas.openxmlformats.org/officeDocument/2006/relationships/hyperlink" Target="https://github.com/croix18/croix18-windy-hill-a7/blob/main/a7/packages/A7%20Unit%202%20-%20Real%20Numbers%2C%20Square%20Roots%20and%20Cube%20Roots/PDFs/Question%20Banks/A7%202.05%20%20Question%20Bank%20-%20Additional.pdf" TargetMode="External"/><Relationship Id="rId75" Type="http://schemas.openxmlformats.org/officeDocument/2006/relationships/hyperlink" Target="https://github.com/croix18/croix18-windy-hill-a7/tree/main/a7/packages/A7%20Unit%202%20-%20Real%20Numbers%2C%20Square%20Roots%20and%20Cube%20Roots/PDFs/Answer%20Keys" TargetMode="External"/><Relationship Id="rId76" Type="http://schemas.openxmlformats.org/officeDocument/2006/relationships/hyperlink" Target="https://github.com/croix18/croix18-windy-hill-a7/blob/main/a7/packages/A7%20Unit%202%20-%20Real%20Numbers%2C%20Square%20Roots%20and%20Cube%20Roots/PDFs/Slides/A7%202.06%20%20Slides.pdf" TargetMode="External"/><Relationship Id="rId77" Type="http://schemas.openxmlformats.org/officeDocument/2006/relationships/hyperlink" Target="https://github.com/croix18/croix18-windy-hill-a7/blob/main/a7/packages/A7%20Unit%202%20-%20Real%20Numbers%2C%20Square%20Roots%20and%20Cube%20Roots/PDFs/Teacher%20Editions/A7%202.06%20%20Teacher%20Edition.pdf" TargetMode="External"/><Relationship Id="rId78" Type="http://schemas.openxmlformats.org/officeDocument/2006/relationships/hyperlink" Target="https://github.com/croix18/croix18-windy-hill-a7/blob/main/a7/packages/A7%20Unit%202%20-%20Real%20Numbers%2C%20Square%20Roots%20and%20Cube%20Roots/PDFs/Question%20Banks/A7%202.06%20%20Question%20Bank%20-%20Additional.pdf" TargetMode="External"/><Relationship Id="rId79" Type="http://schemas.openxmlformats.org/officeDocument/2006/relationships/hyperlink" Target="https://github.com/croix18/croix18-windy-hill-a7/tree/main/a7/packages/A7%20Unit%202%20-%20Real%20Numbers%2C%20Square%20Roots%20and%20Cube%20Roots/PDFs/Answer%20Key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46298</v>
      </c>
    </row>
    <row r="3" customFormat="false" ht="15" hidden="false" customHeight="false" outlineLevel="0" collapsed="false">
      <c r="A3" s="3" t="s">
        <v>1</v>
      </c>
      <c r="B3" s="4" t="str">
        <f aca="true">IF($B$42&gt;131,"The school year has ended.",IF(INDEX('Scope &amp; Sequence'!$A$2:$A$132,$B$42)=TODAY(),"Today's class",IF(INDEX('Scope &amp; Sequence'!$A$2:$A$132,$B$42)&lt;TODAY(),"The PM3 window (3–28 May)","Next class: "&amp;TEXT(INDEX('Scope &amp; Sequence'!$A$2:$A$132,$B$42),"dddd d mmmm"))))</f>
        <v>Next class: Monday 5 October</v>
      </c>
    </row>
    <row r="5" customFormat="false" ht="15" hidden="false" customHeight="false" outlineLevel="0" collapsed="false">
      <c r="A5" s="5" t="s">
        <v>2</v>
      </c>
      <c r="B5" s="6" t="str">
        <f aca="false">IF($B$42&gt;131,"",INDEX('Scope &amp; Sequence'!$D$2:$D$132,$B$42)&amp;"   "&amp;INDEX('Scope &amp; Sequence'!$E$2:$E$132,$B$42))</f>
        <v>3.08   Large numbers in scientific notation</v>
      </c>
    </row>
    <row r="6" customFormat="false" ht="23.85" hidden="false" customHeight="false" outlineLevel="0" collapsed="false">
      <c r="A6" s="5" t="s">
        <v>3</v>
      </c>
      <c r="B6" s="6" t="str">
        <f aca="false">IF($B$42&gt;131,"",INDEX('Scope &amp; Sequence'!$S$2:$S$132,$B$42)&amp;"")</f>
        <v>I can write a large number in scientific notation, read one back into standard form, and find how many times larger one number is than another.</v>
      </c>
    </row>
    <row r="7" customFormat="false" ht="23.85" hidden="false" customHeight="false" outlineLevel="0" collapsed="false">
      <c r="A7" s="5" t="s">
        <v>4</v>
      </c>
      <c r="B7" s="6" t="str">
        <f aca="false">IF($B$42&gt;131,"",INDEX('Scope &amp; Sequence'!$T$2:$T$132,$B$42)&amp;"")</f>
        <v>How does a power of 10 let us write a very large number briefly, and compare two of them?</v>
      </c>
    </row>
    <row r="8" customFormat="false" ht="15" hidden="false" customHeight="false" outlineLevel="0" collapsed="false">
      <c r="A8" s="5" t="s">
        <v>5</v>
      </c>
      <c r="B8" s="6" t="str">
        <f aca="false">IF($B$42&gt;131,"",INDEX('Scope &amp; Sequence'!$U$2:$U$132,$B$42)&amp;"")</f>
        <v>scientific notation, standard form, coefficient</v>
      </c>
    </row>
    <row r="9" customFormat="false" ht="15" hidden="false" customHeight="false" outlineLevel="0" collapsed="false">
      <c r="A9" s="5" t="s">
        <v>6</v>
      </c>
      <c r="B9" s="6" t="str">
        <f aca="false">IF($B$42&gt;131,"",INDEX('Scope &amp; Sequence'!$V$2:$V$132,$B$42)&amp;"")</f>
        <v>8.NSO.1.4</v>
      </c>
    </row>
    <row r="10" customFormat="false" ht="23.85" hidden="false" customHeight="false" outlineLevel="0" collapsed="false">
      <c r="A10" s="5" t="s">
        <v>7</v>
      </c>
      <c r="B10" s="6" t="str">
        <f aca="false">IF($B$42&gt;131,"",IF(INDEX('Scope &amp; Sequence'!$Q$2:$Q$132,$B$42)&amp;""="","none",INDEX('Scope &amp; Sequence'!$Q$2:$Q$132,$B$42)&amp;"   — due "&amp;TEXT(INDEX('Scope &amp; Sequence'!$R$2:$R$132,$B$42),"ddd d mmm")))</f>
        <v>Convert between standard and scientific notation: large numbers — 2AL; Compare large numbers — WEZ; Powers of ten — LJQ   — due Tue 6 Oct</v>
      </c>
    </row>
    <row r="11" customFormat="false" ht="23.85" hidden="false" customHeight="false" outlineLevel="0" collapsed="false">
      <c r="A11" s="5" t="s">
        <v>8</v>
      </c>
      <c r="B11" s="6" t="str">
        <f aca="false">IF($B$42&gt;131,"",IFERROR(INDEX('IXL tracker'!$D$5:$D$86,MATCH(INDEX('Scope &amp; Sequence'!$A$2:$A$132,$B$42),'IXL tracker'!$G$5:$G$86,0)),"nothing due"))</f>
        <v>Variables with negative exponents (2NL); Multiply and divide powers: variable bases (85P)</v>
      </c>
    </row>
    <row r="12" customFormat="false" ht="23.85" hidden="false" customHeight="false" outlineLevel="0" collapsed="false">
      <c r="A12" s="5" t="s">
        <v>9</v>
      </c>
      <c r="B12" s="6" t="str">
        <f aca="false">IF($B$42&gt;131,"",INDEX('Scope &amp; Sequence'!$Y$2:$Y$132,$B$42)&amp;"")</f>
        <v>Marcus writes 2,000,000 as 20 × 10⁵. Is his expression equal to 2,000,000? Is it scientific notation? Explain.</v>
      </c>
    </row>
    <row r="14" customFormat="false" ht="15" hidden="false" customHeight="false" outlineLevel="0" collapsed="false">
      <c r="A14" s="4" t="s">
        <v>10</v>
      </c>
    </row>
    <row r="15" customFormat="false" ht="15" hidden="false" customHeight="false" outlineLevel="0" collapsed="false">
      <c r="A15" s="7" t="s">
        <v>11</v>
      </c>
      <c r="B15" s="8" t="str">
        <f aca="false">IF($B$42&gt;131,"—",IF(INDEX(Links!$B$2:$B$132,$B$42)&amp;""="","—",HYPERLINK(INDEX(Links!$B$2:$B$132,$B$42),INDEX('Scope &amp; Sequence'!$F$2:$F$132,$B$42)&amp;"")))</f>
        <v>open</v>
      </c>
    </row>
    <row r="16" customFormat="false" ht="15" hidden="false" customHeight="false" outlineLevel="0" collapsed="false">
      <c r="A16" s="7" t="s">
        <v>12</v>
      </c>
      <c r="B16" s="8" t="str">
        <f aca="false">IF($B$42&gt;131,"—",IF(INDEX(Links!$C$2:$C$132,$B$42)&amp;""="","—",HYPERLINK(INDEX(Links!$C$2:$C$132,$B$42),INDEX('Scope &amp; Sequence'!$G$2:$G$132,$B$42)&amp;"")))</f>
        <v>open</v>
      </c>
    </row>
    <row r="17" customFormat="false" ht="15" hidden="false" customHeight="false" outlineLevel="0" collapsed="false">
      <c r="A17" s="7" t="s">
        <v>13</v>
      </c>
      <c r="B17" s="8" t="str">
        <f aca="false">IF($B$42&gt;131,"—",IF(INDEX(Links!$D$2:$D$132,$B$42)&amp;""="","—",HYPERLINK(INDEX(Links!$D$2:$D$132,$B$42),INDEX('Scope &amp; Sequence'!$H$2:$H$132,$B$42)&amp;"")))</f>
        <v>open</v>
      </c>
    </row>
    <row r="18" customFormat="false" ht="15" hidden="false" customHeight="false" outlineLevel="0" collapsed="false">
      <c r="A18" s="7" t="s">
        <v>14</v>
      </c>
      <c r="B18" s="8" t="str">
        <f aca="false">IF($B$42&gt;131,"—",IF(INDEX(Links!$E$2:$E$132,$B$42)&amp;""="","—",HYPERLINK(INDEX(Links!$E$2:$E$132,$B$42),INDEX('Scope &amp; Sequence'!$I$2:$I$132,$B$42)&amp;"")))</f>
        <v>open</v>
      </c>
    </row>
    <row r="19" customFormat="false" ht="15" hidden="false" customHeight="false" outlineLevel="0" collapsed="false">
      <c r="A19" s="7" t="s">
        <v>15</v>
      </c>
      <c r="B19" s="8" t="str">
        <f aca="false">IF($B$42&gt;131,"—",IF(INDEX(Links!$F$2:$F$132,$B$42)&amp;""="","—",HYPERLINK(INDEX(Links!$F$2:$F$132,$B$42),INDEX('Scope &amp; Sequence'!$J$2:$J$132,$B$42)&amp;"")))</f>
        <v>open</v>
      </c>
    </row>
    <row r="20" customFormat="false" ht="15" hidden="false" customHeight="false" outlineLevel="0" collapsed="false">
      <c r="A20" s="7" t="s">
        <v>16</v>
      </c>
      <c r="B20" s="8" t="str">
        <f aca="false">IF($B$42&gt;131,"—",IF(INDEX(Links!$G$2:$G$132,$B$42)&amp;""="","—",HYPERLINK(INDEX(Links!$G$2:$G$132,$B$42),INDEX('Scope &amp; Sequence'!$K$2:$K$132,$B$42)&amp;"")))</f>
        <v>key</v>
      </c>
    </row>
    <row r="21" customFormat="false" ht="15" hidden="false" customHeight="false" outlineLevel="0" collapsed="false">
      <c r="A21" s="7" t="s">
        <v>17</v>
      </c>
      <c r="B21" s="8" t="str">
        <f aca="false">IF($B$42&gt;131,"—",IF(INDEX(Links!$H$2:$H$132,$B$42)&amp;""="","—",HYPERLINK(INDEX(Links!$H$2:$H$132,$B$42),INDEX('Scope &amp; Sequence'!$L$2:$L$132,$B$42)&amp;"")))</f>
        <v>open</v>
      </c>
    </row>
    <row r="22" customFormat="false" ht="15" hidden="false" customHeight="false" outlineLevel="0" collapsed="false">
      <c r="A22" s="7" t="s">
        <v>18</v>
      </c>
      <c r="B22" s="8" t="str">
        <f aca="false">IF($B$42&gt;131,"—",IF(INDEX(Links!$I$2:$I$132,$B$42)&amp;""="","—",HYPERLINK(INDEX(Links!$I$2:$I$132,$B$42),INDEX('Scope &amp; Sequence'!$M$2:$M$132,$B$42)&amp;"")))</f>
        <v>key</v>
      </c>
    </row>
    <row r="23" customFormat="false" ht="15" hidden="false" customHeight="false" outlineLevel="0" collapsed="false">
      <c r="A23" s="7" t="s">
        <v>19</v>
      </c>
      <c r="B23" s="8" t="str">
        <f aca="false">IF($B$42&gt;131,"—",IF(INDEX(Links!$J$2:$J$132,$B$42)&amp;""="","—",HYPERLINK(INDEX(Links!$J$2:$J$132,$B$42),INDEX('Scope &amp; Sequence'!$N$2:$N$132,$B$42)&amp;"")))</f>
        <v>open</v>
      </c>
    </row>
    <row r="24" customFormat="false" ht="15" hidden="false" customHeight="false" outlineLevel="0" collapsed="false">
      <c r="A24" s="7" t="s">
        <v>20</v>
      </c>
      <c r="B24" s="8" t="str">
        <f aca="false">IF($B$42&gt;131,"—",IF(INDEX(Links!$K$2:$K$132,$B$42)&amp;""="","—",HYPERLINK(INDEX(Links!$K$2:$K$132,$B$42),INDEX('Scope &amp; Sequence'!$O$2:$O$132,$B$42)&amp;"")))</f>
        <v>key</v>
      </c>
    </row>
    <row r="25" customFormat="false" ht="15" hidden="false" customHeight="false" outlineLevel="0" collapsed="false">
      <c r="A25" s="7" t="s">
        <v>21</v>
      </c>
      <c r="B25" s="8" t="str">
        <f aca="false">IF($B$42&gt;131,"—",IF(INDEX(Links!$L$2:$L$132,$B$42)&amp;""="","—",HYPERLINK(INDEX(Links!$L$2:$L$132,$B$42),INDEX('Scope &amp; Sequence'!$P$2:$P$132,$B$42)&amp;"")))</f>
        <v>folder</v>
      </c>
    </row>
    <row r="27" customFormat="false" ht="15" hidden="false" customHeight="false" outlineLevel="0" collapsed="false">
      <c r="A27" s="4" t="s">
        <v>22</v>
      </c>
    </row>
    <row r="28" customFormat="false" ht="18" hidden="false" customHeight="true" outlineLevel="0" collapsed="false">
      <c r="A28" s="9" t="s">
        <v>23</v>
      </c>
      <c r="B28" s="9" t="s">
        <v>2</v>
      </c>
      <c r="C28" s="9" t="s">
        <v>24</v>
      </c>
    </row>
    <row r="29" customFormat="false" ht="15" hidden="false" customHeight="false" outlineLevel="0" collapsed="false">
      <c r="A29" s="10" t="n">
        <f aca="false">IF(($B$42+1)&gt;131,"",INDEX('Scope &amp; Sequence'!$A$2:$A$132,($B$42+1)))</f>
        <v>46301</v>
      </c>
      <c r="B29" s="6" t="str">
        <f aca="false">IF(($B$42+1)&gt;131,"",INDEX('Scope &amp; Sequence'!$D$2:$D$132,($B$42+1))&amp;"   "&amp;INDEX('Scope &amp; Sequence'!$E$2:$E$132,($B$42+1)))</f>
        <v>3.09   Small numbers in scientific notation; how many times larger</v>
      </c>
      <c r="C29" s="8" t="str">
        <f aca="false">IF(($B$42+1)&gt;131,"",IF(INDEX(Links!$B$2:$B$132,($B$42+1))&amp;""="","—",HYPERLINK(INDEX(Links!$B$2:$B$132,($B$42+1)),INDEX('Scope &amp; Sequence'!$F$2:$F$132,($B$42+1))&amp;"")))</f>
        <v>open</v>
      </c>
    </row>
    <row r="30" customFormat="false" ht="15" hidden="false" customHeight="false" outlineLevel="0" collapsed="false">
      <c r="A30" s="10" t="n">
        <f aca="false">IF(($B$42+2)&gt;131,"",INDEX('Scope &amp; Sequence'!$A$2:$A$132,($B$42+2)))</f>
        <v>46302</v>
      </c>
      <c r="B30" s="6" t="str">
        <f aca="false">IF(($B$42+2)&gt;131,"",INDEX('Scope &amp; Sequence'!$D$2:$D$132,($B$42+2))&amp;"   "&amp;INDEX('Scope &amp; Sequence'!$E$2:$E$132,($B$42+2)))</f>
        <v>spiral   Spiral day — mixed retrieval from the unit just finished and the two before it</v>
      </c>
      <c r="C30" s="8" t="str">
        <f aca="false">IF(($B$42+2)&gt;131,"",IF(INDEX(Links!$B$2:$B$132,($B$42+2))&amp;""="","—",HYPERLINK(INDEX(Links!$B$2:$B$132,($B$42+2)),INDEX('Scope &amp; Sequence'!$F$2:$F$132,($B$42+2))&amp;"")))</f>
        <v>Unit Review</v>
      </c>
    </row>
    <row r="31" customFormat="false" ht="15" hidden="false" customHeight="false" outlineLevel="0" collapsed="false">
      <c r="A31" s="10" t="n">
        <f aca="false">IF(($B$42+3)&gt;131,"",INDEX('Scope &amp; Sequence'!$A$2:$A$132,($B$42+3)))</f>
        <v>46303</v>
      </c>
      <c r="B31" s="6" t="str">
        <f aca="false">IF(($B$42+3)&gt;131,"",INDEX('Scope &amp; Sequence'!$D$2:$D$132,($B$42+3))&amp;"   "&amp;INDEX('Scope &amp; Sequence'!$E$2:$E$132,($B$42+3)))</f>
        <v>3.X1   Unit 3 exam, day 1</v>
      </c>
      <c r="C31" s="8" t="str">
        <f aca="false">IF(($B$42+3)&gt;131,"",IF(INDEX(Links!$B$2:$B$132,($B$42+3))&amp;""="","—",HYPERLINK(INDEX(Links!$B$2:$B$132,($B$42+3)),INDEX('Scope &amp; Sequence'!$F$2:$F$132,($B$42+3))&amp;"")))</f>
        <v>Unit Assessment</v>
      </c>
    </row>
    <row r="32" customFormat="false" ht="15" hidden="false" customHeight="false" outlineLevel="0" collapsed="false">
      <c r="A32" s="10" t="n">
        <f aca="false">IF(($B$42+4)&gt;131,"",INDEX('Scope &amp; Sequence'!$A$2:$A$132,($B$42+4)))</f>
        <v>46304</v>
      </c>
      <c r="B32" s="6" t="str">
        <f aca="false">IF(($B$42+4)&gt;131,"",INDEX('Scope &amp; Sequence'!$D$2:$D$132,($B$42+4))&amp;"   "&amp;INDEX('Scope &amp; Sequence'!$E$2:$E$132,($B$42+4)))</f>
        <v>3.X2   Unit 3 exam, day 2</v>
      </c>
      <c r="C32" s="8" t="str">
        <f aca="false">IF(($B$42+4)&gt;131,"",IF(INDEX(Links!$B$2:$B$132,($B$42+4))&amp;""="","—",HYPERLINK(INDEX(Links!$B$2:$B$132,($B$42+4)),INDEX('Scope &amp; Sequence'!$F$2:$F$132,($B$42+4))&amp;"")))</f>
        <v>Unit Assessment</v>
      </c>
    </row>
    <row r="33" customFormat="false" ht="15" hidden="false" customHeight="false" outlineLevel="0" collapsed="false">
      <c r="A33" s="10" t="n">
        <f aca="false">IF(($B$42+5)&gt;131,"",INDEX('Scope &amp; Sequence'!$A$2:$A$132,($B$42+5)))</f>
        <v>46308</v>
      </c>
      <c r="B33" s="6" t="str">
        <f aca="false">IF(($B$42+5)&gt;131,"",INDEX('Scope &amp; Sequence'!$D$2:$D$132,($B$42+5))&amp;"   "&amp;INDEX('Scope &amp; Sequence'!$E$2:$E$132,($B$42+5)))</f>
        <v>flex   Flex day — reteach from exam evidence, or absorb a lost day</v>
      </c>
      <c r="C33" s="8" t="str">
        <f aca="false">IF(($B$42+5)&gt;131,"",IF(INDEX(Links!$B$2:$B$132,($B$42+5))&amp;""="","—",HYPERLINK(INDEX(Links!$B$2:$B$132,($B$42+5)),INDEX('Scope &amp; Sequence'!$F$2:$F$132,($B$42+5))&amp;"")))</f>
        <v>—</v>
      </c>
    </row>
    <row r="35" customFormat="false" ht="30" hidden="false" customHeight="true" outlineLevel="0" collapsed="false">
      <c r="A35" s="11" t="s">
        <v>25</v>
      </c>
      <c r="B35" s="11"/>
      <c r="C35" s="11"/>
    </row>
    <row r="42" customFormat="false" ht="15" hidden="false" customHeight="false" outlineLevel="0" collapsed="false">
      <c r="A42" s="12" t="s">
        <v>26</v>
      </c>
      <c r="B42" s="13" t="n">
        <f aca="true">IF(TODAY()&gt;$B$43,131+1,MIN(COUNTIF('Scope &amp; Sequence'!$A$2:$A$132,"&lt;"&amp;TODAY())+1,131))</f>
        <v>9</v>
      </c>
    </row>
    <row r="43" customFormat="false" ht="15" hidden="false" customHeight="false" outlineLevel="0" collapsed="false">
      <c r="A43" s="12" t="s">
        <v>27</v>
      </c>
      <c r="B43" s="14" t="n">
        <v>46535</v>
      </c>
    </row>
  </sheetData>
  <mergeCells count="1">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44"/>
    <col collapsed="false" customWidth="true" hidden="false" outlineLevel="0" max="18" min="18" style="0" width="11"/>
    <col collapsed="false" customWidth="true" hidden="false" outlineLevel="0" max="19" min="19" style="0" width="44"/>
    <col collapsed="false" customWidth="true" hidden="false" outlineLevel="0" max="20" min="20" style="0" width="36"/>
    <col collapsed="false" customWidth="true" hidden="false" outlineLevel="0" max="21" min="21" style="0" width="30"/>
    <col collapsed="false" customWidth="true" hidden="false" outlineLevel="0" max="22" min="22" style="0" width="16"/>
    <col collapsed="false" customWidth="true" hidden="false" outlineLevel="0" max="23" min="23" style="0" width="60"/>
    <col collapsed="false" customWidth="true" hidden="false" outlineLevel="0" max="24" min="24" style="0" width="46"/>
    <col collapsed="false" customWidth="true" hidden="false" outlineLevel="0" max="25" min="25" style="0" width="50"/>
    <col collapsed="false" customWidth="true" hidden="false" outlineLevel="0" max="26" min="26" style="0" width="30"/>
    <col collapsed="false" customWidth="true" hidden="false" outlineLevel="0" max="27" min="27" style="0" width="42"/>
  </cols>
  <sheetData>
    <row r="1" customFormat="false" ht="30" hidden="false" customHeight="true" outlineLevel="0" collapsed="false">
      <c r="A1" s="9" t="s">
        <v>23</v>
      </c>
      <c r="B1" s="9" t="s">
        <v>28</v>
      </c>
      <c r="C1" s="9" t="s">
        <v>29</v>
      </c>
      <c r="D1" s="9" t="s">
        <v>2</v>
      </c>
      <c r="E1" s="9" t="s">
        <v>30</v>
      </c>
      <c r="F1" s="9" t="s">
        <v>11</v>
      </c>
      <c r="G1" s="9" t="s">
        <v>12</v>
      </c>
      <c r="H1" s="9" t="s">
        <v>13</v>
      </c>
      <c r="I1" s="9" t="s">
        <v>14</v>
      </c>
      <c r="J1" s="9" t="s">
        <v>15</v>
      </c>
      <c r="K1" s="9" t="s">
        <v>16</v>
      </c>
      <c r="L1" s="9" t="s">
        <v>17</v>
      </c>
      <c r="M1" s="9" t="s">
        <v>18</v>
      </c>
      <c r="N1" s="9" t="s">
        <v>19</v>
      </c>
      <c r="O1" s="9" t="s">
        <v>20</v>
      </c>
      <c r="P1" s="9" t="s">
        <v>21</v>
      </c>
      <c r="Q1" s="9" t="s">
        <v>31</v>
      </c>
      <c r="R1" s="9" t="s">
        <v>32</v>
      </c>
      <c r="S1" s="9" t="s">
        <v>3</v>
      </c>
      <c r="T1" s="9" t="s">
        <v>4</v>
      </c>
      <c r="U1" s="9" t="s">
        <v>5</v>
      </c>
      <c r="V1" s="9" t="s">
        <v>6</v>
      </c>
      <c r="W1" s="9" t="s">
        <v>33</v>
      </c>
      <c r="X1" s="9" t="s">
        <v>34</v>
      </c>
      <c r="Y1" s="9" t="s">
        <v>35</v>
      </c>
      <c r="Z1" s="9" t="s">
        <v>36</v>
      </c>
      <c r="AA1" s="9" t="s">
        <v>37</v>
      </c>
    </row>
    <row r="2" customFormat="false" ht="102.2" hidden="false" customHeight="false" outlineLevel="0" collapsed="false">
      <c r="A2" s="15" t="n">
        <v>46288</v>
      </c>
      <c r="B2" s="16" t="s">
        <v>38</v>
      </c>
      <c r="C2" s="17" t="n">
        <v>3</v>
      </c>
      <c r="D2" s="18" t="s">
        <v>39</v>
      </c>
      <c r="E2" s="19" t="s">
        <v>40</v>
      </c>
      <c r="F2" s="20" t="s">
        <v>41</v>
      </c>
      <c r="G2" s="20" t="s">
        <v>41</v>
      </c>
      <c r="H2" s="20" t="s">
        <v>41</v>
      </c>
      <c r="I2" s="20" t="s">
        <v>41</v>
      </c>
      <c r="J2" s="20" t="s">
        <v>41</v>
      </c>
      <c r="K2" s="20" t="s">
        <v>42</v>
      </c>
      <c r="L2" s="20" t="s">
        <v>41</v>
      </c>
      <c r="M2" s="20" t="s">
        <v>42</v>
      </c>
      <c r="N2" s="20" t="s">
        <v>41</v>
      </c>
      <c r="O2" s="20" t="s">
        <v>42</v>
      </c>
      <c r="P2" s="20" t="s">
        <v>43</v>
      </c>
      <c r="Q2" s="19" t="s">
        <v>44</v>
      </c>
      <c r="R2" s="21" t="n">
        <v>46289</v>
      </c>
      <c r="S2" s="19" t="s">
        <v>45</v>
      </c>
      <c r="T2" s="19" t="s">
        <v>46</v>
      </c>
      <c r="U2" s="19" t="s">
        <v>47</v>
      </c>
      <c r="V2" s="19" t="s">
        <v>48</v>
      </c>
      <c r="W2" s="19" t="s">
        <v>49</v>
      </c>
      <c r="X2" s="19" t="s">
        <v>50</v>
      </c>
      <c r="Y2" s="19" t="s">
        <v>51</v>
      </c>
      <c r="Z2" s="19" t="s">
        <v>52</v>
      </c>
      <c r="AA2" s="19" t="s">
        <v>53</v>
      </c>
    </row>
    <row r="3" customFormat="false" ht="102.2" hidden="false" customHeight="false" outlineLevel="0" collapsed="false">
      <c r="A3" s="15" t="n">
        <v>46289</v>
      </c>
      <c r="B3" s="16" t="s">
        <v>54</v>
      </c>
      <c r="C3" s="17" t="n">
        <v>3</v>
      </c>
      <c r="D3" s="18" t="s">
        <v>55</v>
      </c>
      <c r="E3" s="19" t="s">
        <v>56</v>
      </c>
      <c r="F3" s="20" t="s">
        <v>41</v>
      </c>
      <c r="G3" s="20" t="s">
        <v>41</v>
      </c>
      <c r="H3" s="20" t="s">
        <v>41</v>
      </c>
      <c r="I3" s="20" t="s">
        <v>41</v>
      </c>
      <c r="J3" s="20" t="s">
        <v>41</v>
      </c>
      <c r="K3" s="20" t="s">
        <v>42</v>
      </c>
      <c r="L3" s="20" t="s">
        <v>41</v>
      </c>
      <c r="M3" s="20" t="s">
        <v>42</v>
      </c>
      <c r="N3" s="20" t="s">
        <v>41</v>
      </c>
      <c r="O3" s="20" t="s">
        <v>42</v>
      </c>
      <c r="P3" s="20" t="s">
        <v>43</v>
      </c>
      <c r="Q3" s="19" t="s">
        <v>57</v>
      </c>
      <c r="R3" s="21" t="n">
        <v>46290</v>
      </c>
      <c r="S3" s="19" t="s">
        <v>58</v>
      </c>
      <c r="T3" s="19" t="s">
        <v>59</v>
      </c>
      <c r="U3" s="19" t="s">
        <v>60</v>
      </c>
      <c r="V3" s="19" t="s">
        <v>48</v>
      </c>
      <c r="W3" s="19" t="s">
        <v>49</v>
      </c>
      <c r="X3" s="19" t="s">
        <v>61</v>
      </c>
      <c r="Y3" s="19" t="s">
        <v>62</v>
      </c>
      <c r="Z3" s="19" t="s">
        <v>63</v>
      </c>
      <c r="AA3" s="19" t="s">
        <v>64</v>
      </c>
    </row>
    <row r="4" customFormat="false" ht="102.2" hidden="false" customHeight="false" outlineLevel="0" collapsed="false">
      <c r="A4" s="15" t="n">
        <v>46290</v>
      </c>
      <c r="B4" s="16" t="s">
        <v>65</v>
      </c>
      <c r="C4" s="17" t="n">
        <v>3</v>
      </c>
      <c r="D4" s="18" t="s">
        <v>66</v>
      </c>
      <c r="E4" s="19" t="s">
        <v>67</v>
      </c>
      <c r="F4" s="20" t="s">
        <v>41</v>
      </c>
      <c r="G4" s="20" t="s">
        <v>41</v>
      </c>
      <c r="H4" s="20" t="s">
        <v>41</v>
      </c>
      <c r="I4" s="20" t="s">
        <v>41</v>
      </c>
      <c r="J4" s="20" t="s">
        <v>41</v>
      </c>
      <c r="K4" s="20" t="s">
        <v>42</v>
      </c>
      <c r="L4" s="20" t="s">
        <v>41</v>
      </c>
      <c r="M4" s="20" t="s">
        <v>42</v>
      </c>
      <c r="N4" s="20" t="s">
        <v>41</v>
      </c>
      <c r="O4" s="20" t="s">
        <v>42</v>
      </c>
      <c r="P4" s="20" t="s">
        <v>43</v>
      </c>
      <c r="Q4" s="19" t="s">
        <v>68</v>
      </c>
      <c r="R4" s="21" t="n">
        <v>46293</v>
      </c>
      <c r="S4" s="19" t="s">
        <v>69</v>
      </c>
      <c r="T4" s="19" t="s">
        <v>70</v>
      </c>
      <c r="U4" s="19" t="s">
        <v>71</v>
      </c>
      <c r="V4" s="19" t="s">
        <v>48</v>
      </c>
      <c r="W4" s="19" t="s">
        <v>49</v>
      </c>
      <c r="X4" s="19" t="s">
        <v>72</v>
      </c>
      <c r="Y4" s="19" t="s">
        <v>73</v>
      </c>
      <c r="Z4" s="19" t="s">
        <v>74</v>
      </c>
      <c r="AA4" s="19" t="s">
        <v>75</v>
      </c>
    </row>
    <row r="5" customFormat="false" ht="68.65" hidden="false" customHeight="false" outlineLevel="0" collapsed="false">
      <c r="A5" s="15" t="n">
        <v>46293</v>
      </c>
      <c r="B5" s="16" t="s">
        <v>76</v>
      </c>
      <c r="C5" s="17" t="n">
        <v>3</v>
      </c>
      <c r="D5" s="18" t="s">
        <v>77</v>
      </c>
      <c r="E5" s="19" t="s">
        <v>78</v>
      </c>
      <c r="F5" s="20" t="s">
        <v>41</v>
      </c>
      <c r="G5" s="20" t="s">
        <v>41</v>
      </c>
      <c r="H5" s="20" t="s">
        <v>41</v>
      </c>
      <c r="I5" s="20" t="s">
        <v>41</v>
      </c>
      <c r="J5" s="20" t="s">
        <v>41</v>
      </c>
      <c r="K5" s="20" t="s">
        <v>42</v>
      </c>
      <c r="L5" s="20" t="s">
        <v>41</v>
      </c>
      <c r="M5" s="20" t="s">
        <v>42</v>
      </c>
      <c r="N5" s="20" t="s">
        <v>41</v>
      </c>
      <c r="O5" s="20" t="s">
        <v>42</v>
      </c>
      <c r="P5" s="20" t="s">
        <v>43</v>
      </c>
      <c r="Q5" s="19" t="s">
        <v>79</v>
      </c>
      <c r="R5" s="21" t="n">
        <v>46294</v>
      </c>
      <c r="S5" s="19" t="s">
        <v>80</v>
      </c>
      <c r="T5" s="19" t="s">
        <v>81</v>
      </c>
      <c r="U5" s="19" t="s">
        <v>82</v>
      </c>
      <c r="V5" s="19" t="s">
        <v>83</v>
      </c>
      <c r="W5" s="19" t="s">
        <v>84</v>
      </c>
      <c r="X5" s="19" t="s">
        <v>85</v>
      </c>
      <c r="Y5" s="19" t="s">
        <v>86</v>
      </c>
      <c r="Z5" s="19" t="s">
        <v>87</v>
      </c>
      <c r="AA5" s="19" t="s">
        <v>88</v>
      </c>
    </row>
    <row r="6" customFormat="false" ht="68.65" hidden="false" customHeight="false" outlineLevel="0" collapsed="false">
      <c r="A6" s="15" t="n">
        <v>46294</v>
      </c>
      <c r="B6" s="16" t="s">
        <v>89</v>
      </c>
      <c r="C6" s="17" t="n">
        <v>3</v>
      </c>
      <c r="D6" s="18" t="s">
        <v>90</v>
      </c>
      <c r="E6" s="19" t="s">
        <v>91</v>
      </c>
      <c r="F6" s="20" t="s">
        <v>41</v>
      </c>
      <c r="G6" s="20" t="s">
        <v>41</v>
      </c>
      <c r="H6" s="20" t="s">
        <v>41</v>
      </c>
      <c r="I6" s="20" t="s">
        <v>41</v>
      </c>
      <c r="J6" s="20" t="s">
        <v>41</v>
      </c>
      <c r="K6" s="20" t="s">
        <v>42</v>
      </c>
      <c r="L6" s="20" t="s">
        <v>41</v>
      </c>
      <c r="M6" s="20" t="s">
        <v>42</v>
      </c>
      <c r="N6" s="20" t="s">
        <v>41</v>
      </c>
      <c r="O6" s="20" t="s">
        <v>42</v>
      </c>
      <c r="P6" s="20" t="s">
        <v>43</v>
      </c>
      <c r="Q6" s="19" t="s">
        <v>92</v>
      </c>
      <c r="R6" s="21" t="n">
        <v>46295</v>
      </c>
      <c r="S6" s="19" t="s">
        <v>93</v>
      </c>
      <c r="T6" s="19" t="s">
        <v>94</v>
      </c>
      <c r="U6" s="19" t="s">
        <v>95</v>
      </c>
      <c r="V6" s="19" t="s">
        <v>83</v>
      </c>
      <c r="W6" s="19" t="s">
        <v>84</v>
      </c>
      <c r="X6" s="19" t="s">
        <v>85</v>
      </c>
      <c r="Y6" s="19" t="s">
        <v>96</v>
      </c>
      <c r="Z6" s="19" t="s">
        <v>97</v>
      </c>
      <c r="AA6" s="19" t="s">
        <v>98</v>
      </c>
    </row>
    <row r="7" customFormat="false" ht="68.65" hidden="false" customHeight="false" outlineLevel="0" collapsed="false">
      <c r="A7" s="15" t="n">
        <v>46295</v>
      </c>
      <c r="B7" s="16" t="s">
        <v>38</v>
      </c>
      <c r="C7" s="17" t="n">
        <v>3</v>
      </c>
      <c r="D7" s="18" t="s">
        <v>99</v>
      </c>
      <c r="E7" s="19" t="s">
        <v>100</v>
      </c>
      <c r="F7" s="20" t="s">
        <v>41</v>
      </c>
      <c r="G7" s="20" t="s">
        <v>41</v>
      </c>
      <c r="H7" s="20" t="s">
        <v>41</v>
      </c>
      <c r="I7" s="20" t="s">
        <v>41</v>
      </c>
      <c r="J7" s="20" t="s">
        <v>41</v>
      </c>
      <c r="K7" s="20" t="s">
        <v>42</v>
      </c>
      <c r="L7" s="20" t="s">
        <v>41</v>
      </c>
      <c r="M7" s="20" t="s">
        <v>42</v>
      </c>
      <c r="N7" s="20" t="s">
        <v>41</v>
      </c>
      <c r="O7" s="20" t="s">
        <v>42</v>
      </c>
      <c r="P7" s="20" t="s">
        <v>43</v>
      </c>
      <c r="Q7" s="19" t="s">
        <v>101</v>
      </c>
      <c r="R7" s="21" t="n">
        <v>46296</v>
      </c>
      <c r="S7" s="19" t="s">
        <v>102</v>
      </c>
      <c r="T7" s="19" t="s">
        <v>103</v>
      </c>
      <c r="U7" s="19" t="s">
        <v>104</v>
      </c>
      <c r="V7" s="19" t="s">
        <v>83</v>
      </c>
      <c r="W7" s="19" t="s">
        <v>84</v>
      </c>
      <c r="X7" s="19" t="s">
        <v>105</v>
      </c>
      <c r="Y7" s="19" t="s">
        <v>106</v>
      </c>
      <c r="Z7" s="19" t="s">
        <v>107</v>
      </c>
      <c r="AA7" s="19" t="s">
        <v>108</v>
      </c>
    </row>
    <row r="8" customFormat="false" ht="68.65" hidden="false" customHeight="false" outlineLevel="0" collapsed="false">
      <c r="A8" s="15" t="n">
        <v>46296</v>
      </c>
      <c r="B8" s="16" t="s">
        <v>54</v>
      </c>
      <c r="C8" s="17" t="n">
        <v>3</v>
      </c>
      <c r="D8" s="18" t="s">
        <v>109</v>
      </c>
      <c r="E8" s="19" t="s">
        <v>110</v>
      </c>
      <c r="F8" s="20" t="s">
        <v>41</v>
      </c>
      <c r="G8" s="20" t="s">
        <v>41</v>
      </c>
      <c r="H8" s="20" t="s">
        <v>41</v>
      </c>
      <c r="I8" s="20" t="s">
        <v>41</v>
      </c>
      <c r="J8" s="20" t="s">
        <v>41</v>
      </c>
      <c r="K8" s="20" t="s">
        <v>42</v>
      </c>
      <c r="L8" s="20" t="s">
        <v>41</v>
      </c>
      <c r="M8" s="20" t="s">
        <v>42</v>
      </c>
      <c r="N8" s="20" t="s">
        <v>41</v>
      </c>
      <c r="O8" s="20" t="s">
        <v>42</v>
      </c>
      <c r="P8" s="20" t="s">
        <v>43</v>
      </c>
      <c r="Q8" s="19" t="s">
        <v>111</v>
      </c>
      <c r="R8" s="21" t="n">
        <v>46297</v>
      </c>
      <c r="S8" s="19" t="s">
        <v>112</v>
      </c>
      <c r="T8" s="19" t="s">
        <v>113</v>
      </c>
      <c r="U8" s="19" t="s">
        <v>114</v>
      </c>
      <c r="V8" s="19" t="s">
        <v>115</v>
      </c>
      <c r="W8" s="19" t="s">
        <v>116</v>
      </c>
      <c r="X8" s="19" t="s">
        <v>50</v>
      </c>
      <c r="Y8" s="19" t="s">
        <v>117</v>
      </c>
      <c r="Z8" s="19" t="s">
        <v>118</v>
      </c>
      <c r="AA8" s="19" t="s">
        <v>119</v>
      </c>
    </row>
    <row r="9" customFormat="false" ht="68.65" hidden="false" customHeight="false" outlineLevel="0" collapsed="false">
      <c r="A9" s="15" t="n">
        <v>46297</v>
      </c>
      <c r="B9" s="16" t="s">
        <v>65</v>
      </c>
      <c r="C9" s="17" t="n">
        <v>3</v>
      </c>
      <c r="D9" s="18" t="s">
        <v>120</v>
      </c>
      <c r="E9" s="19" t="s">
        <v>121</v>
      </c>
      <c r="F9" s="20" t="s">
        <v>41</v>
      </c>
      <c r="G9" s="20" t="s">
        <v>41</v>
      </c>
      <c r="H9" s="20" t="s">
        <v>41</v>
      </c>
      <c r="I9" s="20" t="s">
        <v>41</v>
      </c>
      <c r="J9" s="20" t="s">
        <v>41</v>
      </c>
      <c r="K9" s="20" t="s">
        <v>42</v>
      </c>
      <c r="L9" s="20" t="s">
        <v>41</v>
      </c>
      <c r="M9" s="20" t="s">
        <v>42</v>
      </c>
      <c r="N9" s="20" t="s">
        <v>41</v>
      </c>
      <c r="O9" s="20" t="s">
        <v>42</v>
      </c>
      <c r="P9" s="20" t="s">
        <v>43</v>
      </c>
      <c r="Q9" s="19" t="s">
        <v>122</v>
      </c>
      <c r="R9" s="21" t="n">
        <v>46300</v>
      </c>
      <c r="S9" s="19" t="s">
        <v>123</v>
      </c>
      <c r="T9" s="19" t="s">
        <v>124</v>
      </c>
      <c r="U9" s="19" t="s">
        <v>125</v>
      </c>
      <c r="V9" s="19" t="s">
        <v>115</v>
      </c>
      <c r="W9" s="19" t="s">
        <v>116</v>
      </c>
      <c r="X9" s="19" t="s">
        <v>61</v>
      </c>
      <c r="Y9" s="19" t="s">
        <v>126</v>
      </c>
      <c r="Z9" s="19" t="s">
        <v>127</v>
      </c>
      <c r="AA9" s="19" t="s">
        <v>128</v>
      </c>
    </row>
    <row r="10" customFormat="false" ht="68.65" hidden="false" customHeight="false" outlineLevel="0" collapsed="false">
      <c r="A10" s="15" t="n">
        <v>46300</v>
      </c>
      <c r="B10" s="16" t="s">
        <v>76</v>
      </c>
      <c r="C10" s="17" t="n">
        <v>3</v>
      </c>
      <c r="D10" s="18" t="s">
        <v>129</v>
      </c>
      <c r="E10" s="19" t="s">
        <v>130</v>
      </c>
      <c r="F10" s="20" t="s">
        <v>41</v>
      </c>
      <c r="G10" s="20" t="s">
        <v>41</v>
      </c>
      <c r="H10" s="20" t="s">
        <v>41</v>
      </c>
      <c r="I10" s="20" t="s">
        <v>41</v>
      </c>
      <c r="J10" s="20" t="s">
        <v>41</v>
      </c>
      <c r="K10" s="20" t="s">
        <v>42</v>
      </c>
      <c r="L10" s="20" t="s">
        <v>41</v>
      </c>
      <c r="M10" s="20" t="s">
        <v>42</v>
      </c>
      <c r="N10" s="20" t="s">
        <v>41</v>
      </c>
      <c r="O10" s="20" t="s">
        <v>42</v>
      </c>
      <c r="P10" s="20" t="s">
        <v>43</v>
      </c>
      <c r="Q10" s="19" t="s">
        <v>131</v>
      </c>
      <c r="R10" s="21" t="n">
        <v>46301</v>
      </c>
      <c r="S10" s="19" t="s">
        <v>132</v>
      </c>
      <c r="T10" s="19" t="s">
        <v>133</v>
      </c>
      <c r="U10" s="19" t="s">
        <v>134</v>
      </c>
      <c r="V10" s="19" t="s">
        <v>135</v>
      </c>
      <c r="W10" s="19" t="s">
        <v>136</v>
      </c>
      <c r="X10" s="19" t="s">
        <v>137</v>
      </c>
      <c r="Y10" s="19" t="s">
        <v>138</v>
      </c>
      <c r="Z10" s="19" t="s">
        <v>139</v>
      </c>
      <c r="AA10" s="19" t="s">
        <v>140</v>
      </c>
    </row>
    <row r="11" customFormat="false" ht="68.65" hidden="false" customHeight="false" outlineLevel="0" collapsed="false">
      <c r="A11" s="15" t="n">
        <v>46301</v>
      </c>
      <c r="B11" s="16" t="s">
        <v>89</v>
      </c>
      <c r="C11" s="17" t="n">
        <v>3</v>
      </c>
      <c r="D11" s="18" t="s">
        <v>141</v>
      </c>
      <c r="E11" s="19" t="s">
        <v>142</v>
      </c>
      <c r="F11" s="20" t="s">
        <v>41</v>
      </c>
      <c r="G11" s="20" t="s">
        <v>41</v>
      </c>
      <c r="H11" s="20" t="s">
        <v>41</v>
      </c>
      <c r="I11" s="20" t="s">
        <v>41</v>
      </c>
      <c r="J11" s="20" t="s">
        <v>41</v>
      </c>
      <c r="K11" s="20" t="s">
        <v>42</v>
      </c>
      <c r="L11" s="20" t="s">
        <v>41</v>
      </c>
      <c r="M11" s="20" t="s">
        <v>42</v>
      </c>
      <c r="N11" s="20" t="s">
        <v>41</v>
      </c>
      <c r="O11" s="20" t="s">
        <v>42</v>
      </c>
      <c r="P11" s="20" t="s">
        <v>43</v>
      </c>
      <c r="Q11" s="19" t="s">
        <v>143</v>
      </c>
      <c r="R11" s="21" t="n">
        <v>46302</v>
      </c>
      <c r="S11" s="19" t="s">
        <v>144</v>
      </c>
      <c r="T11" s="19" t="s">
        <v>145</v>
      </c>
      <c r="U11" s="19" t="s">
        <v>146</v>
      </c>
      <c r="V11" s="19" t="s">
        <v>135</v>
      </c>
      <c r="W11" s="19" t="s">
        <v>136</v>
      </c>
      <c r="X11" s="19" t="s">
        <v>147</v>
      </c>
      <c r="Y11" s="19" t="s">
        <v>148</v>
      </c>
      <c r="Z11" s="19" t="s">
        <v>149</v>
      </c>
      <c r="AA11" s="19" t="s">
        <v>150</v>
      </c>
    </row>
    <row r="12" customFormat="false" ht="23.85" hidden="false" customHeight="false" outlineLevel="0" collapsed="false">
      <c r="A12" s="22" t="n">
        <v>46302</v>
      </c>
      <c r="B12" s="23" t="s">
        <v>38</v>
      </c>
      <c r="C12" s="24" t="n">
        <v>3</v>
      </c>
      <c r="D12" s="25" t="s">
        <v>151</v>
      </c>
      <c r="E12" s="26" t="s">
        <v>152</v>
      </c>
      <c r="F12" s="27" t="s">
        <v>153</v>
      </c>
      <c r="G12" s="23"/>
      <c r="H12" s="23"/>
      <c r="I12" s="23"/>
      <c r="J12" s="23"/>
      <c r="K12" s="27" t="s">
        <v>154</v>
      </c>
      <c r="L12" s="23"/>
      <c r="M12" s="23"/>
      <c r="N12" s="23"/>
      <c r="O12" s="23"/>
      <c r="P12" s="27" t="s">
        <v>43</v>
      </c>
      <c r="Q12" s="26"/>
      <c r="R12" s="28"/>
      <c r="S12" s="23"/>
      <c r="T12" s="23"/>
      <c r="U12" s="23"/>
      <c r="V12" s="26"/>
      <c r="W12" s="26"/>
      <c r="X12" s="23"/>
      <c r="Y12" s="23"/>
      <c r="Z12" s="23"/>
      <c r="AA12" s="26"/>
    </row>
    <row r="13" customFormat="false" ht="15" hidden="false" customHeight="false" outlineLevel="0" collapsed="false">
      <c r="A13" s="29" t="n">
        <v>46303</v>
      </c>
      <c r="B13" s="30" t="s">
        <v>54</v>
      </c>
      <c r="C13" s="31" t="n">
        <v>3</v>
      </c>
      <c r="D13" s="32" t="s">
        <v>155</v>
      </c>
      <c r="E13" s="33" t="s">
        <v>156</v>
      </c>
      <c r="F13" s="34" t="s">
        <v>157</v>
      </c>
      <c r="G13" s="30"/>
      <c r="H13" s="30"/>
      <c r="I13" s="30"/>
      <c r="J13" s="30"/>
      <c r="K13" s="34" t="s">
        <v>158</v>
      </c>
      <c r="L13" s="30"/>
      <c r="M13" s="30"/>
      <c r="N13" s="30"/>
      <c r="O13" s="30"/>
      <c r="P13" s="34" t="s">
        <v>43</v>
      </c>
      <c r="Q13" s="33"/>
      <c r="R13" s="35"/>
      <c r="S13" s="30"/>
      <c r="T13" s="30"/>
      <c r="U13" s="30"/>
      <c r="V13" s="33"/>
      <c r="W13" s="33"/>
      <c r="X13" s="30"/>
      <c r="Y13" s="30"/>
      <c r="Z13" s="30"/>
      <c r="AA13" s="33"/>
    </row>
    <row r="14" customFormat="false" ht="15" hidden="false" customHeight="false" outlineLevel="0" collapsed="false">
      <c r="A14" s="29" t="n">
        <v>46304</v>
      </c>
      <c r="B14" s="30" t="s">
        <v>65</v>
      </c>
      <c r="C14" s="31" t="n">
        <v>3</v>
      </c>
      <c r="D14" s="32" t="s">
        <v>159</v>
      </c>
      <c r="E14" s="33" t="s">
        <v>160</v>
      </c>
      <c r="F14" s="34" t="s">
        <v>157</v>
      </c>
      <c r="G14" s="30"/>
      <c r="H14" s="30"/>
      <c r="I14" s="30"/>
      <c r="J14" s="30"/>
      <c r="K14" s="34" t="s">
        <v>158</v>
      </c>
      <c r="L14" s="30"/>
      <c r="M14" s="30"/>
      <c r="N14" s="30"/>
      <c r="O14" s="30"/>
      <c r="P14" s="34" t="s">
        <v>43</v>
      </c>
      <c r="Q14" s="33"/>
      <c r="R14" s="35"/>
      <c r="S14" s="30"/>
      <c r="T14" s="30"/>
      <c r="U14" s="30"/>
      <c r="V14" s="33"/>
      <c r="W14" s="33"/>
      <c r="X14" s="30"/>
      <c r="Y14" s="30"/>
      <c r="Z14" s="30"/>
      <c r="AA14" s="33"/>
    </row>
    <row r="15" customFormat="false" ht="23.85" hidden="false" customHeight="false" outlineLevel="0" collapsed="false">
      <c r="A15" s="22" t="n">
        <v>46308</v>
      </c>
      <c r="B15" s="23" t="s">
        <v>89</v>
      </c>
      <c r="C15" s="24" t="n">
        <v>3</v>
      </c>
      <c r="D15" s="25" t="s">
        <v>161</v>
      </c>
      <c r="E15" s="26" t="s">
        <v>162</v>
      </c>
      <c r="F15" s="23"/>
      <c r="G15" s="23"/>
      <c r="H15" s="23"/>
      <c r="I15" s="23"/>
      <c r="J15" s="23"/>
      <c r="K15" s="23"/>
      <c r="L15" s="23"/>
      <c r="M15" s="23"/>
      <c r="N15" s="23"/>
      <c r="O15" s="23"/>
      <c r="P15" s="27" t="s">
        <v>43</v>
      </c>
      <c r="Q15" s="26"/>
      <c r="R15" s="28"/>
      <c r="S15" s="23"/>
      <c r="T15" s="23"/>
      <c r="U15" s="23"/>
      <c r="V15" s="26"/>
      <c r="W15" s="26"/>
      <c r="X15" s="23"/>
      <c r="Y15" s="23"/>
      <c r="Z15" s="23"/>
      <c r="AA15" s="26"/>
    </row>
    <row r="16" customFormat="false" ht="68.65" hidden="false" customHeight="false" outlineLevel="0" collapsed="false">
      <c r="A16" s="36" t="n">
        <v>46309</v>
      </c>
      <c r="B16" s="37" t="s">
        <v>38</v>
      </c>
      <c r="C16" s="38" t="n">
        <v>4</v>
      </c>
      <c r="D16" s="39" t="s">
        <v>163</v>
      </c>
      <c r="E16" s="40" t="s">
        <v>164</v>
      </c>
      <c r="F16" s="41" t="s">
        <v>41</v>
      </c>
      <c r="G16" s="41" t="s">
        <v>41</v>
      </c>
      <c r="H16" s="41" t="s">
        <v>41</v>
      </c>
      <c r="I16" s="41" t="s">
        <v>41</v>
      </c>
      <c r="J16" s="41" t="s">
        <v>41</v>
      </c>
      <c r="K16" s="41" t="s">
        <v>42</v>
      </c>
      <c r="L16" s="41" t="s">
        <v>41</v>
      </c>
      <c r="M16" s="41" t="s">
        <v>42</v>
      </c>
      <c r="N16" s="41" t="s">
        <v>41</v>
      </c>
      <c r="O16" s="41" t="s">
        <v>42</v>
      </c>
      <c r="P16" s="41" t="s">
        <v>43</v>
      </c>
      <c r="Q16" s="40" t="s">
        <v>165</v>
      </c>
      <c r="R16" s="42" t="n">
        <v>46310</v>
      </c>
      <c r="S16" s="40" t="s">
        <v>166</v>
      </c>
      <c r="T16" s="40" t="s">
        <v>167</v>
      </c>
      <c r="U16" s="40" t="s">
        <v>168</v>
      </c>
      <c r="V16" s="40" t="s">
        <v>169</v>
      </c>
      <c r="W16" s="40" t="s">
        <v>170</v>
      </c>
      <c r="X16" s="40" t="s">
        <v>61</v>
      </c>
      <c r="Y16" s="40" t="s">
        <v>171</v>
      </c>
      <c r="Z16" s="40" t="s">
        <v>172</v>
      </c>
      <c r="AA16" s="40" t="s">
        <v>173</v>
      </c>
    </row>
    <row r="17" customFormat="false" ht="68.65" hidden="false" customHeight="false" outlineLevel="0" collapsed="false">
      <c r="A17" s="36" t="n">
        <v>46310</v>
      </c>
      <c r="B17" s="37" t="s">
        <v>54</v>
      </c>
      <c r="C17" s="38" t="n">
        <v>4</v>
      </c>
      <c r="D17" s="39" t="s">
        <v>174</v>
      </c>
      <c r="E17" s="40" t="s">
        <v>175</v>
      </c>
      <c r="F17" s="41" t="s">
        <v>41</v>
      </c>
      <c r="G17" s="41" t="s">
        <v>41</v>
      </c>
      <c r="H17" s="41" t="s">
        <v>41</v>
      </c>
      <c r="I17" s="41" t="s">
        <v>41</v>
      </c>
      <c r="J17" s="41" t="s">
        <v>41</v>
      </c>
      <c r="K17" s="41" t="s">
        <v>42</v>
      </c>
      <c r="L17" s="41" t="s">
        <v>41</v>
      </c>
      <c r="M17" s="41" t="s">
        <v>42</v>
      </c>
      <c r="N17" s="41" t="s">
        <v>41</v>
      </c>
      <c r="O17" s="41" t="s">
        <v>42</v>
      </c>
      <c r="P17" s="41" t="s">
        <v>43</v>
      </c>
      <c r="Q17" s="40" t="s">
        <v>176</v>
      </c>
      <c r="R17" s="42" t="n">
        <v>46311</v>
      </c>
      <c r="S17" s="40" t="s">
        <v>177</v>
      </c>
      <c r="T17" s="40" t="s">
        <v>178</v>
      </c>
      <c r="U17" s="40" t="s">
        <v>179</v>
      </c>
      <c r="V17" s="40" t="s">
        <v>169</v>
      </c>
      <c r="W17" s="40" t="s">
        <v>170</v>
      </c>
      <c r="X17" s="40" t="s">
        <v>50</v>
      </c>
      <c r="Y17" s="40" t="s">
        <v>180</v>
      </c>
      <c r="Z17" s="40" t="s">
        <v>181</v>
      </c>
      <c r="AA17" s="40" t="s">
        <v>182</v>
      </c>
    </row>
    <row r="18" customFormat="false" ht="68.65" hidden="false" customHeight="false" outlineLevel="0" collapsed="false">
      <c r="A18" s="36" t="n">
        <v>46311</v>
      </c>
      <c r="B18" s="37" t="s">
        <v>65</v>
      </c>
      <c r="C18" s="38" t="n">
        <v>4</v>
      </c>
      <c r="D18" s="39" t="s">
        <v>183</v>
      </c>
      <c r="E18" s="40" t="s">
        <v>184</v>
      </c>
      <c r="F18" s="41" t="s">
        <v>41</v>
      </c>
      <c r="G18" s="41" t="s">
        <v>41</v>
      </c>
      <c r="H18" s="41" t="s">
        <v>41</v>
      </c>
      <c r="I18" s="41" t="s">
        <v>41</v>
      </c>
      <c r="J18" s="41" t="s">
        <v>41</v>
      </c>
      <c r="K18" s="41" t="s">
        <v>42</v>
      </c>
      <c r="L18" s="41" t="s">
        <v>41</v>
      </c>
      <c r="M18" s="41" t="s">
        <v>42</v>
      </c>
      <c r="N18" s="41" t="s">
        <v>41</v>
      </c>
      <c r="O18" s="41" t="s">
        <v>42</v>
      </c>
      <c r="P18" s="41" t="s">
        <v>43</v>
      </c>
      <c r="Q18" s="40" t="s">
        <v>185</v>
      </c>
      <c r="R18" s="42" t="n">
        <v>46314</v>
      </c>
      <c r="S18" s="40" t="s">
        <v>186</v>
      </c>
      <c r="T18" s="40" t="s">
        <v>187</v>
      </c>
      <c r="U18" s="40" t="s">
        <v>188</v>
      </c>
      <c r="V18" s="40" t="s">
        <v>189</v>
      </c>
      <c r="W18" s="40" t="s">
        <v>190</v>
      </c>
      <c r="X18" s="40" t="s">
        <v>191</v>
      </c>
      <c r="Y18" s="40" t="s">
        <v>192</v>
      </c>
      <c r="Z18" s="40" t="s">
        <v>193</v>
      </c>
      <c r="AA18" s="40" t="s">
        <v>194</v>
      </c>
    </row>
    <row r="19" customFormat="false" ht="68.65" hidden="false" customHeight="false" outlineLevel="0" collapsed="false">
      <c r="A19" s="36" t="n">
        <v>46314</v>
      </c>
      <c r="B19" s="37" t="s">
        <v>76</v>
      </c>
      <c r="C19" s="38" t="n">
        <v>4</v>
      </c>
      <c r="D19" s="39" t="s">
        <v>195</v>
      </c>
      <c r="E19" s="40" t="s">
        <v>196</v>
      </c>
      <c r="F19" s="41" t="s">
        <v>41</v>
      </c>
      <c r="G19" s="41" t="s">
        <v>41</v>
      </c>
      <c r="H19" s="41" t="s">
        <v>41</v>
      </c>
      <c r="I19" s="41" t="s">
        <v>41</v>
      </c>
      <c r="J19" s="41" t="s">
        <v>41</v>
      </c>
      <c r="K19" s="41" t="s">
        <v>42</v>
      </c>
      <c r="L19" s="41" t="s">
        <v>41</v>
      </c>
      <c r="M19" s="41" t="s">
        <v>42</v>
      </c>
      <c r="N19" s="41" t="s">
        <v>41</v>
      </c>
      <c r="O19" s="41" t="s">
        <v>42</v>
      </c>
      <c r="P19" s="41" t="s">
        <v>43</v>
      </c>
      <c r="Q19" s="40" t="s">
        <v>197</v>
      </c>
      <c r="R19" s="42" t="n">
        <v>46316</v>
      </c>
      <c r="S19" s="40" t="s">
        <v>198</v>
      </c>
      <c r="T19" s="40" t="s">
        <v>199</v>
      </c>
      <c r="U19" s="40" t="s">
        <v>200</v>
      </c>
      <c r="V19" s="40" t="s">
        <v>201</v>
      </c>
      <c r="W19" s="40" t="s">
        <v>202</v>
      </c>
      <c r="X19" s="40" t="s">
        <v>61</v>
      </c>
      <c r="Y19" s="40" t="s">
        <v>203</v>
      </c>
      <c r="Z19" s="40" t="s">
        <v>204</v>
      </c>
      <c r="AA19" s="40" t="s">
        <v>205</v>
      </c>
    </row>
    <row r="20" customFormat="false" ht="68.65" hidden="false" customHeight="false" outlineLevel="0" collapsed="false">
      <c r="A20" s="36" t="n">
        <v>46315</v>
      </c>
      <c r="B20" s="37" t="s">
        <v>89</v>
      </c>
      <c r="C20" s="38" t="n">
        <v>4</v>
      </c>
      <c r="D20" s="39" t="s">
        <v>206</v>
      </c>
      <c r="E20" s="40" t="s">
        <v>207</v>
      </c>
      <c r="F20" s="41" t="s">
        <v>41</v>
      </c>
      <c r="G20" s="41" t="s">
        <v>41</v>
      </c>
      <c r="H20" s="41" t="s">
        <v>41</v>
      </c>
      <c r="I20" s="41" t="s">
        <v>41</v>
      </c>
      <c r="J20" s="41" t="s">
        <v>41</v>
      </c>
      <c r="K20" s="41" t="s">
        <v>42</v>
      </c>
      <c r="L20" s="41" t="s">
        <v>41</v>
      </c>
      <c r="M20" s="41" t="s">
        <v>42</v>
      </c>
      <c r="N20" s="41" t="s">
        <v>41</v>
      </c>
      <c r="O20" s="41" t="s">
        <v>42</v>
      </c>
      <c r="P20" s="41" t="s">
        <v>43</v>
      </c>
      <c r="Q20" s="40" t="s">
        <v>197</v>
      </c>
      <c r="R20" s="42" t="n">
        <v>46316</v>
      </c>
      <c r="S20" s="40" t="s">
        <v>208</v>
      </c>
      <c r="T20" s="40" t="s">
        <v>209</v>
      </c>
      <c r="U20" s="40" t="s">
        <v>210</v>
      </c>
      <c r="V20" s="40" t="s">
        <v>201</v>
      </c>
      <c r="W20" s="40" t="s">
        <v>202</v>
      </c>
      <c r="X20" s="40" t="s">
        <v>50</v>
      </c>
      <c r="Y20" s="40" t="s">
        <v>211</v>
      </c>
      <c r="Z20" s="40" t="s">
        <v>212</v>
      </c>
      <c r="AA20" s="40" t="s">
        <v>213</v>
      </c>
    </row>
    <row r="21" customFormat="false" ht="68.65" hidden="false" customHeight="false" outlineLevel="0" collapsed="false">
      <c r="A21" s="36" t="n">
        <v>46316</v>
      </c>
      <c r="B21" s="37" t="s">
        <v>38</v>
      </c>
      <c r="C21" s="38" t="n">
        <v>4</v>
      </c>
      <c r="D21" s="39" t="s">
        <v>214</v>
      </c>
      <c r="E21" s="40" t="s">
        <v>215</v>
      </c>
      <c r="F21" s="41" t="s">
        <v>41</v>
      </c>
      <c r="G21" s="41" t="s">
        <v>41</v>
      </c>
      <c r="H21" s="41" t="s">
        <v>41</v>
      </c>
      <c r="I21" s="41" t="s">
        <v>41</v>
      </c>
      <c r="J21" s="41" t="s">
        <v>41</v>
      </c>
      <c r="K21" s="41" t="s">
        <v>42</v>
      </c>
      <c r="L21" s="41" t="s">
        <v>41</v>
      </c>
      <c r="M21" s="41" t="s">
        <v>42</v>
      </c>
      <c r="N21" s="41" t="s">
        <v>41</v>
      </c>
      <c r="O21" s="41" t="s">
        <v>42</v>
      </c>
      <c r="P21" s="41" t="s">
        <v>43</v>
      </c>
      <c r="Q21" s="40" t="s">
        <v>216</v>
      </c>
      <c r="R21" s="42" t="n">
        <v>46317</v>
      </c>
      <c r="S21" s="40" t="s">
        <v>217</v>
      </c>
      <c r="T21" s="40" t="s">
        <v>218</v>
      </c>
      <c r="U21" s="40" t="s">
        <v>219</v>
      </c>
      <c r="V21" s="40" t="s">
        <v>201</v>
      </c>
      <c r="W21" s="40" t="s">
        <v>202</v>
      </c>
      <c r="X21" s="40" t="s">
        <v>220</v>
      </c>
      <c r="Y21" s="40" t="s">
        <v>221</v>
      </c>
      <c r="Z21" s="40" t="s">
        <v>222</v>
      </c>
      <c r="AA21" s="40" t="s">
        <v>223</v>
      </c>
    </row>
    <row r="22" customFormat="false" ht="15" hidden="false" customHeight="false" outlineLevel="0" collapsed="false">
      <c r="A22" s="29" t="n">
        <v>46317</v>
      </c>
      <c r="B22" s="30" t="s">
        <v>54</v>
      </c>
      <c r="C22" s="31" t="n">
        <v>4</v>
      </c>
      <c r="D22" s="32" t="s">
        <v>224</v>
      </c>
      <c r="E22" s="33" t="s">
        <v>225</v>
      </c>
      <c r="F22" s="34" t="s">
        <v>157</v>
      </c>
      <c r="G22" s="30"/>
      <c r="H22" s="30"/>
      <c r="I22" s="30"/>
      <c r="J22" s="30"/>
      <c r="K22" s="34" t="s">
        <v>158</v>
      </c>
      <c r="L22" s="30"/>
      <c r="M22" s="30"/>
      <c r="N22" s="30"/>
      <c r="O22" s="30"/>
      <c r="P22" s="34" t="s">
        <v>43</v>
      </c>
      <c r="Q22" s="33"/>
      <c r="R22" s="35"/>
      <c r="S22" s="30"/>
      <c r="T22" s="30"/>
      <c r="U22" s="30"/>
      <c r="V22" s="33"/>
      <c r="W22" s="33"/>
      <c r="X22" s="30"/>
      <c r="Y22" s="30"/>
      <c r="Z22" s="30"/>
      <c r="AA22" s="33"/>
    </row>
    <row r="23" customFormat="false" ht="15" hidden="false" customHeight="false" outlineLevel="0" collapsed="false">
      <c r="A23" s="29" t="n">
        <v>46318</v>
      </c>
      <c r="B23" s="30" t="s">
        <v>65</v>
      </c>
      <c r="C23" s="31" t="n">
        <v>4</v>
      </c>
      <c r="D23" s="32" t="s">
        <v>226</v>
      </c>
      <c r="E23" s="33" t="s">
        <v>227</v>
      </c>
      <c r="F23" s="34" t="s">
        <v>157</v>
      </c>
      <c r="G23" s="30"/>
      <c r="H23" s="30"/>
      <c r="I23" s="30"/>
      <c r="J23" s="30"/>
      <c r="K23" s="34" t="s">
        <v>158</v>
      </c>
      <c r="L23" s="30"/>
      <c r="M23" s="30"/>
      <c r="N23" s="30"/>
      <c r="O23" s="30"/>
      <c r="P23" s="34" t="s">
        <v>43</v>
      </c>
      <c r="Q23" s="33"/>
      <c r="R23" s="35"/>
      <c r="S23" s="30"/>
      <c r="T23" s="30"/>
      <c r="U23" s="30"/>
      <c r="V23" s="33"/>
      <c r="W23" s="33"/>
      <c r="X23" s="30"/>
      <c r="Y23" s="30"/>
      <c r="Z23" s="30"/>
      <c r="AA23" s="33"/>
    </row>
    <row r="24" customFormat="false" ht="23.85" hidden="false" customHeight="false" outlineLevel="0" collapsed="false">
      <c r="A24" s="22" t="n">
        <v>46321</v>
      </c>
      <c r="B24" s="23" t="s">
        <v>76</v>
      </c>
      <c r="C24" s="24" t="n">
        <v>4</v>
      </c>
      <c r="D24" s="25" t="s">
        <v>161</v>
      </c>
      <c r="E24" s="26" t="s">
        <v>162</v>
      </c>
      <c r="F24" s="23"/>
      <c r="G24" s="23"/>
      <c r="H24" s="23"/>
      <c r="I24" s="23"/>
      <c r="J24" s="23"/>
      <c r="K24" s="23"/>
      <c r="L24" s="23"/>
      <c r="M24" s="23"/>
      <c r="N24" s="23"/>
      <c r="O24" s="23"/>
      <c r="P24" s="27" t="s">
        <v>43</v>
      </c>
      <c r="Q24" s="26"/>
      <c r="R24" s="28"/>
      <c r="S24" s="23"/>
      <c r="T24" s="23"/>
      <c r="U24" s="23"/>
      <c r="V24" s="26"/>
      <c r="W24" s="26"/>
      <c r="X24" s="23"/>
      <c r="Y24" s="23"/>
      <c r="Z24" s="23"/>
      <c r="AA24" s="26"/>
    </row>
    <row r="25" customFormat="false" ht="35.05" hidden="false" customHeight="false" outlineLevel="0" collapsed="false">
      <c r="A25" s="15" t="n">
        <v>46322</v>
      </c>
      <c r="B25" s="16" t="s">
        <v>89</v>
      </c>
      <c r="C25" s="17" t="n">
        <v>5</v>
      </c>
      <c r="D25" s="18" t="s">
        <v>228</v>
      </c>
      <c r="E25" s="19" t="s">
        <v>229</v>
      </c>
      <c r="F25" s="43" t="s">
        <v>230</v>
      </c>
      <c r="G25" s="16"/>
      <c r="H25" s="16"/>
      <c r="I25" s="16"/>
      <c r="J25" s="16"/>
      <c r="K25" s="16"/>
      <c r="L25" s="16"/>
      <c r="M25" s="16"/>
      <c r="N25" s="16"/>
      <c r="O25" s="16"/>
      <c r="P25" s="16"/>
      <c r="Q25" s="19" t="s">
        <v>231</v>
      </c>
      <c r="R25" s="21" t="n">
        <v>46323</v>
      </c>
      <c r="S25" s="16"/>
      <c r="T25" s="16"/>
      <c r="U25" s="16"/>
      <c r="V25" s="19" t="s">
        <v>232</v>
      </c>
      <c r="W25" s="19" t="s">
        <v>233</v>
      </c>
      <c r="X25" s="16"/>
      <c r="Y25" s="16"/>
      <c r="Z25" s="16"/>
      <c r="AA25" s="19" t="s">
        <v>234</v>
      </c>
    </row>
    <row r="26" customFormat="false" ht="35.05" hidden="false" customHeight="false" outlineLevel="0" collapsed="false">
      <c r="A26" s="15" t="n">
        <v>46323</v>
      </c>
      <c r="B26" s="16" t="s">
        <v>38</v>
      </c>
      <c r="C26" s="17" t="n">
        <v>5</v>
      </c>
      <c r="D26" s="18" t="s">
        <v>235</v>
      </c>
      <c r="E26" s="19" t="s">
        <v>236</v>
      </c>
      <c r="F26" s="43" t="s">
        <v>230</v>
      </c>
      <c r="G26" s="16"/>
      <c r="H26" s="16"/>
      <c r="I26" s="16"/>
      <c r="J26" s="16"/>
      <c r="K26" s="16"/>
      <c r="L26" s="16"/>
      <c r="M26" s="16"/>
      <c r="N26" s="16"/>
      <c r="O26" s="16"/>
      <c r="P26" s="16"/>
      <c r="Q26" s="19" t="s">
        <v>237</v>
      </c>
      <c r="R26" s="21" t="n">
        <v>46324</v>
      </c>
      <c r="S26" s="16"/>
      <c r="T26" s="16"/>
      <c r="U26" s="16"/>
      <c r="V26" s="19" t="s">
        <v>232</v>
      </c>
      <c r="W26" s="19" t="s">
        <v>233</v>
      </c>
      <c r="X26" s="16"/>
      <c r="Y26" s="16"/>
      <c r="Z26" s="16"/>
      <c r="AA26" s="19" t="s">
        <v>238</v>
      </c>
    </row>
    <row r="27" customFormat="false" ht="35.05" hidden="false" customHeight="false" outlineLevel="0" collapsed="false">
      <c r="A27" s="15" t="n">
        <v>46324</v>
      </c>
      <c r="B27" s="16" t="s">
        <v>54</v>
      </c>
      <c r="C27" s="17" t="n">
        <v>5</v>
      </c>
      <c r="D27" s="18" t="s">
        <v>239</v>
      </c>
      <c r="E27" s="19" t="s">
        <v>240</v>
      </c>
      <c r="F27" s="43" t="s">
        <v>230</v>
      </c>
      <c r="G27" s="16"/>
      <c r="H27" s="16"/>
      <c r="I27" s="16"/>
      <c r="J27" s="16"/>
      <c r="K27" s="16"/>
      <c r="L27" s="16"/>
      <c r="M27" s="16"/>
      <c r="N27" s="16"/>
      <c r="O27" s="16"/>
      <c r="P27" s="16"/>
      <c r="Q27" s="19" t="s">
        <v>241</v>
      </c>
      <c r="R27" s="21" t="n">
        <v>46325</v>
      </c>
      <c r="S27" s="16"/>
      <c r="T27" s="16"/>
      <c r="U27" s="16"/>
      <c r="V27" s="19" t="s">
        <v>232</v>
      </c>
      <c r="W27" s="19" t="s">
        <v>233</v>
      </c>
      <c r="X27" s="16"/>
      <c r="Y27" s="16"/>
      <c r="Z27" s="16"/>
      <c r="AA27" s="19" t="s">
        <v>242</v>
      </c>
    </row>
    <row r="28" customFormat="false" ht="35.05" hidden="false" customHeight="false" outlineLevel="0" collapsed="false">
      <c r="A28" s="15" t="n">
        <v>46325</v>
      </c>
      <c r="B28" s="16" t="s">
        <v>65</v>
      </c>
      <c r="C28" s="17" t="n">
        <v>5</v>
      </c>
      <c r="D28" s="18" t="s">
        <v>243</v>
      </c>
      <c r="E28" s="19" t="s">
        <v>244</v>
      </c>
      <c r="F28" s="43" t="s">
        <v>230</v>
      </c>
      <c r="G28" s="16"/>
      <c r="H28" s="16"/>
      <c r="I28" s="16"/>
      <c r="J28" s="16"/>
      <c r="K28" s="16"/>
      <c r="L28" s="16"/>
      <c r="M28" s="16"/>
      <c r="N28" s="16"/>
      <c r="O28" s="16"/>
      <c r="P28" s="16"/>
      <c r="Q28" s="19" t="s">
        <v>245</v>
      </c>
      <c r="R28" s="21" t="n">
        <v>46329</v>
      </c>
      <c r="S28" s="16"/>
      <c r="T28" s="16"/>
      <c r="U28" s="16"/>
      <c r="V28" s="19" t="s">
        <v>246</v>
      </c>
      <c r="W28" s="19" t="s">
        <v>247</v>
      </c>
      <c r="X28" s="16"/>
      <c r="Y28" s="16"/>
      <c r="Z28" s="16"/>
      <c r="AA28" s="19" t="s">
        <v>248</v>
      </c>
    </row>
    <row r="29" customFormat="false" ht="35.05" hidden="false" customHeight="false" outlineLevel="0" collapsed="false">
      <c r="A29" s="15" t="n">
        <v>46328</v>
      </c>
      <c r="B29" s="16" t="s">
        <v>76</v>
      </c>
      <c r="C29" s="17" t="n">
        <v>5</v>
      </c>
      <c r="D29" s="18" t="s">
        <v>249</v>
      </c>
      <c r="E29" s="19" t="s">
        <v>250</v>
      </c>
      <c r="F29" s="43" t="s">
        <v>230</v>
      </c>
      <c r="G29" s="16"/>
      <c r="H29" s="16"/>
      <c r="I29" s="16"/>
      <c r="J29" s="16"/>
      <c r="K29" s="16"/>
      <c r="L29" s="16"/>
      <c r="M29" s="16"/>
      <c r="N29" s="16"/>
      <c r="O29" s="16"/>
      <c r="P29" s="16"/>
      <c r="Q29" s="19" t="s">
        <v>245</v>
      </c>
      <c r="R29" s="21" t="n">
        <v>46329</v>
      </c>
      <c r="S29" s="16"/>
      <c r="T29" s="16"/>
      <c r="U29" s="16"/>
      <c r="V29" s="19" t="s">
        <v>246</v>
      </c>
      <c r="W29" s="19" t="s">
        <v>247</v>
      </c>
      <c r="X29" s="16"/>
      <c r="Y29" s="16"/>
      <c r="Z29" s="16"/>
      <c r="AA29" s="19" t="s">
        <v>251</v>
      </c>
    </row>
    <row r="30" customFormat="false" ht="57.45" hidden="false" customHeight="false" outlineLevel="0" collapsed="false">
      <c r="A30" s="15" t="n">
        <v>46329</v>
      </c>
      <c r="B30" s="16" t="s">
        <v>89</v>
      </c>
      <c r="C30" s="17" t="n">
        <v>5</v>
      </c>
      <c r="D30" s="18" t="s">
        <v>252</v>
      </c>
      <c r="E30" s="19" t="s">
        <v>253</v>
      </c>
      <c r="F30" s="43" t="s">
        <v>230</v>
      </c>
      <c r="G30" s="16"/>
      <c r="H30" s="16"/>
      <c r="I30" s="16"/>
      <c r="J30" s="16"/>
      <c r="K30" s="16"/>
      <c r="L30" s="16"/>
      <c r="M30" s="16"/>
      <c r="N30" s="16"/>
      <c r="O30" s="16"/>
      <c r="P30" s="16"/>
      <c r="Q30" s="19" t="s">
        <v>254</v>
      </c>
      <c r="R30" s="21" t="n">
        <v>46330</v>
      </c>
      <c r="S30" s="16"/>
      <c r="T30" s="16"/>
      <c r="U30" s="16"/>
      <c r="V30" s="19" t="s">
        <v>255</v>
      </c>
      <c r="W30" s="19" t="s">
        <v>256</v>
      </c>
      <c r="X30" s="16"/>
      <c r="Y30" s="16"/>
      <c r="Z30" s="16"/>
      <c r="AA30" s="19" t="s">
        <v>257</v>
      </c>
    </row>
    <row r="31" customFormat="false" ht="23.85" hidden="false" customHeight="false" outlineLevel="0" collapsed="false">
      <c r="A31" s="22" t="n">
        <v>46330</v>
      </c>
      <c r="B31" s="23" t="s">
        <v>38</v>
      </c>
      <c r="C31" s="24" t="n">
        <v>5</v>
      </c>
      <c r="D31" s="25" t="s">
        <v>151</v>
      </c>
      <c r="E31" s="26" t="s">
        <v>152</v>
      </c>
      <c r="F31" s="44" t="s">
        <v>230</v>
      </c>
      <c r="G31" s="23"/>
      <c r="H31" s="23"/>
      <c r="I31" s="23"/>
      <c r="J31" s="23"/>
      <c r="K31" s="23"/>
      <c r="L31" s="23"/>
      <c r="M31" s="23"/>
      <c r="N31" s="23"/>
      <c r="O31" s="23"/>
      <c r="P31" s="23"/>
      <c r="Q31" s="26"/>
      <c r="R31" s="28"/>
      <c r="S31" s="23"/>
      <c r="T31" s="23"/>
      <c r="U31" s="23"/>
      <c r="V31" s="26"/>
      <c r="W31" s="26"/>
      <c r="X31" s="23"/>
      <c r="Y31" s="23"/>
      <c r="Z31" s="23"/>
      <c r="AA31" s="26"/>
    </row>
    <row r="32" customFormat="false" ht="15" hidden="false" customHeight="false" outlineLevel="0" collapsed="false">
      <c r="A32" s="29" t="n">
        <v>46331</v>
      </c>
      <c r="B32" s="30" t="s">
        <v>54</v>
      </c>
      <c r="C32" s="31" t="n">
        <v>5</v>
      </c>
      <c r="D32" s="32" t="s">
        <v>258</v>
      </c>
      <c r="E32" s="33" t="s">
        <v>259</v>
      </c>
      <c r="F32" s="45" t="s">
        <v>230</v>
      </c>
      <c r="G32" s="30"/>
      <c r="H32" s="30"/>
      <c r="I32" s="30"/>
      <c r="J32" s="30"/>
      <c r="K32" s="30"/>
      <c r="L32" s="30"/>
      <c r="M32" s="30"/>
      <c r="N32" s="30"/>
      <c r="O32" s="30"/>
      <c r="P32" s="30"/>
      <c r="Q32" s="33"/>
      <c r="R32" s="35"/>
      <c r="S32" s="30"/>
      <c r="T32" s="30"/>
      <c r="U32" s="30"/>
      <c r="V32" s="33"/>
      <c r="W32" s="33"/>
      <c r="X32" s="30"/>
      <c r="Y32" s="30"/>
      <c r="Z32" s="30"/>
      <c r="AA32" s="33"/>
    </row>
    <row r="33" customFormat="false" ht="15" hidden="false" customHeight="false" outlineLevel="0" collapsed="false">
      <c r="A33" s="29" t="n">
        <v>46332</v>
      </c>
      <c r="B33" s="30" t="s">
        <v>65</v>
      </c>
      <c r="C33" s="31" t="n">
        <v>5</v>
      </c>
      <c r="D33" s="32" t="s">
        <v>260</v>
      </c>
      <c r="E33" s="33" t="s">
        <v>261</v>
      </c>
      <c r="F33" s="45" t="s">
        <v>230</v>
      </c>
      <c r="G33" s="30"/>
      <c r="H33" s="30"/>
      <c r="I33" s="30"/>
      <c r="J33" s="30"/>
      <c r="K33" s="30"/>
      <c r="L33" s="30"/>
      <c r="M33" s="30"/>
      <c r="N33" s="30"/>
      <c r="O33" s="30"/>
      <c r="P33" s="30"/>
      <c r="Q33" s="33"/>
      <c r="R33" s="35"/>
      <c r="S33" s="30"/>
      <c r="T33" s="30"/>
      <c r="U33" s="30"/>
      <c r="V33" s="33"/>
      <c r="W33" s="33"/>
      <c r="X33" s="30"/>
      <c r="Y33" s="30"/>
      <c r="Z33" s="30"/>
      <c r="AA33" s="33"/>
    </row>
    <row r="34" customFormat="false" ht="46.25" hidden="false" customHeight="false" outlineLevel="0" collapsed="false">
      <c r="A34" s="36" t="n">
        <v>46335</v>
      </c>
      <c r="B34" s="37" t="s">
        <v>76</v>
      </c>
      <c r="C34" s="38" t="n">
        <v>6</v>
      </c>
      <c r="D34" s="39" t="s">
        <v>262</v>
      </c>
      <c r="E34" s="40" t="s">
        <v>263</v>
      </c>
      <c r="F34" s="46" t="s">
        <v>230</v>
      </c>
      <c r="G34" s="37"/>
      <c r="H34" s="37"/>
      <c r="I34" s="37"/>
      <c r="J34" s="37"/>
      <c r="K34" s="37"/>
      <c r="L34" s="37"/>
      <c r="M34" s="37"/>
      <c r="N34" s="37"/>
      <c r="O34" s="37"/>
      <c r="P34" s="37"/>
      <c r="Q34" s="40" t="s">
        <v>264</v>
      </c>
      <c r="R34" s="42" t="n">
        <v>46336</v>
      </c>
      <c r="S34" s="37"/>
      <c r="T34" s="37"/>
      <c r="U34" s="37"/>
      <c r="V34" s="40" t="s">
        <v>265</v>
      </c>
      <c r="W34" s="40" t="s">
        <v>266</v>
      </c>
      <c r="X34" s="37"/>
      <c r="Y34" s="37"/>
      <c r="Z34" s="37"/>
      <c r="AA34" s="40" t="s">
        <v>267</v>
      </c>
    </row>
    <row r="35" customFormat="false" ht="23.85" hidden="false" customHeight="false" outlineLevel="0" collapsed="false">
      <c r="A35" s="36" t="n">
        <v>46336</v>
      </c>
      <c r="B35" s="37" t="s">
        <v>89</v>
      </c>
      <c r="C35" s="38" t="n">
        <v>6</v>
      </c>
      <c r="D35" s="39" t="s">
        <v>268</v>
      </c>
      <c r="E35" s="40" t="s">
        <v>269</v>
      </c>
      <c r="F35" s="46" t="s">
        <v>230</v>
      </c>
      <c r="G35" s="37"/>
      <c r="H35" s="37"/>
      <c r="I35" s="37"/>
      <c r="J35" s="37"/>
      <c r="K35" s="37"/>
      <c r="L35" s="37"/>
      <c r="M35" s="37"/>
      <c r="N35" s="37"/>
      <c r="O35" s="37"/>
      <c r="P35" s="37"/>
      <c r="Q35" s="40" t="s">
        <v>270</v>
      </c>
      <c r="R35" s="42" t="n">
        <v>46338</v>
      </c>
      <c r="S35" s="37"/>
      <c r="T35" s="37"/>
      <c r="U35" s="37"/>
      <c r="V35" s="40" t="s">
        <v>271</v>
      </c>
      <c r="W35" s="40" t="s">
        <v>272</v>
      </c>
      <c r="X35" s="37"/>
      <c r="Y35" s="37"/>
      <c r="Z35" s="37"/>
      <c r="AA35" s="40" t="s">
        <v>273</v>
      </c>
    </row>
    <row r="36" customFormat="false" ht="23.85" hidden="false" customHeight="false" outlineLevel="0" collapsed="false">
      <c r="A36" s="36" t="n">
        <v>46338</v>
      </c>
      <c r="B36" s="37" t="s">
        <v>54</v>
      </c>
      <c r="C36" s="38" t="n">
        <v>6</v>
      </c>
      <c r="D36" s="39" t="s">
        <v>274</v>
      </c>
      <c r="E36" s="40" t="s">
        <v>275</v>
      </c>
      <c r="F36" s="46" t="s">
        <v>230</v>
      </c>
      <c r="G36" s="37"/>
      <c r="H36" s="37"/>
      <c r="I36" s="37"/>
      <c r="J36" s="37"/>
      <c r="K36" s="37"/>
      <c r="L36" s="37"/>
      <c r="M36" s="37"/>
      <c r="N36" s="37"/>
      <c r="O36" s="37"/>
      <c r="P36" s="37"/>
      <c r="Q36" s="40" t="s">
        <v>276</v>
      </c>
      <c r="R36" s="42" t="n">
        <v>46339</v>
      </c>
      <c r="S36" s="37"/>
      <c r="T36" s="37"/>
      <c r="U36" s="37"/>
      <c r="V36" s="40" t="s">
        <v>271</v>
      </c>
      <c r="W36" s="40" t="s">
        <v>272</v>
      </c>
      <c r="X36" s="37"/>
      <c r="Y36" s="37"/>
      <c r="Z36" s="37"/>
      <c r="AA36" s="40" t="s">
        <v>277</v>
      </c>
    </row>
    <row r="37" customFormat="false" ht="35.05" hidden="false" customHeight="false" outlineLevel="0" collapsed="false">
      <c r="A37" s="36" t="n">
        <v>46339</v>
      </c>
      <c r="B37" s="37" t="s">
        <v>65</v>
      </c>
      <c r="C37" s="38" t="n">
        <v>6</v>
      </c>
      <c r="D37" s="39" t="s">
        <v>278</v>
      </c>
      <c r="E37" s="40" t="s">
        <v>279</v>
      </c>
      <c r="F37" s="46" t="s">
        <v>230</v>
      </c>
      <c r="G37" s="37"/>
      <c r="H37" s="37"/>
      <c r="I37" s="37"/>
      <c r="J37" s="37"/>
      <c r="K37" s="37"/>
      <c r="L37" s="37"/>
      <c r="M37" s="37"/>
      <c r="N37" s="37"/>
      <c r="O37" s="37"/>
      <c r="P37" s="37"/>
      <c r="Q37" s="40" t="s">
        <v>280</v>
      </c>
      <c r="R37" s="42" t="n">
        <v>46342</v>
      </c>
      <c r="S37" s="37"/>
      <c r="T37" s="37"/>
      <c r="U37" s="37"/>
      <c r="V37" s="40" t="s">
        <v>281</v>
      </c>
      <c r="W37" s="40" t="s">
        <v>282</v>
      </c>
      <c r="X37" s="37"/>
      <c r="Y37" s="37"/>
      <c r="Z37" s="37"/>
      <c r="AA37" s="40" t="s">
        <v>283</v>
      </c>
    </row>
    <row r="38" customFormat="false" ht="35.05" hidden="false" customHeight="false" outlineLevel="0" collapsed="false">
      <c r="A38" s="36" t="n">
        <v>46342</v>
      </c>
      <c r="B38" s="37" t="s">
        <v>76</v>
      </c>
      <c r="C38" s="38" t="n">
        <v>6</v>
      </c>
      <c r="D38" s="39" t="s">
        <v>284</v>
      </c>
      <c r="E38" s="40" t="s">
        <v>285</v>
      </c>
      <c r="F38" s="46" t="s">
        <v>230</v>
      </c>
      <c r="G38" s="37"/>
      <c r="H38" s="37"/>
      <c r="I38" s="37"/>
      <c r="J38" s="37"/>
      <c r="K38" s="37"/>
      <c r="L38" s="37"/>
      <c r="M38" s="37"/>
      <c r="N38" s="37"/>
      <c r="O38" s="37"/>
      <c r="P38" s="37"/>
      <c r="Q38" s="40" t="s">
        <v>286</v>
      </c>
      <c r="R38" s="42" t="n">
        <v>46343</v>
      </c>
      <c r="S38" s="37"/>
      <c r="T38" s="37"/>
      <c r="U38" s="37"/>
      <c r="V38" s="40" t="s">
        <v>281</v>
      </c>
      <c r="W38" s="40" t="s">
        <v>282</v>
      </c>
      <c r="X38" s="37"/>
      <c r="Y38" s="37"/>
      <c r="Z38" s="37"/>
      <c r="AA38" s="40" t="s">
        <v>287</v>
      </c>
    </row>
    <row r="39" customFormat="false" ht="57.45" hidden="false" customHeight="false" outlineLevel="0" collapsed="false">
      <c r="A39" s="36" t="n">
        <v>46343</v>
      </c>
      <c r="B39" s="37" t="s">
        <v>89</v>
      </c>
      <c r="C39" s="38" t="n">
        <v>6</v>
      </c>
      <c r="D39" s="39" t="s">
        <v>288</v>
      </c>
      <c r="E39" s="40" t="s">
        <v>289</v>
      </c>
      <c r="F39" s="46" t="s">
        <v>230</v>
      </c>
      <c r="G39" s="37"/>
      <c r="H39" s="37"/>
      <c r="I39" s="37"/>
      <c r="J39" s="37"/>
      <c r="K39" s="37"/>
      <c r="L39" s="37"/>
      <c r="M39" s="37"/>
      <c r="N39" s="37"/>
      <c r="O39" s="37"/>
      <c r="P39" s="37"/>
      <c r="Q39" s="40" t="s">
        <v>290</v>
      </c>
      <c r="R39" s="42" t="n">
        <v>46344</v>
      </c>
      <c r="S39" s="37"/>
      <c r="T39" s="37"/>
      <c r="U39" s="37"/>
      <c r="V39" s="40" t="s">
        <v>291</v>
      </c>
      <c r="W39" s="40" t="s">
        <v>292</v>
      </c>
      <c r="X39" s="37"/>
      <c r="Y39" s="37"/>
      <c r="Z39" s="37"/>
      <c r="AA39" s="40" t="s">
        <v>293</v>
      </c>
    </row>
    <row r="40" customFormat="false" ht="35.05" hidden="false" customHeight="false" outlineLevel="0" collapsed="false">
      <c r="A40" s="36" t="n">
        <v>46344</v>
      </c>
      <c r="B40" s="37" t="s">
        <v>38</v>
      </c>
      <c r="C40" s="38" t="n">
        <v>6</v>
      </c>
      <c r="D40" s="39" t="s">
        <v>294</v>
      </c>
      <c r="E40" s="40" t="s">
        <v>295</v>
      </c>
      <c r="F40" s="46" t="s">
        <v>230</v>
      </c>
      <c r="G40" s="37"/>
      <c r="H40" s="37"/>
      <c r="I40" s="37"/>
      <c r="J40" s="37"/>
      <c r="K40" s="37"/>
      <c r="L40" s="37"/>
      <c r="M40" s="37"/>
      <c r="N40" s="37"/>
      <c r="O40" s="37"/>
      <c r="P40" s="37"/>
      <c r="Q40" s="40" t="s">
        <v>296</v>
      </c>
      <c r="R40" s="42" t="n">
        <v>46345</v>
      </c>
      <c r="S40" s="37"/>
      <c r="T40" s="37"/>
      <c r="U40" s="37"/>
      <c r="V40" s="40" t="s">
        <v>297</v>
      </c>
      <c r="W40" s="40" t="s">
        <v>298</v>
      </c>
      <c r="X40" s="37"/>
      <c r="Y40" s="37"/>
      <c r="Z40" s="37"/>
      <c r="AA40" s="40" t="s">
        <v>299</v>
      </c>
    </row>
    <row r="41" customFormat="false" ht="46.25" hidden="false" customHeight="false" outlineLevel="0" collapsed="false">
      <c r="A41" s="36" t="n">
        <v>46345</v>
      </c>
      <c r="B41" s="37" t="s">
        <v>54</v>
      </c>
      <c r="C41" s="38" t="n">
        <v>6</v>
      </c>
      <c r="D41" s="39" t="s">
        <v>300</v>
      </c>
      <c r="E41" s="40" t="s">
        <v>301</v>
      </c>
      <c r="F41" s="46" t="s">
        <v>230</v>
      </c>
      <c r="G41" s="37"/>
      <c r="H41" s="37"/>
      <c r="I41" s="37"/>
      <c r="J41" s="37"/>
      <c r="K41" s="37"/>
      <c r="L41" s="37"/>
      <c r="M41" s="37"/>
      <c r="N41" s="37"/>
      <c r="O41" s="37"/>
      <c r="P41" s="37"/>
      <c r="Q41" s="40" t="s">
        <v>302</v>
      </c>
      <c r="R41" s="42" t="n">
        <v>46346</v>
      </c>
      <c r="S41" s="37"/>
      <c r="T41" s="37"/>
      <c r="U41" s="37"/>
      <c r="V41" s="40" t="s">
        <v>303</v>
      </c>
      <c r="W41" s="40" t="s">
        <v>304</v>
      </c>
      <c r="X41" s="37"/>
      <c r="Y41" s="37"/>
      <c r="Z41" s="37"/>
      <c r="AA41" s="40" t="s">
        <v>305</v>
      </c>
    </row>
    <row r="42" customFormat="false" ht="23.85" hidden="false" customHeight="false" outlineLevel="0" collapsed="false">
      <c r="A42" s="22" t="n">
        <v>46346</v>
      </c>
      <c r="B42" s="23" t="s">
        <v>65</v>
      </c>
      <c r="C42" s="24" t="n">
        <v>6</v>
      </c>
      <c r="D42" s="25" t="s">
        <v>151</v>
      </c>
      <c r="E42" s="26" t="s">
        <v>152</v>
      </c>
      <c r="F42" s="44" t="s">
        <v>230</v>
      </c>
      <c r="G42" s="23"/>
      <c r="H42" s="23"/>
      <c r="I42" s="23"/>
      <c r="J42" s="23"/>
      <c r="K42" s="23"/>
      <c r="L42" s="23"/>
      <c r="M42" s="23"/>
      <c r="N42" s="23"/>
      <c r="O42" s="23"/>
      <c r="P42" s="23"/>
      <c r="Q42" s="26"/>
      <c r="R42" s="28"/>
      <c r="S42" s="23"/>
      <c r="T42" s="23"/>
      <c r="U42" s="23"/>
      <c r="V42" s="26"/>
      <c r="W42" s="26"/>
      <c r="X42" s="23"/>
      <c r="Y42" s="23"/>
      <c r="Z42" s="23"/>
      <c r="AA42" s="26"/>
    </row>
    <row r="43" customFormat="false" ht="15" hidden="false" customHeight="false" outlineLevel="0" collapsed="false">
      <c r="A43" s="29" t="n">
        <v>46356</v>
      </c>
      <c r="B43" s="30" t="s">
        <v>76</v>
      </c>
      <c r="C43" s="31" t="n">
        <v>6</v>
      </c>
      <c r="D43" s="32" t="s">
        <v>306</v>
      </c>
      <c r="E43" s="33" t="s">
        <v>307</v>
      </c>
      <c r="F43" s="45" t="s">
        <v>230</v>
      </c>
      <c r="G43" s="30"/>
      <c r="H43" s="30"/>
      <c r="I43" s="30"/>
      <c r="J43" s="30"/>
      <c r="K43" s="30"/>
      <c r="L43" s="30"/>
      <c r="M43" s="30"/>
      <c r="N43" s="30"/>
      <c r="O43" s="30"/>
      <c r="P43" s="30"/>
      <c r="Q43" s="33"/>
      <c r="R43" s="35"/>
      <c r="S43" s="30"/>
      <c r="T43" s="30"/>
      <c r="U43" s="30"/>
      <c r="V43" s="33"/>
      <c r="W43" s="33"/>
      <c r="X43" s="30"/>
      <c r="Y43" s="30"/>
      <c r="Z43" s="30"/>
      <c r="AA43" s="33"/>
    </row>
    <row r="44" customFormat="false" ht="15" hidden="false" customHeight="false" outlineLevel="0" collapsed="false">
      <c r="A44" s="29" t="n">
        <v>46357</v>
      </c>
      <c r="B44" s="30" t="s">
        <v>89</v>
      </c>
      <c r="C44" s="31" t="n">
        <v>6</v>
      </c>
      <c r="D44" s="32" t="s">
        <v>308</v>
      </c>
      <c r="E44" s="33" t="s">
        <v>309</v>
      </c>
      <c r="F44" s="45" t="s">
        <v>230</v>
      </c>
      <c r="G44" s="30"/>
      <c r="H44" s="30"/>
      <c r="I44" s="30"/>
      <c r="J44" s="30"/>
      <c r="K44" s="30"/>
      <c r="L44" s="30"/>
      <c r="M44" s="30"/>
      <c r="N44" s="30"/>
      <c r="O44" s="30"/>
      <c r="P44" s="30"/>
      <c r="Q44" s="33"/>
      <c r="R44" s="35"/>
      <c r="S44" s="30"/>
      <c r="T44" s="30"/>
      <c r="U44" s="30"/>
      <c r="V44" s="33"/>
      <c r="W44" s="33"/>
      <c r="X44" s="30"/>
      <c r="Y44" s="30"/>
      <c r="Z44" s="30"/>
      <c r="AA44" s="33"/>
    </row>
    <row r="45" customFormat="false" ht="23.85" hidden="false" customHeight="false" outlineLevel="0" collapsed="false">
      <c r="A45" s="22" t="n">
        <v>46358</v>
      </c>
      <c r="B45" s="23" t="s">
        <v>38</v>
      </c>
      <c r="C45" s="24" t="n">
        <v>6</v>
      </c>
      <c r="D45" s="25" t="s">
        <v>161</v>
      </c>
      <c r="E45" s="26" t="s">
        <v>162</v>
      </c>
      <c r="F45" s="44" t="s">
        <v>230</v>
      </c>
      <c r="G45" s="23"/>
      <c r="H45" s="23"/>
      <c r="I45" s="23"/>
      <c r="J45" s="23"/>
      <c r="K45" s="23"/>
      <c r="L45" s="23"/>
      <c r="M45" s="23"/>
      <c r="N45" s="23"/>
      <c r="O45" s="23"/>
      <c r="P45" s="23"/>
      <c r="Q45" s="26"/>
      <c r="R45" s="28"/>
      <c r="S45" s="23"/>
      <c r="T45" s="23"/>
      <c r="U45" s="23"/>
      <c r="V45" s="26"/>
      <c r="W45" s="26"/>
      <c r="X45" s="23"/>
      <c r="Y45" s="23"/>
      <c r="Z45" s="23"/>
      <c r="AA45" s="26"/>
    </row>
    <row r="46" customFormat="false" ht="23.85" hidden="false" customHeight="false" outlineLevel="0" collapsed="false">
      <c r="A46" s="15" t="n">
        <v>46359</v>
      </c>
      <c r="B46" s="16" t="s">
        <v>54</v>
      </c>
      <c r="C46" s="17" t="n">
        <v>7</v>
      </c>
      <c r="D46" s="18" t="s">
        <v>310</v>
      </c>
      <c r="E46" s="19" t="s">
        <v>311</v>
      </c>
      <c r="F46" s="43" t="s">
        <v>230</v>
      </c>
      <c r="G46" s="16"/>
      <c r="H46" s="16"/>
      <c r="I46" s="16"/>
      <c r="J46" s="16"/>
      <c r="K46" s="16"/>
      <c r="L46" s="16"/>
      <c r="M46" s="16"/>
      <c r="N46" s="16"/>
      <c r="O46" s="16"/>
      <c r="P46" s="16"/>
      <c r="Q46" s="19" t="s">
        <v>312</v>
      </c>
      <c r="R46" s="21" t="n">
        <v>46360</v>
      </c>
      <c r="S46" s="16"/>
      <c r="T46" s="16"/>
      <c r="U46" s="16"/>
      <c r="V46" s="19" t="s">
        <v>313</v>
      </c>
      <c r="W46" s="19" t="s">
        <v>314</v>
      </c>
      <c r="X46" s="16"/>
      <c r="Y46" s="16"/>
      <c r="Z46" s="16"/>
      <c r="AA46" s="19" t="s">
        <v>315</v>
      </c>
    </row>
    <row r="47" customFormat="false" ht="46.25" hidden="false" customHeight="false" outlineLevel="0" collapsed="false">
      <c r="A47" s="15" t="n">
        <v>46360</v>
      </c>
      <c r="B47" s="16" t="s">
        <v>65</v>
      </c>
      <c r="C47" s="17" t="n">
        <v>7</v>
      </c>
      <c r="D47" s="18" t="s">
        <v>316</v>
      </c>
      <c r="E47" s="19" t="s">
        <v>317</v>
      </c>
      <c r="F47" s="43" t="s">
        <v>230</v>
      </c>
      <c r="G47" s="16"/>
      <c r="H47" s="16"/>
      <c r="I47" s="16"/>
      <c r="J47" s="16"/>
      <c r="K47" s="16"/>
      <c r="L47" s="16"/>
      <c r="M47" s="16"/>
      <c r="N47" s="16"/>
      <c r="O47" s="16"/>
      <c r="P47" s="16"/>
      <c r="Q47" s="19" t="s">
        <v>318</v>
      </c>
      <c r="R47" s="21" t="n">
        <v>46363</v>
      </c>
      <c r="S47" s="16"/>
      <c r="T47" s="16"/>
      <c r="U47" s="16"/>
      <c r="V47" s="19" t="s">
        <v>319</v>
      </c>
      <c r="W47" s="19" t="s">
        <v>320</v>
      </c>
      <c r="X47" s="16"/>
      <c r="Y47" s="16"/>
      <c r="Z47" s="16"/>
      <c r="AA47" s="19" t="s">
        <v>321</v>
      </c>
    </row>
    <row r="48" customFormat="false" ht="57.45" hidden="false" customHeight="false" outlineLevel="0" collapsed="false">
      <c r="A48" s="15" t="n">
        <v>46363</v>
      </c>
      <c r="B48" s="16" t="s">
        <v>76</v>
      </c>
      <c r="C48" s="17" t="n">
        <v>7</v>
      </c>
      <c r="D48" s="18" t="s">
        <v>322</v>
      </c>
      <c r="E48" s="19" t="s">
        <v>323</v>
      </c>
      <c r="F48" s="43" t="s">
        <v>230</v>
      </c>
      <c r="G48" s="16"/>
      <c r="H48" s="16"/>
      <c r="I48" s="16"/>
      <c r="J48" s="16"/>
      <c r="K48" s="16"/>
      <c r="L48" s="16"/>
      <c r="M48" s="16"/>
      <c r="N48" s="16"/>
      <c r="O48" s="16"/>
      <c r="P48" s="16"/>
      <c r="Q48" s="19" t="s">
        <v>324</v>
      </c>
      <c r="R48" s="21" t="n">
        <v>46364</v>
      </c>
      <c r="S48" s="16"/>
      <c r="T48" s="16"/>
      <c r="U48" s="16"/>
      <c r="V48" s="19" t="s">
        <v>325</v>
      </c>
      <c r="W48" s="19" t="s">
        <v>326</v>
      </c>
      <c r="X48" s="16"/>
      <c r="Y48" s="16"/>
      <c r="Z48" s="16"/>
      <c r="AA48" s="19" t="s">
        <v>327</v>
      </c>
    </row>
    <row r="49" customFormat="false" ht="46.25" hidden="false" customHeight="false" outlineLevel="0" collapsed="false">
      <c r="A49" s="15" t="n">
        <v>46364</v>
      </c>
      <c r="B49" s="16" t="s">
        <v>89</v>
      </c>
      <c r="C49" s="17" t="n">
        <v>7</v>
      </c>
      <c r="D49" s="18" t="s">
        <v>328</v>
      </c>
      <c r="E49" s="19" t="s">
        <v>329</v>
      </c>
      <c r="F49" s="43" t="s">
        <v>230</v>
      </c>
      <c r="G49" s="16"/>
      <c r="H49" s="16"/>
      <c r="I49" s="16"/>
      <c r="J49" s="16"/>
      <c r="K49" s="16"/>
      <c r="L49" s="16"/>
      <c r="M49" s="16"/>
      <c r="N49" s="16"/>
      <c r="O49" s="16"/>
      <c r="P49" s="16"/>
      <c r="Q49" s="19" t="s">
        <v>330</v>
      </c>
      <c r="R49" s="21" t="n">
        <v>46365</v>
      </c>
      <c r="S49" s="16"/>
      <c r="T49" s="16"/>
      <c r="U49" s="16"/>
      <c r="V49" s="19" t="s">
        <v>331</v>
      </c>
      <c r="W49" s="19" t="s">
        <v>332</v>
      </c>
      <c r="X49" s="16"/>
      <c r="Y49" s="16"/>
      <c r="Z49" s="16"/>
      <c r="AA49" s="19" t="s">
        <v>333</v>
      </c>
    </row>
    <row r="50" customFormat="false" ht="23.85" hidden="false" customHeight="false" outlineLevel="0" collapsed="false">
      <c r="A50" s="15" t="n">
        <v>46365</v>
      </c>
      <c r="B50" s="16" t="s">
        <v>38</v>
      </c>
      <c r="C50" s="17" t="n">
        <v>7</v>
      </c>
      <c r="D50" s="18" t="s">
        <v>334</v>
      </c>
      <c r="E50" s="19" t="s">
        <v>335</v>
      </c>
      <c r="F50" s="43" t="s">
        <v>230</v>
      </c>
      <c r="G50" s="16"/>
      <c r="H50" s="16"/>
      <c r="I50" s="16"/>
      <c r="J50" s="16"/>
      <c r="K50" s="16"/>
      <c r="L50" s="16"/>
      <c r="M50" s="16"/>
      <c r="N50" s="16"/>
      <c r="O50" s="16"/>
      <c r="P50" s="16"/>
      <c r="Q50" s="19" t="s">
        <v>336</v>
      </c>
      <c r="R50" s="21" t="n">
        <v>46366</v>
      </c>
      <c r="S50" s="16"/>
      <c r="T50" s="16"/>
      <c r="U50" s="16"/>
      <c r="V50" s="19" t="s">
        <v>337</v>
      </c>
      <c r="W50" s="19" t="s">
        <v>338</v>
      </c>
      <c r="X50" s="16"/>
      <c r="Y50" s="16"/>
      <c r="Z50" s="16"/>
      <c r="AA50" s="19" t="s">
        <v>339</v>
      </c>
    </row>
    <row r="51" customFormat="false" ht="15" hidden="false" customHeight="false" outlineLevel="0" collapsed="false">
      <c r="A51" s="29" t="n">
        <v>46366</v>
      </c>
      <c r="B51" s="30" t="s">
        <v>54</v>
      </c>
      <c r="C51" s="31" t="n">
        <v>7</v>
      </c>
      <c r="D51" s="32" t="s">
        <v>340</v>
      </c>
      <c r="E51" s="33" t="s">
        <v>341</v>
      </c>
      <c r="F51" s="45" t="s">
        <v>230</v>
      </c>
      <c r="G51" s="30"/>
      <c r="H51" s="30"/>
      <c r="I51" s="30"/>
      <c r="J51" s="30"/>
      <c r="K51" s="30"/>
      <c r="L51" s="30"/>
      <c r="M51" s="30"/>
      <c r="N51" s="30"/>
      <c r="O51" s="30"/>
      <c r="P51" s="30"/>
      <c r="Q51" s="33"/>
      <c r="R51" s="35"/>
      <c r="S51" s="30"/>
      <c r="T51" s="30"/>
      <c r="U51" s="30"/>
      <c r="V51" s="33"/>
      <c r="W51" s="33"/>
      <c r="X51" s="30"/>
      <c r="Y51" s="30"/>
      <c r="Z51" s="30"/>
      <c r="AA51" s="33"/>
    </row>
    <row r="52" customFormat="false" ht="15" hidden="false" customHeight="false" outlineLevel="0" collapsed="false">
      <c r="A52" s="29" t="n">
        <v>46367</v>
      </c>
      <c r="B52" s="30" t="s">
        <v>65</v>
      </c>
      <c r="C52" s="31" t="n">
        <v>7</v>
      </c>
      <c r="D52" s="32" t="s">
        <v>342</v>
      </c>
      <c r="E52" s="33" t="s">
        <v>343</v>
      </c>
      <c r="F52" s="45" t="s">
        <v>230</v>
      </c>
      <c r="G52" s="30"/>
      <c r="H52" s="30"/>
      <c r="I52" s="30"/>
      <c r="J52" s="30"/>
      <c r="K52" s="30"/>
      <c r="L52" s="30"/>
      <c r="M52" s="30"/>
      <c r="N52" s="30"/>
      <c r="O52" s="30"/>
      <c r="P52" s="30"/>
      <c r="Q52" s="33"/>
      <c r="R52" s="35"/>
      <c r="S52" s="30"/>
      <c r="T52" s="30"/>
      <c r="U52" s="30"/>
      <c r="V52" s="33"/>
      <c r="W52" s="33"/>
      <c r="X52" s="30"/>
      <c r="Y52" s="30"/>
      <c r="Z52" s="30"/>
      <c r="AA52" s="33"/>
    </row>
    <row r="53" customFormat="false" ht="303.7" hidden="false" customHeight="false" outlineLevel="0" collapsed="false">
      <c r="A53" s="22" t="n">
        <v>46370</v>
      </c>
      <c r="B53" s="23" t="s">
        <v>76</v>
      </c>
      <c r="C53" s="24"/>
      <c r="D53" s="25" t="s">
        <v>344</v>
      </c>
      <c r="E53" s="26" t="s">
        <v>345</v>
      </c>
      <c r="F53" s="23"/>
      <c r="G53" s="23"/>
      <c r="H53" s="23"/>
      <c r="I53" s="23"/>
      <c r="J53" s="23"/>
      <c r="K53" s="23"/>
      <c r="L53" s="23"/>
      <c r="M53" s="23"/>
      <c r="N53" s="23"/>
      <c r="O53" s="23"/>
      <c r="P53" s="23"/>
      <c r="Q53" s="26"/>
      <c r="R53" s="28"/>
      <c r="S53" s="23"/>
      <c r="T53" s="23"/>
      <c r="U53" s="23"/>
      <c r="V53" s="26" t="s">
        <v>346</v>
      </c>
      <c r="W53" s="26" t="s">
        <v>347</v>
      </c>
      <c r="X53" s="23"/>
      <c r="Y53" s="23"/>
      <c r="Z53" s="23"/>
      <c r="AA53" s="26"/>
    </row>
    <row r="54" customFormat="false" ht="35.05" hidden="false" customHeight="false" outlineLevel="0" collapsed="false">
      <c r="A54" s="22" t="n">
        <v>46371</v>
      </c>
      <c r="B54" s="23" t="s">
        <v>89</v>
      </c>
      <c r="C54" s="24"/>
      <c r="D54" s="25" t="s">
        <v>348</v>
      </c>
      <c r="E54" s="26" t="s">
        <v>349</v>
      </c>
      <c r="F54" s="23"/>
      <c r="G54" s="23"/>
      <c r="H54" s="23"/>
      <c r="I54" s="23"/>
      <c r="J54" s="23"/>
      <c r="K54" s="23"/>
      <c r="L54" s="23"/>
      <c r="M54" s="23"/>
      <c r="N54" s="23"/>
      <c r="O54" s="23"/>
      <c r="P54" s="23"/>
      <c r="Q54" s="26"/>
      <c r="R54" s="28"/>
      <c r="S54" s="23"/>
      <c r="T54" s="23"/>
      <c r="U54" s="23"/>
      <c r="V54" s="26" t="s">
        <v>350</v>
      </c>
      <c r="W54" s="26" t="s">
        <v>351</v>
      </c>
      <c r="X54" s="23"/>
      <c r="Y54" s="23"/>
      <c r="Z54" s="23"/>
      <c r="AA54" s="26"/>
    </row>
    <row r="55" customFormat="false" ht="46.25" hidden="false" customHeight="false" outlineLevel="0" collapsed="false">
      <c r="A55" s="22" t="n">
        <v>46372</v>
      </c>
      <c r="B55" s="23" t="s">
        <v>38</v>
      </c>
      <c r="C55" s="24"/>
      <c r="D55" s="25" t="s">
        <v>352</v>
      </c>
      <c r="E55" s="26" t="s">
        <v>353</v>
      </c>
      <c r="F55" s="23"/>
      <c r="G55" s="23"/>
      <c r="H55" s="23"/>
      <c r="I55" s="23"/>
      <c r="J55" s="23"/>
      <c r="K55" s="23"/>
      <c r="L55" s="23"/>
      <c r="M55" s="23"/>
      <c r="N55" s="23"/>
      <c r="O55" s="23"/>
      <c r="P55" s="23"/>
      <c r="Q55" s="26"/>
      <c r="R55" s="28"/>
      <c r="S55" s="23"/>
      <c r="T55" s="23"/>
      <c r="U55" s="23"/>
      <c r="V55" s="26" t="s">
        <v>354</v>
      </c>
      <c r="W55" s="26" t="s">
        <v>355</v>
      </c>
      <c r="X55" s="23"/>
      <c r="Y55" s="23"/>
      <c r="Z55" s="23"/>
      <c r="AA55" s="26"/>
    </row>
    <row r="56" customFormat="false" ht="35.05" hidden="false" customHeight="false" outlineLevel="0" collapsed="false">
      <c r="A56" s="36" t="n">
        <v>46373</v>
      </c>
      <c r="B56" s="37" t="s">
        <v>54</v>
      </c>
      <c r="C56" s="38" t="n">
        <v>8</v>
      </c>
      <c r="D56" s="39" t="s">
        <v>356</v>
      </c>
      <c r="E56" s="40" t="s">
        <v>357</v>
      </c>
      <c r="F56" s="46" t="s">
        <v>230</v>
      </c>
      <c r="G56" s="37"/>
      <c r="H56" s="37"/>
      <c r="I56" s="37"/>
      <c r="J56" s="37"/>
      <c r="K56" s="37"/>
      <c r="L56" s="37"/>
      <c r="M56" s="37"/>
      <c r="N56" s="37"/>
      <c r="O56" s="37"/>
      <c r="P56" s="37"/>
      <c r="Q56" s="40" t="s">
        <v>358</v>
      </c>
      <c r="R56" s="42" t="n">
        <v>46374</v>
      </c>
      <c r="S56" s="37"/>
      <c r="T56" s="37"/>
      <c r="U56" s="37"/>
      <c r="V56" s="40" t="s">
        <v>359</v>
      </c>
      <c r="W56" s="40" t="s">
        <v>360</v>
      </c>
      <c r="X56" s="37"/>
      <c r="Y56" s="37"/>
      <c r="Z56" s="37"/>
      <c r="AA56" s="40" t="s">
        <v>361</v>
      </c>
    </row>
    <row r="57" customFormat="false" ht="35.05" hidden="false" customHeight="false" outlineLevel="0" collapsed="false">
      <c r="A57" s="36" t="n">
        <v>46374</v>
      </c>
      <c r="B57" s="37" t="s">
        <v>65</v>
      </c>
      <c r="C57" s="38" t="n">
        <v>8</v>
      </c>
      <c r="D57" s="39" t="s">
        <v>362</v>
      </c>
      <c r="E57" s="40" t="s">
        <v>363</v>
      </c>
      <c r="F57" s="46" t="s">
        <v>230</v>
      </c>
      <c r="G57" s="37"/>
      <c r="H57" s="37"/>
      <c r="I57" s="37"/>
      <c r="J57" s="37"/>
      <c r="K57" s="37"/>
      <c r="L57" s="37"/>
      <c r="M57" s="37"/>
      <c r="N57" s="37"/>
      <c r="O57" s="37"/>
      <c r="P57" s="37"/>
      <c r="Q57" s="40" t="s">
        <v>364</v>
      </c>
      <c r="R57" s="42" t="n">
        <v>46393</v>
      </c>
      <c r="S57" s="37"/>
      <c r="T57" s="37"/>
      <c r="U57" s="37"/>
      <c r="V57" s="40" t="s">
        <v>359</v>
      </c>
      <c r="W57" s="40" t="s">
        <v>360</v>
      </c>
      <c r="X57" s="37"/>
      <c r="Y57" s="37"/>
      <c r="Z57" s="37"/>
      <c r="AA57" s="40" t="s">
        <v>365</v>
      </c>
    </row>
    <row r="58" customFormat="false" ht="23.85" hidden="false" customHeight="false" outlineLevel="0" collapsed="false">
      <c r="A58" s="36" t="n">
        <v>46393</v>
      </c>
      <c r="B58" s="37" t="s">
        <v>38</v>
      </c>
      <c r="C58" s="38" t="n">
        <v>8</v>
      </c>
      <c r="D58" s="39" t="s">
        <v>366</v>
      </c>
      <c r="E58" s="40" t="s">
        <v>367</v>
      </c>
      <c r="F58" s="46" t="s">
        <v>230</v>
      </c>
      <c r="G58" s="37"/>
      <c r="H58" s="37"/>
      <c r="I58" s="37"/>
      <c r="J58" s="37"/>
      <c r="K58" s="37"/>
      <c r="L58" s="37"/>
      <c r="M58" s="37"/>
      <c r="N58" s="37"/>
      <c r="O58" s="37"/>
      <c r="P58" s="37"/>
      <c r="Q58" s="40" t="s">
        <v>368</v>
      </c>
      <c r="R58" s="42" t="n">
        <v>46394</v>
      </c>
      <c r="S58" s="37"/>
      <c r="T58" s="37"/>
      <c r="U58" s="37"/>
      <c r="V58" s="40" t="s">
        <v>369</v>
      </c>
      <c r="W58" s="40" t="s">
        <v>370</v>
      </c>
      <c r="X58" s="37"/>
      <c r="Y58" s="37"/>
      <c r="Z58" s="37"/>
      <c r="AA58" s="40" t="s">
        <v>371</v>
      </c>
    </row>
    <row r="59" customFormat="false" ht="23.85" hidden="false" customHeight="false" outlineLevel="0" collapsed="false">
      <c r="A59" s="36" t="n">
        <v>46394</v>
      </c>
      <c r="B59" s="37" t="s">
        <v>54</v>
      </c>
      <c r="C59" s="38" t="n">
        <v>8</v>
      </c>
      <c r="D59" s="39" t="s">
        <v>372</v>
      </c>
      <c r="E59" s="40" t="s">
        <v>373</v>
      </c>
      <c r="F59" s="46" t="s">
        <v>230</v>
      </c>
      <c r="G59" s="37"/>
      <c r="H59" s="37"/>
      <c r="I59" s="37"/>
      <c r="J59" s="37"/>
      <c r="K59" s="37"/>
      <c r="L59" s="37"/>
      <c r="M59" s="37"/>
      <c r="N59" s="37"/>
      <c r="O59" s="37"/>
      <c r="P59" s="37"/>
      <c r="Q59" s="40" t="s">
        <v>374</v>
      </c>
      <c r="R59" s="42" t="n">
        <v>46395</v>
      </c>
      <c r="S59" s="37"/>
      <c r="T59" s="37"/>
      <c r="U59" s="37"/>
      <c r="V59" s="40" t="s">
        <v>369</v>
      </c>
      <c r="W59" s="40" t="s">
        <v>370</v>
      </c>
      <c r="X59" s="37"/>
      <c r="Y59" s="37"/>
      <c r="Z59" s="37"/>
      <c r="AA59" s="40" t="s">
        <v>375</v>
      </c>
    </row>
    <row r="60" customFormat="false" ht="57.45" hidden="false" customHeight="false" outlineLevel="0" collapsed="false">
      <c r="A60" s="36" t="n">
        <v>46395</v>
      </c>
      <c r="B60" s="37" t="s">
        <v>65</v>
      </c>
      <c r="C60" s="38" t="n">
        <v>8</v>
      </c>
      <c r="D60" s="39" t="s">
        <v>376</v>
      </c>
      <c r="E60" s="40" t="s">
        <v>377</v>
      </c>
      <c r="F60" s="46" t="s">
        <v>230</v>
      </c>
      <c r="G60" s="37"/>
      <c r="H60" s="37"/>
      <c r="I60" s="37"/>
      <c r="J60" s="37"/>
      <c r="K60" s="37"/>
      <c r="L60" s="37"/>
      <c r="M60" s="37"/>
      <c r="N60" s="37"/>
      <c r="O60" s="37"/>
      <c r="P60" s="37"/>
      <c r="Q60" s="40" t="s">
        <v>378</v>
      </c>
      <c r="R60" s="42" t="n">
        <v>46398</v>
      </c>
      <c r="S60" s="37"/>
      <c r="T60" s="37"/>
      <c r="U60" s="37"/>
      <c r="V60" s="40" t="s">
        <v>379</v>
      </c>
      <c r="W60" s="40" t="s">
        <v>380</v>
      </c>
      <c r="X60" s="37"/>
      <c r="Y60" s="37"/>
      <c r="Z60" s="37"/>
      <c r="AA60" s="40" t="s">
        <v>381</v>
      </c>
    </row>
    <row r="61" customFormat="false" ht="57.45" hidden="false" customHeight="false" outlineLevel="0" collapsed="false">
      <c r="A61" s="15" t="n">
        <v>46398</v>
      </c>
      <c r="B61" s="16" t="s">
        <v>76</v>
      </c>
      <c r="C61" s="17" t="n">
        <v>9</v>
      </c>
      <c r="D61" s="18" t="s">
        <v>382</v>
      </c>
      <c r="E61" s="19" t="s">
        <v>383</v>
      </c>
      <c r="F61" s="43" t="s">
        <v>230</v>
      </c>
      <c r="G61" s="16"/>
      <c r="H61" s="16"/>
      <c r="I61" s="16"/>
      <c r="J61" s="16"/>
      <c r="K61" s="16"/>
      <c r="L61" s="16"/>
      <c r="M61" s="16"/>
      <c r="N61" s="16"/>
      <c r="O61" s="16"/>
      <c r="P61" s="16"/>
      <c r="Q61" s="19" t="s">
        <v>384</v>
      </c>
      <c r="R61" s="21" t="n">
        <v>46399</v>
      </c>
      <c r="S61" s="16"/>
      <c r="T61" s="16"/>
      <c r="U61" s="16"/>
      <c r="V61" s="19" t="s">
        <v>385</v>
      </c>
      <c r="W61" s="19" t="s">
        <v>386</v>
      </c>
      <c r="X61" s="16"/>
      <c r="Y61" s="16"/>
      <c r="Z61" s="16"/>
      <c r="AA61" s="19" t="s">
        <v>387</v>
      </c>
    </row>
    <row r="62" customFormat="false" ht="46.25" hidden="false" customHeight="false" outlineLevel="0" collapsed="false">
      <c r="A62" s="15" t="n">
        <v>46399</v>
      </c>
      <c r="B62" s="16" t="s">
        <v>89</v>
      </c>
      <c r="C62" s="17" t="n">
        <v>9</v>
      </c>
      <c r="D62" s="18" t="s">
        <v>388</v>
      </c>
      <c r="E62" s="19" t="s">
        <v>389</v>
      </c>
      <c r="F62" s="43" t="s">
        <v>230</v>
      </c>
      <c r="G62" s="16"/>
      <c r="H62" s="16"/>
      <c r="I62" s="16"/>
      <c r="J62" s="16"/>
      <c r="K62" s="16"/>
      <c r="L62" s="16"/>
      <c r="M62" s="16"/>
      <c r="N62" s="16"/>
      <c r="O62" s="16"/>
      <c r="P62" s="16"/>
      <c r="Q62" s="19" t="s">
        <v>390</v>
      </c>
      <c r="R62" s="21" t="n">
        <v>46400</v>
      </c>
      <c r="S62" s="16"/>
      <c r="T62" s="16"/>
      <c r="U62" s="16"/>
      <c r="V62" s="19" t="s">
        <v>391</v>
      </c>
      <c r="W62" s="19" t="s">
        <v>392</v>
      </c>
      <c r="X62" s="16"/>
      <c r="Y62" s="16"/>
      <c r="Z62" s="16"/>
      <c r="AA62" s="19" t="s">
        <v>393</v>
      </c>
    </row>
    <row r="63" customFormat="false" ht="23.85" hidden="false" customHeight="false" outlineLevel="0" collapsed="false">
      <c r="A63" s="22" t="n">
        <v>46400</v>
      </c>
      <c r="B63" s="23" t="s">
        <v>38</v>
      </c>
      <c r="C63" s="24" t="n">
        <v>9</v>
      </c>
      <c r="D63" s="25" t="s">
        <v>151</v>
      </c>
      <c r="E63" s="26" t="s">
        <v>152</v>
      </c>
      <c r="F63" s="44" t="s">
        <v>230</v>
      </c>
      <c r="G63" s="23"/>
      <c r="H63" s="23"/>
      <c r="I63" s="23"/>
      <c r="J63" s="23"/>
      <c r="K63" s="23"/>
      <c r="L63" s="23"/>
      <c r="M63" s="23"/>
      <c r="N63" s="23"/>
      <c r="O63" s="23"/>
      <c r="P63" s="23"/>
      <c r="Q63" s="26"/>
      <c r="R63" s="28"/>
      <c r="S63" s="23"/>
      <c r="T63" s="23"/>
      <c r="U63" s="23"/>
      <c r="V63" s="26"/>
      <c r="W63" s="26"/>
      <c r="X63" s="23"/>
      <c r="Y63" s="23"/>
      <c r="Z63" s="23"/>
      <c r="AA63" s="26"/>
    </row>
    <row r="64" customFormat="false" ht="15" hidden="false" customHeight="false" outlineLevel="0" collapsed="false">
      <c r="A64" s="29" t="n">
        <v>46401</v>
      </c>
      <c r="B64" s="30" t="s">
        <v>54</v>
      </c>
      <c r="C64" s="31" t="n">
        <v>9</v>
      </c>
      <c r="D64" s="32" t="s">
        <v>394</v>
      </c>
      <c r="E64" s="33" t="s">
        <v>395</v>
      </c>
      <c r="F64" s="45" t="s">
        <v>230</v>
      </c>
      <c r="G64" s="30"/>
      <c r="H64" s="30"/>
      <c r="I64" s="30"/>
      <c r="J64" s="30"/>
      <c r="K64" s="30"/>
      <c r="L64" s="30"/>
      <c r="M64" s="30"/>
      <c r="N64" s="30"/>
      <c r="O64" s="30"/>
      <c r="P64" s="30"/>
      <c r="Q64" s="33"/>
      <c r="R64" s="35"/>
      <c r="S64" s="30"/>
      <c r="T64" s="30"/>
      <c r="U64" s="30"/>
      <c r="V64" s="33"/>
      <c r="W64" s="33"/>
      <c r="X64" s="30"/>
      <c r="Y64" s="30"/>
      <c r="Z64" s="30"/>
      <c r="AA64" s="33"/>
    </row>
    <row r="65" customFormat="false" ht="15" hidden="false" customHeight="false" outlineLevel="0" collapsed="false">
      <c r="A65" s="29" t="n">
        <v>46402</v>
      </c>
      <c r="B65" s="30" t="s">
        <v>65</v>
      </c>
      <c r="C65" s="31" t="n">
        <v>9</v>
      </c>
      <c r="D65" s="32" t="s">
        <v>396</v>
      </c>
      <c r="E65" s="33" t="s">
        <v>397</v>
      </c>
      <c r="F65" s="45" t="s">
        <v>230</v>
      </c>
      <c r="G65" s="30"/>
      <c r="H65" s="30"/>
      <c r="I65" s="30"/>
      <c r="J65" s="30"/>
      <c r="K65" s="30"/>
      <c r="L65" s="30"/>
      <c r="M65" s="30"/>
      <c r="N65" s="30"/>
      <c r="O65" s="30"/>
      <c r="P65" s="30"/>
      <c r="Q65" s="33"/>
      <c r="R65" s="35"/>
      <c r="S65" s="30"/>
      <c r="T65" s="30"/>
      <c r="U65" s="30"/>
      <c r="V65" s="33"/>
      <c r="W65" s="33"/>
      <c r="X65" s="30"/>
      <c r="Y65" s="30"/>
      <c r="Z65" s="30"/>
      <c r="AA65" s="33"/>
    </row>
    <row r="66" customFormat="false" ht="23.85" hidden="false" customHeight="false" outlineLevel="0" collapsed="false">
      <c r="A66" s="22" t="n">
        <v>46406</v>
      </c>
      <c r="B66" s="23" t="s">
        <v>89</v>
      </c>
      <c r="C66" s="24" t="n">
        <v>9</v>
      </c>
      <c r="D66" s="25" t="s">
        <v>161</v>
      </c>
      <c r="E66" s="26" t="s">
        <v>162</v>
      </c>
      <c r="F66" s="44" t="s">
        <v>230</v>
      </c>
      <c r="G66" s="23"/>
      <c r="H66" s="23"/>
      <c r="I66" s="23"/>
      <c r="J66" s="23"/>
      <c r="K66" s="23"/>
      <c r="L66" s="23"/>
      <c r="M66" s="23"/>
      <c r="N66" s="23"/>
      <c r="O66" s="23"/>
      <c r="P66" s="23"/>
      <c r="Q66" s="26"/>
      <c r="R66" s="28"/>
      <c r="S66" s="23"/>
      <c r="T66" s="23"/>
      <c r="U66" s="23"/>
      <c r="V66" s="26"/>
      <c r="W66" s="26"/>
      <c r="X66" s="23"/>
      <c r="Y66" s="23"/>
      <c r="Z66" s="23"/>
      <c r="AA66" s="26"/>
    </row>
    <row r="67" customFormat="false" ht="68.65" hidden="false" customHeight="false" outlineLevel="0" collapsed="false">
      <c r="A67" s="36" t="n">
        <v>46407</v>
      </c>
      <c r="B67" s="37" t="s">
        <v>38</v>
      </c>
      <c r="C67" s="38" t="n">
        <v>10</v>
      </c>
      <c r="D67" s="39" t="s">
        <v>398</v>
      </c>
      <c r="E67" s="40" t="s">
        <v>399</v>
      </c>
      <c r="F67" s="46" t="s">
        <v>230</v>
      </c>
      <c r="G67" s="37"/>
      <c r="H67" s="37"/>
      <c r="I67" s="37"/>
      <c r="J67" s="37"/>
      <c r="K67" s="37"/>
      <c r="L67" s="37"/>
      <c r="M67" s="37"/>
      <c r="N67" s="37"/>
      <c r="O67" s="37"/>
      <c r="P67" s="37"/>
      <c r="Q67" s="40" t="s">
        <v>400</v>
      </c>
      <c r="R67" s="42" t="n">
        <v>46408</v>
      </c>
      <c r="S67" s="37"/>
      <c r="T67" s="37"/>
      <c r="U67" s="37"/>
      <c r="V67" s="40" t="s">
        <v>401</v>
      </c>
      <c r="W67" s="40" t="s">
        <v>402</v>
      </c>
      <c r="X67" s="37"/>
      <c r="Y67" s="37"/>
      <c r="Z67" s="37"/>
      <c r="AA67" s="40" t="s">
        <v>403</v>
      </c>
    </row>
    <row r="68" customFormat="false" ht="35.05" hidden="false" customHeight="false" outlineLevel="0" collapsed="false">
      <c r="A68" s="36" t="n">
        <v>46408</v>
      </c>
      <c r="B68" s="37" t="s">
        <v>54</v>
      </c>
      <c r="C68" s="38" t="n">
        <v>10</v>
      </c>
      <c r="D68" s="39" t="s">
        <v>404</v>
      </c>
      <c r="E68" s="40" t="s">
        <v>405</v>
      </c>
      <c r="F68" s="46" t="s">
        <v>230</v>
      </c>
      <c r="G68" s="37"/>
      <c r="H68" s="37"/>
      <c r="I68" s="37"/>
      <c r="J68" s="37"/>
      <c r="K68" s="37"/>
      <c r="L68" s="37"/>
      <c r="M68" s="37"/>
      <c r="N68" s="37"/>
      <c r="O68" s="37"/>
      <c r="P68" s="37"/>
      <c r="Q68" s="40" t="s">
        <v>406</v>
      </c>
      <c r="R68" s="42" t="n">
        <v>46409</v>
      </c>
      <c r="S68" s="37"/>
      <c r="T68" s="37"/>
      <c r="U68" s="37"/>
      <c r="V68" s="40" t="s">
        <v>407</v>
      </c>
      <c r="W68" s="40" t="s">
        <v>408</v>
      </c>
      <c r="X68" s="37"/>
      <c r="Y68" s="37"/>
      <c r="Z68" s="37"/>
      <c r="AA68" s="40" t="s">
        <v>409</v>
      </c>
    </row>
    <row r="69" customFormat="false" ht="68.65" hidden="false" customHeight="false" outlineLevel="0" collapsed="false">
      <c r="A69" s="36" t="n">
        <v>46409</v>
      </c>
      <c r="B69" s="37" t="s">
        <v>65</v>
      </c>
      <c r="C69" s="38" t="n">
        <v>10</v>
      </c>
      <c r="D69" s="39" t="s">
        <v>410</v>
      </c>
      <c r="E69" s="40" t="s">
        <v>411</v>
      </c>
      <c r="F69" s="46" t="s">
        <v>230</v>
      </c>
      <c r="G69" s="37"/>
      <c r="H69" s="37"/>
      <c r="I69" s="37"/>
      <c r="J69" s="37"/>
      <c r="K69" s="37"/>
      <c r="L69" s="37"/>
      <c r="M69" s="37"/>
      <c r="N69" s="37"/>
      <c r="O69" s="37"/>
      <c r="P69" s="37"/>
      <c r="Q69" s="40" t="s">
        <v>412</v>
      </c>
      <c r="R69" s="42" t="n">
        <v>46412</v>
      </c>
      <c r="S69" s="37"/>
      <c r="T69" s="37"/>
      <c r="U69" s="37"/>
      <c r="V69" s="40" t="s">
        <v>413</v>
      </c>
      <c r="W69" s="40" t="s">
        <v>414</v>
      </c>
      <c r="X69" s="37"/>
      <c r="Y69" s="37"/>
      <c r="Z69" s="37"/>
      <c r="AA69" s="40" t="s">
        <v>415</v>
      </c>
    </row>
    <row r="70" customFormat="false" ht="68.65" hidden="false" customHeight="false" outlineLevel="0" collapsed="false">
      <c r="A70" s="36" t="n">
        <v>46412</v>
      </c>
      <c r="B70" s="37" t="s">
        <v>76</v>
      </c>
      <c r="C70" s="38" t="n">
        <v>10</v>
      </c>
      <c r="D70" s="39" t="s">
        <v>416</v>
      </c>
      <c r="E70" s="40" t="s">
        <v>417</v>
      </c>
      <c r="F70" s="46" t="s">
        <v>230</v>
      </c>
      <c r="G70" s="37"/>
      <c r="H70" s="37"/>
      <c r="I70" s="37"/>
      <c r="J70" s="37"/>
      <c r="K70" s="37"/>
      <c r="L70" s="37"/>
      <c r="M70" s="37"/>
      <c r="N70" s="37"/>
      <c r="O70" s="37"/>
      <c r="P70" s="37"/>
      <c r="Q70" s="40" t="s">
        <v>418</v>
      </c>
      <c r="R70" s="42" t="n">
        <v>46413</v>
      </c>
      <c r="S70" s="37"/>
      <c r="T70" s="37"/>
      <c r="U70" s="37"/>
      <c r="V70" s="40" t="s">
        <v>419</v>
      </c>
      <c r="W70" s="40" t="s">
        <v>420</v>
      </c>
      <c r="X70" s="37"/>
      <c r="Y70" s="37"/>
      <c r="Z70" s="37"/>
      <c r="AA70" s="40" t="s">
        <v>421</v>
      </c>
    </row>
    <row r="71" customFormat="false" ht="57.45" hidden="false" customHeight="false" outlineLevel="0" collapsed="false">
      <c r="A71" s="36" t="n">
        <v>46413</v>
      </c>
      <c r="B71" s="37" t="s">
        <v>89</v>
      </c>
      <c r="C71" s="38" t="n">
        <v>10</v>
      </c>
      <c r="D71" s="39" t="s">
        <v>422</v>
      </c>
      <c r="E71" s="40" t="s">
        <v>423</v>
      </c>
      <c r="F71" s="46" t="s">
        <v>230</v>
      </c>
      <c r="G71" s="37"/>
      <c r="H71" s="37"/>
      <c r="I71" s="37"/>
      <c r="J71" s="37"/>
      <c r="K71" s="37"/>
      <c r="L71" s="37"/>
      <c r="M71" s="37"/>
      <c r="N71" s="37"/>
      <c r="O71" s="37"/>
      <c r="P71" s="37"/>
      <c r="Q71" s="40" t="s">
        <v>424</v>
      </c>
      <c r="R71" s="42" t="n">
        <v>46414</v>
      </c>
      <c r="S71" s="37"/>
      <c r="T71" s="37"/>
      <c r="U71" s="37"/>
      <c r="V71" s="40" t="s">
        <v>419</v>
      </c>
      <c r="W71" s="40" t="s">
        <v>420</v>
      </c>
      <c r="X71" s="37"/>
      <c r="Y71" s="37"/>
      <c r="Z71" s="37"/>
      <c r="AA71" s="40" t="s">
        <v>425</v>
      </c>
    </row>
    <row r="72" customFormat="false" ht="46.25" hidden="false" customHeight="false" outlineLevel="0" collapsed="false">
      <c r="A72" s="36" t="n">
        <v>46414</v>
      </c>
      <c r="B72" s="37" t="s">
        <v>38</v>
      </c>
      <c r="C72" s="38" t="n">
        <v>10</v>
      </c>
      <c r="D72" s="39" t="s">
        <v>426</v>
      </c>
      <c r="E72" s="40" t="s">
        <v>427</v>
      </c>
      <c r="F72" s="46" t="s">
        <v>230</v>
      </c>
      <c r="G72" s="37"/>
      <c r="H72" s="37"/>
      <c r="I72" s="37"/>
      <c r="J72" s="37"/>
      <c r="K72" s="37"/>
      <c r="L72" s="37"/>
      <c r="M72" s="37"/>
      <c r="N72" s="37"/>
      <c r="O72" s="37"/>
      <c r="P72" s="37"/>
      <c r="Q72" s="40" t="s">
        <v>428</v>
      </c>
      <c r="R72" s="42" t="n">
        <v>46415</v>
      </c>
      <c r="S72" s="37"/>
      <c r="T72" s="37"/>
      <c r="U72" s="37"/>
      <c r="V72" s="40" t="s">
        <v>429</v>
      </c>
      <c r="W72" s="40" t="s">
        <v>430</v>
      </c>
      <c r="X72" s="37"/>
      <c r="Y72" s="37"/>
      <c r="Z72" s="37"/>
      <c r="AA72" s="40" t="s">
        <v>431</v>
      </c>
    </row>
    <row r="73" customFormat="false" ht="46.25" hidden="false" customHeight="false" outlineLevel="0" collapsed="false">
      <c r="A73" s="36" t="n">
        <v>46415</v>
      </c>
      <c r="B73" s="37" t="s">
        <v>54</v>
      </c>
      <c r="C73" s="38" t="n">
        <v>10</v>
      </c>
      <c r="D73" s="39" t="s">
        <v>432</v>
      </c>
      <c r="E73" s="40" t="s">
        <v>433</v>
      </c>
      <c r="F73" s="46" t="s">
        <v>230</v>
      </c>
      <c r="G73" s="37"/>
      <c r="H73" s="37"/>
      <c r="I73" s="37"/>
      <c r="J73" s="37"/>
      <c r="K73" s="37"/>
      <c r="L73" s="37"/>
      <c r="M73" s="37"/>
      <c r="N73" s="37"/>
      <c r="O73" s="37"/>
      <c r="P73" s="37"/>
      <c r="Q73" s="40" t="s">
        <v>434</v>
      </c>
      <c r="R73" s="42" t="n">
        <v>46416</v>
      </c>
      <c r="S73" s="37"/>
      <c r="T73" s="37"/>
      <c r="U73" s="37"/>
      <c r="V73" s="40" t="s">
        <v>435</v>
      </c>
      <c r="W73" s="40" t="s">
        <v>436</v>
      </c>
      <c r="X73" s="37"/>
      <c r="Y73" s="37"/>
      <c r="Z73" s="37"/>
      <c r="AA73" s="40" t="s">
        <v>437</v>
      </c>
    </row>
    <row r="74" customFormat="false" ht="68.65" hidden="false" customHeight="false" outlineLevel="0" collapsed="false">
      <c r="A74" s="36" t="n">
        <v>46416</v>
      </c>
      <c r="B74" s="37" t="s">
        <v>65</v>
      </c>
      <c r="C74" s="38" t="n">
        <v>10</v>
      </c>
      <c r="D74" s="39" t="s">
        <v>438</v>
      </c>
      <c r="E74" s="40" t="s">
        <v>439</v>
      </c>
      <c r="F74" s="46" t="s">
        <v>230</v>
      </c>
      <c r="G74" s="37"/>
      <c r="H74" s="37"/>
      <c r="I74" s="37"/>
      <c r="J74" s="37"/>
      <c r="K74" s="37"/>
      <c r="L74" s="37"/>
      <c r="M74" s="37"/>
      <c r="N74" s="37"/>
      <c r="O74" s="37"/>
      <c r="P74" s="37"/>
      <c r="Q74" s="40" t="s">
        <v>440</v>
      </c>
      <c r="R74" s="42" t="n">
        <v>46419</v>
      </c>
      <c r="S74" s="37"/>
      <c r="T74" s="37"/>
      <c r="U74" s="37"/>
      <c r="V74" s="40" t="s">
        <v>441</v>
      </c>
      <c r="W74" s="40" t="s">
        <v>442</v>
      </c>
      <c r="X74" s="37"/>
      <c r="Y74" s="37"/>
      <c r="Z74" s="37"/>
      <c r="AA74" s="40" t="s">
        <v>443</v>
      </c>
    </row>
    <row r="75" customFormat="false" ht="15" hidden="false" customHeight="false" outlineLevel="0" collapsed="false">
      <c r="A75" s="29" t="n">
        <v>46419</v>
      </c>
      <c r="B75" s="30" t="s">
        <v>76</v>
      </c>
      <c r="C75" s="31" t="n">
        <v>10</v>
      </c>
      <c r="D75" s="32" t="s">
        <v>444</v>
      </c>
      <c r="E75" s="33" t="s">
        <v>445</v>
      </c>
      <c r="F75" s="45" t="s">
        <v>230</v>
      </c>
      <c r="G75" s="30"/>
      <c r="H75" s="30"/>
      <c r="I75" s="30"/>
      <c r="J75" s="30"/>
      <c r="K75" s="30"/>
      <c r="L75" s="30"/>
      <c r="M75" s="30"/>
      <c r="N75" s="30"/>
      <c r="O75" s="30"/>
      <c r="P75" s="30"/>
      <c r="Q75" s="33"/>
      <c r="R75" s="35"/>
      <c r="S75" s="30"/>
      <c r="T75" s="30"/>
      <c r="U75" s="30"/>
      <c r="V75" s="33"/>
      <c r="W75" s="33"/>
      <c r="X75" s="30"/>
      <c r="Y75" s="30"/>
      <c r="Z75" s="30"/>
      <c r="AA75" s="33"/>
    </row>
    <row r="76" customFormat="false" ht="15" hidden="false" customHeight="false" outlineLevel="0" collapsed="false">
      <c r="A76" s="29" t="n">
        <v>46420</v>
      </c>
      <c r="B76" s="30" t="s">
        <v>89</v>
      </c>
      <c r="C76" s="31" t="n">
        <v>10</v>
      </c>
      <c r="D76" s="32" t="s">
        <v>446</v>
      </c>
      <c r="E76" s="33" t="s">
        <v>447</v>
      </c>
      <c r="F76" s="45" t="s">
        <v>230</v>
      </c>
      <c r="G76" s="30"/>
      <c r="H76" s="30"/>
      <c r="I76" s="30"/>
      <c r="J76" s="30"/>
      <c r="K76" s="30"/>
      <c r="L76" s="30"/>
      <c r="M76" s="30"/>
      <c r="N76" s="30"/>
      <c r="O76" s="30"/>
      <c r="P76" s="30"/>
      <c r="Q76" s="33"/>
      <c r="R76" s="35"/>
      <c r="S76" s="30"/>
      <c r="T76" s="30"/>
      <c r="U76" s="30"/>
      <c r="V76" s="33"/>
      <c r="W76" s="33"/>
      <c r="X76" s="30"/>
      <c r="Y76" s="30"/>
      <c r="Z76" s="30"/>
      <c r="AA76" s="33"/>
    </row>
    <row r="77" customFormat="false" ht="23.85" hidden="false" customHeight="false" outlineLevel="0" collapsed="false">
      <c r="A77" s="22" t="n">
        <v>46421</v>
      </c>
      <c r="B77" s="23" t="s">
        <v>38</v>
      </c>
      <c r="C77" s="24" t="n">
        <v>10</v>
      </c>
      <c r="D77" s="25" t="s">
        <v>161</v>
      </c>
      <c r="E77" s="26" t="s">
        <v>162</v>
      </c>
      <c r="F77" s="44" t="s">
        <v>230</v>
      </c>
      <c r="G77" s="23"/>
      <c r="H77" s="23"/>
      <c r="I77" s="23"/>
      <c r="J77" s="23"/>
      <c r="K77" s="23"/>
      <c r="L77" s="23"/>
      <c r="M77" s="23"/>
      <c r="N77" s="23"/>
      <c r="O77" s="23"/>
      <c r="P77" s="23"/>
      <c r="Q77" s="26"/>
      <c r="R77" s="28"/>
      <c r="S77" s="23"/>
      <c r="T77" s="23"/>
      <c r="U77" s="23"/>
      <c r="V77" s="26"/>
      <c r="W77" s="26"/>
      <c r="X77" s="23"/>
      <c r="Y77" s="23"/>
      <c r="Z77" s="23"/>
      <c r="AA77" s="26"/>
    </row>
    <row r="78" customFormat="false" ht="35.05" hidden="false" customHeight="false" outlineLevel="0" collapsed="false">
      <c r="A78" s="15" t="n">
        <v>46422</v>
      </c>
      <c r="B78" s="16" t="s">
        <v>54</v>
      </c>
      <c r="C78" s="17" t="n">
        <v>11</v>
      </c>
      <c r="D78" s="18" t="s">
        <v>448</v>
      </c>
      <c r="E78" s="19" t="s">
        <v>449</v>
      </c>
      <c r="F78" s="43" t="s">
        <v>230</v>
      </c>
      <c r="G78" s="16"/>
      <c r="H78" s="16"/>
      <c r="I78" s="16"/>
      <c r="J78" s="16"/>
      <c r="K78" s="16"/>
      <c r="L78" s="16"/>
      <c r="M78" s="16"/>
      <c r="N78" s="16"/>
      <c r="O78" s="16"/>
      <c r="P78" s="16"/>
      <c r="Q78" s="19" t="s">
        <v>450</v>
      </c>
      <c r="R78" s="21" t="n">
        <v>46423</v>
      </c>
      <c r="S78" s="16"/>
      <c r="T78" s="16"/>
      <c r="U78" s="16"/>
      <c r="V78" s="19" t="s">
        <v>451</v>
      </c>
      <c r="W78" s="19" t="s">
        <v>452</v>
      </c>
      <c r="X78" s="16"/>
      <c r="Y78" s="16"/>
      <c r="Z78" s="16"/>
      <c r="AA78" s="19" t="s">
        <v>453</v>
      </c>
    </row>
    <row r="79" customFormat="false" ht="35.05" hidden="false" customHeight="false" outlineLevel="0" collapsed="false">
      <c r="A79" s="15" t="n">
        <v>46423</v>
      </c>
      <c r="B79" s="16" t="s">
        <v>65</v>
      </c>
      <c r="C79" s="17" t="n">
        <v>11</v>
      </c>
      <c r="D79" s="18" t="s">
        <v>454</v>
      </c>
      <c r="E79" s="19" t="s">
        <v>455</v>
      </c>
      <c r="F79" s="43" t="s">
        <v>230</v>
      </c>
      <c r="G79" s="16"/>
      <c r="H79" s="16"/>
      <c r="I79" s="16"/>
      <c r="J79" s="16"/>
      <c r="K79" s="16"/>
      <c r="L79" s="16"/>
      <c r="M79" s="16"/>
      <c r="N79" s="16"/>
      <c r="O79" s="16"/>
      <c r="P79" s="16"/>
      <c r="Q79" s="19" t="s">
        <v>456</v>
      </c>
      <c r="R79" s="21" t="n">
        <v>46426</v>
      </c>
      <c r="S79" s="16"/>
      <c r="T79" s="16"/>
      <c r="U79" s="16"/>
      <c r="V79" s="19" t="s">
        <v>451</v>
      </c>
      <c r="W79" s="19" t="s">
        <v>452</v>
      </c>
      <c r="X79" s="16"/>
      <c r="Y79" s="16"/>
      <c r="Z79" s="16"/>
      <c r="AA79" s="19" t="s">
        <v>457</v>
      </c>
    </row>
    <row r="80" customFormat="false" ht="35.05" hidden="false" customHeight="false" outlineLevel="0" collapsed="false">
      <c r="A80" s="15" t="n">
        <v>46426</v>
      </c>
      <c r="B80" s="16" t="s">
        <v>76</v>
      </c>
      <c r="C80" s="17" t="n">
        <v>11</v>
      </c>
      <c r="D80" s="18" t="s">
        <v>458</v>
      </c>
      <c r="E80" s="19" t="s">
        <v>459</v>
      </c>
      <c r="F80" s="43" t="s">
        <v>230</v>
      </c>
      <c r="G80" s="16"/>
      <c r="H80" s="16"/>
      <c r="I80" s="16"/>
      <c r="J80" s="16"/>
      <c r="K80" s="16"/>
      <c r="L80" s="16"/>
      <c r="M80" s="16"/>
      <c r="N80" s="16"/>
      <c r="O80" s="16"/>
      <c r="P80" s="16"/>
      <c r="Q80" s="19" t="s">
        <v>460</v>
      </c>
      <c r="R80" s="21" t="n">
        <v>46427</v>
      </c>
      <c r="S80" s="16"/>
      <c r="T80" s="16"/>
      <c r="U80" s="16"/>
      <c r="V80" s="19" t="s">
        <v>451</v>
      </c>
      <c r="W80" s="19" t="s">
        <v>452</v>
      </c>
      <c r="X80" s="16"/>
      <c r="Y80" s="16"/>
      <c r="Z80" s="16"/>
      <c r="AA80" s="19" t="s">
        <v>461</v>
      </c>
    </row>
    <row r="81" customFormat="false" ht="35.05" hidden="false" customHeight="false" outlineLevel="0" collapsed="false">
      <c r="A81" s="15" t="n">
        <v>46427</v>
      </c>
      <c r="B81" s="16" t="s">
        <v>89</v>
      </c>
      <c r="C81" s="17" t="n">
        <v>11</v>
      </c>
      <c r="D81" s="18" t="s">
        <v>462</v>
      </c>
      <c r="E81" s="19" t="s">
        <v>463</v>
      </c>
      <c r="F81" s="43" t="s">
        <v>230</v>
      </c>
      <c r="G81" s="16"/>
      <c r="H81" s="16"/>
      <c r="I81" s="16"/>
      <c r="J81" s="16"/>
      <c r="K81" s="16"/>
      <c r="L81" s="16"/>
      <c r="M81" s="16"/>
      <c r="N81" s="16"/>
      <c r="O81" s="16"/>
      <c r="P81" s="16"/>
      <c r="Q81" s="19" t="s">
        <v>464</v>
      </c>
      <c r="R81" s="21" t="n">
        <v>46428</v>
      </c>
      <c r="S81" s="16"/>
      <c r="T81" s="16"/>
      <c r="U81" s="16"/>
      <c r="V81" s="19" t="s">
        <v>451</v>
      </c>
      <c r="W81" s="19" t="s">
        <v>452</v>
      </c>
      <c r="X81" s="16"/>
      <c r="Y81" s="16"/>
      <c r="Z81" s="16"/>
      <c r="AA81" s="19" t="s">
        <v>465</v>
      </c>
    </row>
    <row r="82" customFormat="false" ht="79.85" hidden="false" customHeight="false" outlineLevel="0" collapsed="false">
      <c r="A82" s="15" t="n">
        <v>46428</v>
      </c>
      <c r="B82" s="16" t="s">
        <v>38</v>
      </c>
      <c r="C82" s="17" t="n">
        <v>11</v>
      </c>
      <c r="D82" s="18" t="s">
        <v>466</v>
      </c>
      <c r="E82" s="19" t="s">
        <v>467</v>
      </c>
      <c r="F82" s="43" t="s">
        <v>230</v>
      </c>
      <c r="G82" s="16"/>
      <c r="H82" s="16"/>
      <c r="I82" s="16"/>
      <c r="J82" s="16"/>
      <c r="K82" s="16"/>
      <c r="L82" s="16"/>
      <c r="M82" s="16"/>
      <c r="N82" s="16"/>
      <c r="O82" s="16"/>
      <c r="P82" s="16"/>
      <c r="Q82" s="19" t="s">
        <v>468</v>
      </c>
      <c r="R82" s="21" t="n">
        <v>46429</v>
      </c>
      <c r="S82" s="16"/>
      <c r="T82" s="16"/>
      <c r="U82" s="16"/>
      <c r="V82" s="19" t="s">
        <v>469</v>
      </c>
      <c r="W82" s="19" t="s">
        <v>470</v>
      </c>
      <c r="X82" s="16"/>
      <c r="Y82" s="16"/>
      <c r="Z82" s="16"/>
      <c r="AA82" s="19" t="s">
        <v>471</v>
      </c>
    </row>
    <row r="83" customFormat="false" ht="23.85" hidden="false" customHeight="false" outlineLevel="0" collapsed="false">
      <c r="A83" s="15" t="n">
        <v>46429</v>
      </c>
      <c r="B83" s="16" t="s">
        <v>54</v>
      </c>
      <c r="C83" s="17" t="n">
        <v>11</v>
      </c>
      <c r="D83" s="18" t="s">
        <v>472</v>
      </c>
      <c r="E83" s="19" t="s">
        <v>473</v>
      </c>
      <c r="F83" s="43" t="s">
        <v>230</v>
      </c>
      <c r="G83" s="16"/>
      <c r="H83" s="16"/>
      <c r="I83" s="16"/>
      <c r="J83" s="16"/>
      <c r="K83" s="16"/>
      <c r="L83" s="16"/>
      <c r="M83" s="16"/>
      <c r="N83" s="16"/>
      <c r="O83" s="16"/>
      <c r="P83" s="16"/>
      <c r="Q83" s="19" t="s">
        <v>474</v>
      </c>
      <c r="R83" s="21" t="n">
        <v>46430</v>
      </c>
      <c r="S83" s="16"/>
      <c r="T83" s="16"/>
      <c r="U83" s="16"/>
      <c r="V83" s="19" t="s">
        <v>475</v>
      </c>
      <c r="W83" s="19" t="s">
        <v>476</v>
      </c>
      <c r="X83" s="16"/>
      <c r="Y83" s="16"/>
      <c r="Z83" s="16"/>
      <c r="AA83" s="19" t="s">
        <v>477</v>
      </c>
    </row>
    <row r="84" customFormat="false" ht="23.85" hidden="false" customHeight="false" outlineLevel="0" collapsed="false">
      <c r="A84" s="15" t="n">
        <v>46430</v>
      </c>
      <c r="B84" s="16" t="s">
        <v>65</v>
      </c>
      <c r="C84" s="17" t="n">
        <v>11</v>
      </c>
      <c r="D84" s="18" t="s">
        <v>478</v>
      </c>
      <c r="E84" s="19" t="s">
        <v>479</v>
      </c>
      <c r="F84" s="43" t="s">
        <v>230</v>
      </c>
      <c r="G84" s="16"/>
      <c r="H84" s="16"/>
      <c r="I84" s="16"/>
      <c r="J84" s="16"/>
      <c r="K84" s="16"/>
      <c r="L84" s="16"/>
      <c r="M84" s="16"/>
      <c r="N84" s="16"/>
      <c r="O84" s="16"/>
      <c r="P84" s="16"/>
      <c r="Q84" s="19" t="s">
        <v>480</v>
      </c>
      <c r="R84" s="21" t="n">
        <v>46434</v>
      </c>
      <c r="S84" s="16"/>
      <c r="T84" s="16"/>
      <c r="U84" s="16"/>
      <c r="V84" s="19" t="s">
        <v>475</v>
      </c>
      <c r="W84" s="19" t="s">
        <v>476</v>
      </c>
      <c r="X84" s="16"/>
      <c r="Y84" s="16"/>
      <c r="Z84" s="16"/>
      <c r="AA84" s="19" t="s">
        <v>481</v>
      </c>
    </row>
    <row r="85" customFormat="false" ht="23.85" hidden="false" customHeight="false" outlineLevel="0" collapsed="false">
      <c r="A85" s="22" t="n">
        <v>46434</v>
      </c>
      <c r="B85" s="23" t="s">
        <v>89</v>
      </c>
      <c r="C85" s="24" t="n">
        <v>11</v>
      </c>
      <c r="D85" s="25" t="s">
        <v>151</v>
      </c>
      <c r="E85" s="26" t="s">
        <v>152</v>
      </c>
      <c r="F85" s="44" t="s">
        <v>230</v>
      </c>
      <c r="G85" s="23"/>
      <c r="H85" s="23"/>
      <c r="I85" s="23"/>
      <c r="J85" s="23"/>
      <c r="K85" s="23"/>
      <c r="L85" s="23"/>
      <c r="M85" s="23"/>
      <c r="N85" s="23"/>
      <c r="O85" s="23"/>
      <c r="P85" s="23"/>
      <c r="Q85" s="26"/>
      <c r="R85" s="28"/>
      <c r="S85" s="23"/>
      <c r="T85" s="23"/>
      <c r="U85" s="23"/>
      <c r="V85" s="26"/>
      <c r="W85" s="26"/>
      <c r="X85" s="23"/>
      <c r="Y85" s="23"/>
      <c r="Z85" s="23"/>
      <c r="AA85" s="26"/>
    </row>
    <row r="86" customFormat="false" ht="23.85" hidden="false" customHeight="false" outlineLevel="0" collapsed="false">
      <c r="A86" s="22" t="n">
        <v>46435</v>
      </c>
      <c r="B86" s="23" t="s">
        <v>38</v>
      </c>
      <c r="C86" s="24" t="n">
        <v>11</v>
      </c>
      <c r="D86" s="25" t="s">
        <v>151</v>
      </c>
      <c r="E86" s="26" t="s">
        <v>152</v>
      </c>
      <c r="F86" s="44" t="s">
        <v>230</v>
      </c>
      <c r="G86" s="23"/>
      <c r="H86" s="23"/>
      <c r="I86" s="23"/>
      <c r="J86" s="23"/>
      <c r="K86" s="23"/>
      <c r="L86" s="23"/>
      <c r="M86" s="23"/>
      <c r="N86" s="23"/>
      <c r="O86" s="23"/>
      <c r="P86" s="23"/>
      <c r="Q86" s="26"/>
      <c r="R86" s="28"/>
      <c r="S86" s="23"/>
      <c r="T86" s="23"/>
      <c r="U86" s="23"/>
      <c r="V86" s="26"/>
      <c r="W86" s="26"/>
      <c r="X86" s="23"/>
      <c r="Y86" s="23"/>
      <c r="Z86" s="23"/>
      <c r="AA86" s="26"/>
    </row>
    <row r="87" customFormat="false" ht="15" hidden="false" customHeight="false" outlineLevel="0" collapsed="false">
      <c r="A87" s="29" t="n">
        <v>46436</v>
      </c>
      <c r="B87" s="30" t="s">
        <v>54</v>
      </c>
      <c r="C87" s="31" t="n">
        <v>11</v>
      </c>
      <c r="D87" s="32" t="s">
        <v>482</v>
      </c>
      <c r="E87" s="33" t="s">
        <v>483</v>
      </c>
      <c r="F87" s="45" t="s">
        <v>230</v>
      </c>
      <c r="G87" s="30"/>
      <c r="H87" s="30"/>
      <c r="I87" s="30"/>
      <c r="J87" s="30"/>
      <c r="K87" s="30"/>
      <c r="L87" s="30"/>
      <c r="M87" s="30"/>
      <c r="N87" s="30"/>
      <c r="O87" s="30"/>
      <c r="P87" s="30"/>
      <c r="Q87" s="33"/>
      <c r="R87" s="35"/>
      <c r="S87" s="30"/>
      <c r="T87" s="30"/>
      <c r="U87" s="30"/>
      <c r="V87" s="33"/>
      <c r="W87" s="33"/>
      <c r="X87" s="30"/>
      <c r="Y87" s="30"/>
      <c r="Z87" s="30"/>
      <c r="AA87" s="33"/>
    </row>
    <row r="88" customFormat="false" ht="15" hidden="false" customHeight="false" outlineLevel="0" collapsed="false">
      <c r="A88" s="29" t="n">
        <v>46437</v>
      </c>
      <c r="B88" s="30" t="s">
        <v>65</v>
      </c>
      <c r="C88" s="31" t="n">
        <v>11</v>
      </c>
      <c r="D88" s="32" t="s">
        <v>484</v>
      </c>
      <c r="E88" s="33" t="s">
        <v>485</v>
      </c>
      <c r="F88" s="45" t="s">
        <v>230</v>
      </c>
      <c r="G88" s="30"/>
      <c r="H88" s="30"/>
      <c r="I88" s="30"/>
      <c r="J88" s="30"/>
      <c r="K88" s="30"/>
      <c r="L88" s="30"/>
      <c r="M88" s="30"/>
      <c r="N88" s="30"/>
      <c r="O88" s="30"/>
      <c r="P88" s="30"/>
      <c r="Q88" s="33"/>
      <c r="R88" s="35"/>
      <c r="S88" s="30"/>
      <c r="T88" s="30"/>
      <c r="U88" s="30"/>
      <c r="V88" s="33"/>
      <c r="W88" s="33"/>
      <c r="X88" s="30"/>
      <c r="Y88" s="30"/>
      <c r="Z88" s="30"/>
      <c r="AA88" s="33"/>
    </row>
    <row r="89" customFormat="false" ht="23.85" hidden="false" customHeight="false" outlineLevel="0" collapsed="false">
      <c r="A89" s="22" t="n">
        <v>46440</v>
      </c>
      <c r="B89" s="23" t="s">
        <v>76</v>
      </c>
      <c r="C89" s="24" t="n">
        <v>11</v>
      </c>
      <c r="D89" s="25" t="s">
        <v>161</v>
      </c>
      <c r="E89" s="26" t="s">
        <v>162</v>
      </c>
      <c r="F89" s="44" t="s">
        <v>230</v>
      </c>
      <c r="G89" s="23"/>
      <c r="H89" s="23"/>
      <c r="I89" s="23"/>
      <c r="J89" s="23"/>
      <c r="K89" s="23"/>
      <c r="L89" s="23"/>
      <c r="M89" s="23"/>
      <c r="N89" s="23"/>
      <c r="O89" s="23"/>
      <c r="P89" s="23"/>
      <c r="Q89" s="26"/>
      <c r="R89" s="28"/>
      <c r="S89" s="23"/>
      <c r="T89" s="23"/>
      <c r="U89" s="23"/>
      <c r="V89" s="26"/>
      <c r="W89" s="26"/>
      <c r="X89" s="23"/>
      <c r="Y89" s="23"/>
      <c r="Z89" s="23"/>
      <c r="AA89" s="26"/>
    </row>
    <row r="90" customFormat="false" ht="35.05" hidden="false" customHeight="false" outlineLevel="0" collapsed="false">
      <c r="A90" s="36" t="n">
        <v>46441</v>
      </c>
      <c r="B90" s="37" t="s">
        <v>89</v>
      </c>
      <c r="C90" s="38" t="n">
        <v>12</v>
      </c>
      <c r="D90" s="39" t="s">
        <v>486</v>
      </c>
      <c r="E90" s="40" t="s">
        <v>487</v>
      </c>
      <c r="F90" s="46" t="s">
        <v>230</v>
      </c>
      <c r="G90" s="37"/>
      <c r="H90" s="37"/>
      <c r="I90" s="37"/>
      <c r="J90" s="37"/>
      <c r="K90" s="37"/>
      <c r="L90" s="37"/>
      <c r="M90" s="37"/>
      <c r="N90" s="37"/>
      <c r="O90" s="37"/>
      <c r="P90" s="37"/>
      <c r="Q90" s="40" t="s">
        <v>488</v>
      </c>
      <c r="R90" s="42" t="n">
        <v>46442</v>
      </c>
      <c r="S90" s="37"/>
      <c r="T90" s="37"/>
      <c r="U90" s="37"/>
      <c r="V90" s="40" t="s">
        <v>489</v>
      </c>
      <c r="W90" s="40" t="s">
        <v>490</v>
      </c>
      <c r="X90" s="37"/>
      <c r="Y90" s="37"/>
      <c r="Z90" s="37"/>
      <c r="AA90" s="40" t="s">
        <v>491</v>
      </c>
    </row>
    <row r="91" customFormat="false" ht="35.05" hidden="false" customHeight="false" outlineLevel="0" collapsed="false">
      <c r="A91" s="36" t="n">
        <v>46442</v>
      </c>
      <c r="B91" s="37" t="s">
        <v>38</v>
      </c>
      <c r="C91" s="38" t="n">
        <v>12</v>
      </c>
      <c r="D91" s="39" t="s">
        <v>492</v>
      </c>
      <c r="E91" s="40" t="s">
        <v>493</v>
      </c>
      <c r="F91" s="46" t="s">
        <v>230</v>
      </c>
      <c r="G91" s="37"/>
      <c r="H91" s="37"/>
      <c r="I91" s="37"/>
      <c r="J91" s="37"/>
      <c r="K91" s="37"/>
      <c r="L91" s="37"/>
      <c r="M91" s="37"/>
      <c r="N91" s="37"/>
      <c r="O91" s="37"/>
      <c r="P91" s="37"/>
      <c r="Q91" s="40" t="s">
        <v>494</v>
      </c>
      <c r="R91" s="42" t="n">
        <v>46443</v>
      </c>
      <c r="S91" s="37"/>
      <c r="T91" s="37"/>
      <c r="U91" s="37"/>
      <c r="V91" s="40" t="s">
        <v>489</v>
      </c>
      <c r="W91" s="40" t="s">
        <v>490</v>
      </c>
      <c r="X91" s="37"/>
      <c r="Y91" s="37"/>
      <c r="Z91" s="37"/>
      <c r="AA91" s="40" t="s">
        <v>495</v>
      </c>
    </row>
    <row r="92" customFormat="false" ht="35.05" hidden="false" customHeight="false" outlineLevel="0" collapsed="false">
      <c r="A92" s="36" t="n">
        <v>46443</v>
      </c>
      <c r="B92" s="37" t="s">
        <v>54</v>
      </c>
      <c r="C92" s="38" t="n">
        <v>12</v>
      </c>
      <c r="D92" s="39" t="s">
        <v>496</v>
      </c>
      <c r="E92" s="40" t="s">
        <v>497</v>
      </c>
      <c r="F92" s="46" t="s">
        <v>230</v>
      </c>
      <c r="G92" s="37"/>
      <c r="H92" s="37"/>
      <c r="I92" s="37"/>
      <c r="J92" s="37"/>
      <c r="K92" s="37"/>
      <c r="L92" s="37"/>
      <c r="M92" s="37"/>
      <c r="N92" s="37"/>
      <c r="O92" s="37"/>
      <c r="P92" s="37"/>
      <c r="Q92" s="40" t="s">
        <v>498</v>
      </c>
      <c r="R92" s="42" t="n">
        <v>46447</v>
      </c>
      <c r="S92" s="37"/>
      <c r="T92" s="37"/>
      <c r="U92" s="37"/>
      <c r="V92" s="40" t="s">
        <v>499</v>
      </c>
      <c r="W92" s="40" t="s">
        <v>500</v>
      </c>
      <c r="X92" s="37"/>
      <c r="Y92" s="37"/>
      <c r="Z92" s="37"/>
      <c r="AA92" s="40" t="s">
        <v>501</v>
      </c>
    </row>
    <row r="93" customFormat="false" ht="35.05" hidden="false" customHeight="false" outlineLevel="0" collapsed="false">
      <c r="A93" s="36" t="n">
        <v>46444</v>
      </c>
      <c r="B93" s="37" t="s">
        <v>65</v>
      </c>
      <c r="C93" s="38" t="n">
        <v>12</v>
      </c>
      <c r="D93" s="39" t="s">
        <v>502</v>
      </c>
      <c r="E93" s="40" t="s">
        <v>503</v>
      </c>
      <c r="F93" s="46" t="s">
        <v>230</v>
      </c>
      <c r="G93" s="37"/>
      <c r="H93" s="37"/>
      <c r="I93" s="37"/>
      <c r="J93" s="37"/>
      <c r="K93" s="37"/>
      <c r="L93" s="37"/>
      <c r="M93" s="37"/>
      <c r="N93" s="37"/>
      <c r="O93" s="37"/>
      <c r="P93" s="37"/>
      <c r="Q93" s="40" t="s">
        <v>498</v>
      </c>
      <c r="R93" s="42" t="n">
        <v>46447</v>
      </c>
      <c r="S93" s="37"/>
      <c r="T93" s="37"/>
      <c r="U93" s="37"/>
      <c r="V93" s="40" t="s">
        <v>499</v>
      </c>
      <c r="W93" s="40" t="s">
        <v>500</v>
      </c>
      <c r="X93" s="37"/>
      <c r="Y93" s="37"/>
      <c r="Z93" s="37"/>
      <c r="AA93" s="40" t="s">
        <v>504</v>
      </c>
    </row>
    <row r="94" customFormat="false" ht="35.05" hidden="false" customHeight="false" outlineLevel="0" collapsed="false">
      <c r="A94" s="36" t="n">
        <v>46447</v>
      </c>
      <c r="B94" s="37" t="s">
        <v>76</v>
      </c>
      <c r="C94" s="38" t="n">
        <v>12</v>
      </c>
      <c r="D94" s="39" t="s">
        <v>505</v>
      </c>
      <c r="E94" s="40" t="s">
        <v>506</v>
      </c>
      <c r="F94" s="46" t="s">
        <v>230</v>
      </c>
      <c r="G94" s="37"/>
      <c r="H94" s="37"/>
      <c r="I94" s="37"/>
      <c r="J94" s="37"/>
      <c r="K94" s="37"/>
      <c r="L94" s="37"/>
      <c r="M94" s="37"/>
      <c r="N94" s="37"/>
      <c r="O94" s="37"/>
      <c r="P94" s="37"/>
      <c r="Q94" s="40" t="s">
        <v>507</v>
      </c>
      <c r="R94" s="42" t="n">
        <v>46448</v>
      </c>
      <c r="S94" s="37"/>
      <c r="T94" s="37"/>
      <c r="U94" s="37"/>
      <c r="V94" s="40" t="s">
        <v>508</v>
      </c>
      <c r="W94" s="40" t="s">
        <v>509</v>
      </c>
      <c r="X94" s="37"/>
      <c r="Y94" s="37"/>
      <c r="Z94" s="37"/>
      <c r="AA94" s="40" t="s">
        <v>510</v>
      </c>
    </row>
    <row r="95" customFormat="false" ht="68.65" hidden="false" customHeight="false" outlineLevel="0" collapsed="false">
      <c r="A95" s="36" t="n">
        <v>46448</v>
      </c>
      <c r="B95" s="37" t="s">
        <v>89</v>
      </c>
      <c r="C95" s="38" t="n">
        <v>12</v>
      </c>
      <c r="D95" s="39" t="s">
        <v>511</v>
      </c>
      <c r="E95" s="40" t="s">
        <v>512</v>
      </c>
      <c r="F95" s="46" t="s">
        <v>230</v>
      </c>
      <c r="G95" s="37"/>
      <c r="H95" s="37"/>
      <c r="I95" s="37"/>
      <c r="J95" s="37"/>
      <c r="K95" s="37"/>
      <c r="L95" s="37"/>
      <c r="M95" s="37"/>
      <c r="N95" s="37"/>
      <c r="O95" s="37"/>
      <c r="P95" s="37"/>
      <c r="Q95" s="40" t="s">
        <v>513</v>
      </c>
      <c r="R95" s="42" t="n">
        <v>46449</v>
      </c>
      <c r="S95" s="37"/>
      <c r="T95" s="37"/>
      <c r="U95" s="37"/>
      <c r="V95" s="40" t="s">
        <v>514</v>
      </c>
      <c r="W95" s="40" t="s">
        <v>515</v>
      </c>
      <c r="X95" s="37"/>
      <c r="Y95" s="37"/>
      <c r="Z95" s="37"/>
      <c r="AA95" s="40" t="s">
        <v>516</v>
      </c>
    </row>
    <row r="96" customFormat="false" ht="23.85" hidden="false" customHeight="false" outlineLevel="0" collapsed="false">
      <c r="A96" s="22" t="n">
        <v>46449</v>
      </c>
      <c r="B96" s="23" t="s">
        <v>38</v>
      </c>
      <c r="C96" s="24" t="n">
        <v>12</v>
      </c>
      <c r="D96" s="25" t="s">
        <v>151</v>
      </c>
      <c r="E96" s="26" t="s">
        <v>152</v>
      </c>
      <c r="F96" s="44" t="s">
        <v>230</v>
      </c>
      <c r="G96" s="23"/>
      <c r="H96" s="23"/>
      <c r="I96" s="23"/>
      <c r="J96" s="23"/>
      <c r="K96" s="23"/>
      <c r="L96" s="23"/>
      <c r="M96" s="23"/>
      <c r="N96" s="23"/>
      <c r="O96" s="23"/>
      <c r="P96" s="23"/>
      <c r="Q96" s="26"/>
      <c r="R96" s="28"/>
      <c r="S96" s="23"/>
      <c r="T96" s="23"/>
      <c r="U96" s="23"/>
      <c r="V96" s="26"/>
      <c r="W96" s="26"/>
      <c r="X96" s="23"/>
      <c r="Y96" s="23"/>
      <c r="Z96" s="23"/>
      <c r="AA96" s="26"/>
    </row>
    <row r="97" customFormat="false" ht="23.85" hidden="false" customHeight="false" outlineLevel="0" collapsed="false">
      <c r="A97" s="22" t="n">
        <v>46450</v>
      </c>
      <c r="B97" s="23" t="s">
        <v>54</v>
      </c>
      <c r="C97" s="24" t="n">
        <v>12</v>
      </c>
      <c r="D97" s="25" t="s">
        <v>151</v>
      </c>
      <c r="E97" s="26" t="s">
        <v>152</v>
      </c>
      <c r="F97" s="44" t="s">
        <v>230</v>
      </c>
      <c r="G97" s="23"/>
      <c r="H97" s="23"/>
      <c r="I97" s="23"/>
      <c r="J97" s="23"/>
      <c r="K97" s="23"/>
      <c r="L97" s="23"/>
      <c r="M97" s="23"/>
      <c r="N97" s="23"/>
      <c r="O97" s="23"/>
      <c r="P97" s="23"/>
      <c r="Q97" s="26"/>
      <c r="R97" s="28"/>
      <c r="S97" s="23"/>
      <c r="T97" s="23"/>
      <c r="U97" s="23"/>
      <c r="V97" s="26"/>
      <c r="W97" s="26"/>
      <c r="X97" s="23"/>
      <c r="Y97" s="23"/>
      <c r="Z97" s="23"/>
      <c r="AA97" s="26"/>
    </row>
    <row r="98" customFormat="false" ht="15" hidden="false" customHeight="false" outlineLevel="0" collapsed="false">
      <c r="A98" s="29" t="n">
        <v>46454</v>
      </c>
      <c r="B98" s="30" t="s">
        <v>76</v>
      </c>
      <c r="C98" s="31" t="n">
        <v>12</v>
      </c>
      <c r="D98" s="32" t="s">
        <v>517</v>
      </c>
      <c r="E98" s="33" t="s">
        <v>518</v>
      </c>
      <c r="F98" s="45" t="s">
        <v>230</v>
      </c>
      <c r="G98" s="30"/>
      <c r="H98" s="30"/>
      <c r="I98" s="30"/>
      <c r="J98" s="30"/>
      <c r="K98" s="30"/>
      <c r="L98" s="30"/>
      <c r="M98" s="30"/>
      <c r="N98" s="30"/>
      <c r="O98" s="30"/>
      <c r="P98" s="30"/>
      <c r="Q98" s="33"/>
      <c r="R98" s="35"/>
      <c r="S98" s="30"/>
      <c r="T98" s="30"/>
      <c r="U98" s="30"/>
      <c r="V98" s="33"/>
      <c r="W98" s="33"/>
      <c r="X98" s="30"/>
      <c r="Y98" s="30"/>
      <c r="Z98" s="30"/>
      <c r="AA98" s="33"/>
    </row>
    <row r="99" customFormat="false" ht="15" hidden="false" customHeight="false" outlineLevel="0" collapsed="false">
      <c r="A99" s="29" t="n">
        <v>46455</v>
      </c>
      <c r="B99" s="30" t="s">
        <v>89</v>
      </c>
      <c r="C99" s="31" t="n">
        <v>12</v>
      </c>
      <c r="D99" s="32" t="s">
        <v>519</v>
      </c>
      <c r="E99" s="33" t="s">
        <v>520</v>
      </c>
      <c r="F99" s="45" t="s">
        <v>230</v>
      </c>
      <c r="G99" s="30"/>
      <c r="H99" s="30"/>
      <c r="I99" s="30"/>
      <c r="J99" s="30"/>
      <c r="K99" s="30"/>
      <c r="L99" s="30"/>
      <c r="M99" s="30"/>
      <c r="N99" s="30"/>
      <c r="O99" s="30"/>
      <c r="P99" s="30"/>
      <c r="Q99" s="33"/>
      <c r="R99" s="35"/>
      <c r="S99" s="30"/>
      <c r="T99" s="30"/>
      <c r="U99" s="30"/>
      <c r="V99" s="33"/>
      <c r="W99" s="33"/>
      <c r="X99" s="30"/>
      <c r="Y99" s="30"/>
      <c r="Z99" s="30"/>
      <c r="AA99" s="33"/>
    </row>
    <row r="100" customFormat="false" ht="23.85" hidden="false" customHeight="false" outlineLevel="0" collapsed="false">
      <c r="A100" s="22" t="n">
        <v>46456</v>
      </c>
      <c r="B100" s="23" t="s">
        <v>38</v>
      </c>
      <c r="C100" s="24" t="n">
        <v>12</v>
      </c>
      <c r="D100" s="25" t="s">
        <v>161</v>
      </c>
      <c r="E100" s="26" t="s">
        <v>162</v>
      </c>
      <c r="F100" s="44" t="s">
        <v>230</v>
      </c>
      <c r="G100" s="23"/>
      <c r="H100" s="23"/>
      <c r="I100" s="23"/>
      <c r="J100" s="23"/>
      <c r="K100" s="23"/>
      <c r="L100" s="23"/>
      <c r="M100" s="23"/>
      <c r="N100" s="23"/>
      <c r="O100" s="23"/>
      <c r="P100" s="23"/>
      <c r="Q100" s="26"/>
      <c r="R100" s="28"/>
      <c r="S100" s="23"/>
      <c r="T100" s="23"/>
      <c r="U100" s="23"/>
      <c r="V100" s="26"/>
      <c r="W100" s="26"/>
      <c r="X100" s="23"/>
      <c r="Y100" s="23"/>
      <c r="Z100" s="23"/>
      <c r="AA100" s="26"/>
    </row>
    <row r="101" customFormat="false" ht="57.45" hidden="false" customHeight="false" outlineLevel="0" collapsed="false">
      <c r="A101" s="15" t="n">
        <v>46457</v>
      </c>
      <c r="B101" s="16" t="s">
        <v>54</v>
      </c>
      <c r="C101" s="17" t="n">
        <v>13</v>
      </c>
      <c r="D101" s="18" t="s">
        <v>521</v>
      </c>
      <c r="E101" s="19" t="s">
        <v>522</v>
      </c>
      <c r="F101" s="43" t="s">
        <v>230</v>
      </c>
      <c r="G101" s="16"/>
      <c r="H101" s="16"/>
      <c r="I101" s="16"/>
      <c r="J101" s="16"/>
      <c r="K101" s="16"/>
      <c r="L101" s="16"/>
      <c r="M101" s="16"/>
      <c r="N101" s="16"/>
      <c r="O101" s="16"/>
      <c r="P101" s="16"/>
      <c r="Q101" s="19" t="s">
        <v>523</v>
      </c>
      <c r="R101" s="21" t="n">
        <v>46458</v>
      </c>
      <c r="S101" s="16"/>
      <c r="T101" s="16"/>
      <c r="U101" s="16"/>
      <c r="V101" s="19" t="s">
        <v>524</v>
      </c>
      <c r="W101" s="19" t="s">
        <v>525</v>
      </c>
      <c r="X101" s="16"/>
      <c r="Y101" s="16"/>
      <c r="Z101" s="16"/>
      <c r="AA101" s="19" t="s">
        <v>526</v>
      </c>
    </row>
    <row r="102" customFormat="false" ht="23.85" hidden="false" customHeight="false" outlineLevel="0" collapsed="false">
      <c r="A102" s="15" t="n">
        <v>46458</v>
      </c>
      <c r="B102" s="16" t="s">
        <v>65</v>
      </c>
      <c r="C102" s="17" t="n">
        <v>13</v>
      </c>
      <c r="D102" s="18" t="s">
        <v>527</v>
      </c>
      <c r="E102" s="19" t="s">
        <v>528</v>
      </c>
      <c r="F102" s="43" t="s">
        <v>230</v>
      </c>
      <c r="G102" s="16"/>
      <c r="H102" s="16"/>
      <c r="I102" s="16"/>
      <c r="J102" s="16"/>
      <c r="K102" s="16"/>
      <c r="L102" s="16"/>
      <c r="M102" s="16"/>
      <c r="N102" s="16"/>
      <c r="O102" s="16"/>
      <c r="P102" s="16"/>
      <c r="Q102" s="19" t="s">
        <v>529</v>
      </c>
      <c r="R102" s="21" t="n">
        <v>46461</v>
      </c>
      <c r="S102" s="16"/>
      <c r="T102" s="16"/>
      <c r="U102" s="16"/>
      <c r="V102" s="19" t="s">
        <v>530</v>
      </c>
      <c r="W102" s="19" t="s">
        <v>531</v>
      </c>
      <c r="X102" s="16"/>
      <c r="Y102" s="16"/>
      <c r="Z102" s="16"/>
      <c r="AA102" s="19" t="s">
        <v>532</v>
      </c>
    </row>
    <row r="103" customFormat="false" ht="57.45" hidden="false" customHeight="false" outlineLevel="0" collapsed="false">
      <c r="A103" s="15" t="n">
        <v>46461</v>
      </c>
      <c r="B103" s="16" t="s">
        <v>76</v>
      </c>
      <c r="C103" s="17" t="n">
        <v>13</v>
      </c>
      <c r="D103" s="18" t="s">
        <v>533</v>
      </c>
      <c r="E103" s="19" t="s">
        <v>534</v>
      </c>
      <c r="F103" s="43" t="s">
        <v>230</v>
      </c>
      <c r="G103" s="16"/>
      <c r="H103" s="16"/>
      <c r="I103" s="16"/>
      <c r="J103" s="16"/>
      <c r="K103" s="16"/>
      <c r="L103" s="16"/>
      <c r="M103" s="16"/>
      <c r="N103" s="16"/>
      <c r="O103" s="16"/>
      <c r="P103" s="16"/>
      <c r="Q103" s="19" t="s">
        <v>535</v>
      </c>
      <c r="R103" s="21" t="n">
        <v>46462</v>
      </c>
      <c r="S103" s="16"/>
      <c r="T103" s="16"/>
      <c r="U103" s="16"/>
      <c r="V103" s="19" t="s">
        <v>536</v>
      </c>
      <c r="W103" s="19" t="s">
        <v>537</v>
      </c>
      <c r="X103" s="16"/>
      <c r="Y103" s="16"/>
      <c r="Z103" s="16"/>
      <c r="AA103" s="19" t="s">
        <v>538</v>
      </c>
    </row>
    <row r="104" customFormat="false" ht="57.45" hidden="false" customHeight="false" outlineLevel="0" collapsed="false">
      <c r="A104" s="15" t="n">
        <v>46462</v>
      </c>
      <c r="B104" s="16" t="s">
        <v>89</v>
      </c>
      <c r="C104" s="17" t="n">
        <v>13</v>
      </c>
      <c r="D104" s="18" t="s">
        <v>539</v>
      </c>
      <c r="E104" s="19" t="s">
        <v>540</v>
      </c>
      <c r="F104" s="43" t="s">
        <v>230</v>
      </c>
      <c r="G104" s="16"/>
      <c r="H104" s="16"/>
      <c r="I104" s="16"/>
      <c r="J104" s="16"/>
      <c r="K104" s="16"/>
      <c r="L104" s="16"/>
      <c r="M104" s="16"/>
      <c r="N104" s="16"/>
      <c r="O104" s="16"/>
      <c r="P104" s="16"/>
      <c r="Q104" s="19" t="s">
        <v>541</v>
      </c>
      <c r="R104" s="21" t="n">
        <v>46463</v>
      </c>
      <c r="S104" s="16"/>
      <c r="T104" s="16"/>
      <c r="U104" s="16"/>
      <c r="V104" s="19" t="s">
        <v>542</v>
      </c>
      <c r="W104" s="19" t="s">
        <v>543</v>
      </c>
      <c r="X104" s="16"/>
      <c r="Y104" s="16"/>
      <c r="Z104" s="16"/>
      <c r="AA104" s="19" t="s">
        <v>544</v>
      </c>
    </row>
    <row r="105" customFormat="false" ht="68.65" hidden="false" customHeight="false" outlineLevel="0" collapsed="false">
      <c r="A105" s="15" t="n">
        <v>46463</v>
      </c>
      <c r="B105" s="16" t="s">
        <v>38</v>
      </c>
      <c r="C105" s="17" t="n">
        <v>13</v>
      </c>
      <c r="D105" s="18" t="s">
        <v>545</v>
      </c>
      <c r="E105" s="19" t="s">
        <v>546</v>
      </c>
      <c r="F105" s="43" t="s">
        <v>230</v>
      </c>
      <c r="G105" s="16"/>
      <c r="H105" s="16"/>
      <c r="I105" s="16"/>
      <c r="J105" s="16"/>
      <c r="K105" s="16"/>
      <c r="L105" s="16"/>
      <c r="M105" s="16"/>
      <c r="N105" s="16"/>
      <c r="O105" s="16"/>
      <c r="P105" s="16"/>
      <c r="Q105" s="19" t="s">
        <v>547</v>
      </c>
      <c r="R105" s="21" t="n">
        <v>46464</v>
      </c>
      <c r="S105" s="16"/>
      <c r="T105" s="16"/>
      <c r="U105" s="16"/>
      <c r="V105" s="19" t="s">
        <v>548</v>
      </c>
      <c r="W105" s="19" t="s">
        <v>549</v>
      </c>
      <c r="X105" s="16"/>
      <c r="Y105" s="16"/>
      <c r="Z105" s="16"/>
      <c r="AA105" s="19" t="s">
        <v>550</v>
      </c>
    </row>
    <row r="106" customFormat="false" ht="23.85" hidden="false" customHeight="false" outlineLevel="0" collapsed="false">
      <c r="A106" s="15" t="n">
        <v>46464</v>
      </c>
      <c r="B106" s="16" t="s">
        <v>54</v>
      </c>
      <c r="C106" s="17" t="n">
        <v>13</v>
      </c>
      <c r="D106" s="18" t="s">
        <v>551</v>
      </c>
      <c r="E106" s="19" t="s">
        <v>552</v>
      </c>
      <c r="F106" s="43" t="s">
        <v>230</v>
      </c>
      <c r="G106" s="16"/>
      <c r="H106" s="16"/>
      <c r="I106" s="16"/>
      <c r="J106" s="16"/>
      <c r="K106" s="16"/>
      <c r="L106" s="16"/>
      <c r="M106" s="16"/>
      <c r="N106" s="16"/>
      <c r="O106" s="16"/>
      <c r="P106" s="16"/>
      <c r="Q106" s="19" t="s">
        <v>553</v>
      </c>
      <c r="R106" s="21" t="n">
        <v>46465</v>
      </c>
      <c r="S106" s="16"/>
      <c r="T106" s="16"/>
      <c r="U106" s="16"/>
      <c r="V106" s="19" t="s">
        <v>554</v>
      </c>
      <c r="W106" s="19" t="s">
        <v>555</v>
      </c>
      <c r="X106" s="16"/>
      <c r="Y106" s="16"/>
      <c r="Z106" s="16"/>
      <c r="AA106" s="19" t="s">
        <v>556</v>
      </c>
    </row>
    <row r="107" customFormat="false" ht="35.05" hidden="false" customHeight="false" outlineLevel="0" collapsed="false">
      <c r="A107" s="15" t="n">
        <v>46465</v>
      </c>
      <c r="B107" s="16" t="s">
        <v>65</v>
      </c>
      <c r="C107" s="17" t="n">
        <v>13</v>
      </c>
      <c r="D107" s="18" t="s">
        <v>557</v>
      </c>
      <c r="E107" s="19" t="s">
        <v>558</v>
      </c>
      <c r="F107" s="43" t="s">
        <v>230</v>
      </c>
      <c r="G107" s="16"/>
      <c r="H107" s="16"/>
      <c r="I107" s="16"/>
      <c r="J107" s="16"/>
      <c r="K107" s="16"/>
      <c r="L107" s="16"/>
      <c r="M107" s="16"/>
      <c r="N107" s="16"/>
      <c r="O107" s="16"/>
      <c r="P107" s="16"/>
      <c r="Q107" s="19" t="s">
        <v>559</v>
      </c>
      <c r="R107" s="21" t="n">
        <v>46475</v>
      </c>
      <c r="S107" s="16"/>
      <c r="T107" s="16"/>
      <c r="U107" s="16"/>
      <c r="V107" s="19" t="s">
        <v>560</v>
      </c>
      <c r="W107" s="19" t="s">
        <v>561</v>
      </c>
      <c r="X107" s="16"/>
      <c r="Y107" s="16"/>
      <c r="Z107" s="16"/>
      <c r="AA107" s="19" t="s">
        <v>562</v>
      </c>
    </row>
    <row r="108" customFormat="false" ht="15" hidden="false" customHeight="false" outlineLevel="0" collapsed="false">
      <c r="A108" s="29" t="n">
        <v>46475</v>
      </c>
      <c r="B108" s="30" t="s">
        <v>76</v>
      </c>
      <c r="C108" s="31" t="n">
        <v>13</v>
      </c>
      <c r="D108" s="32" t="s">
        <v>563</v>
      </c>
      <c r="E108" s="33" t="s">
        <v>564</v>
      </c>
      <c r="F108" s="45" t="s">
        <v>230</v>
      </c>
      <c r="G108" s="30"/>
      <c r="H108" s="30"/>
      <c r="I108" s="30"/>
      <c r="J108" s="30"/>
      <c r="K108" s="30"/>
      <c r="L108" s="30"/>
      <c r="M108" s="30"/>
      <c r="N108" s="30"/>
      <c r="O108" s="30"/>
      <c r="P108" s="30"/>
      <c r="Q108" s="33"/>
      <c r="R108" s="35"/>
      <c r="S108" s="30"/>
      <c r="T108" s="30"/>
      <c r="U108" s="30"/>
      <c r="V108" s="33"/>
      <c r="W108" s="33"/>
      <c r="X108" s="30"/>
      <c r="Y108" s="30"/>
      <c r="Z108" s="30"/>
      <c r="AA108" s="33"/>
    </row>
    <row r="109" customFormat="false" ht="15" hidden="false" customHeight="false" outlineLevel="0" collapsed="false">
      <c r="A109" s="29" t="n">
        <v>46476</v>
      </c>
      <c r="B109" s="30" t="s">
        <v>89</v>
      </c>
      <c r="C109" s="31" t="n">
        <v>13</v>
      </c>
      <c r="D109" s="32" t="s">
        <v>565</v>
      </c>
      <c r="E109" s="33" t="s">
        <v>566</v>
      </c>
      <c r="F109" s="45" t="s">
        <v>230</v>
      </c>
      <c r="G109" s="30"/>
      <c r="H109" s="30"/>
      <c r="I109" s="30"/>
      <c r="J109" s="30"/>
      <c r="K109" s="30"/>
      <c r="L109" s="30"/>
      <c r="M109" s="30"/>
      <c r="N109" s="30"/>
      <c r="O109" s="30"/>
      <c r="P109" s="30"/>
      <c r="Q109" s="33"/>
      <c r="R109" s="35"/>
      <c r="S109" s="30"/>
      <c r="T109" s="30"/>
      <c r="U109" s="30"/>
      <c r="V109" s="33"/>
      <c r="W109" s="33"/>
      <c r="X109" s="30"/>
      <c r="Y109" s="30"/>
      <c r="Z109" s="30"/>
      <c r="AA109" s="33"/>
    </row>
    <row r="110" customFormat="false" ht="68.65" hidden="false" customHeight="false" outlineLevel="0" collapsed="false">
      <c r="A110" s="36" t="n">
        <v>46477</v>
      </c>
      <c r="B110" s="37" t="s">
        <v>38</v>
      </c>
      <c r="C110" s="38" t="n">
        <v>14</v>
      </c>
      <c r="D110" s="39" t="s">
        <v>567</v>
      </c>
      <c r="E110" s="40" t="s">
        <v>568</v>
      </c>
      <c r="F110" s="46" t="s">
        <v>230</v>
      </c>
      <c r="G110" s="37"/>
      <c r="H110" s="37"/>
      <c r="I110" s="37"/>
      <c r="J110" s="37"/>
      <c r="K110" s="37"/>
      <c r="L110" s="37"/>
      <c r="M110" s="37"/>
      <c r="N110" s="37"/>
      <c r="O110" s="37"/>
      <c r="P110" s="37"/>
      <c r="Q110" s="40" t="s">
        <v>569</v>
      </c>
      <c r="R110" s="42" t="n">
        <v>46478</v>
      </c>
      <c r="S110" s="37"/>
      <c r="T110" s="37"/>
      <c r="U110" s="37"/>
      <c r="V110" s="40" t="s">
        <v>115</v>
      </c>
      <c r="W110" s="40" t="s">
        <v>116</v>
      </c>
      <c r="X110" s="37"/>
      <c r="Y110" s="37"/>
      <c r="Z110" s="37"/>
      <c r="AA110" s="40" t="s">
        <v>570</v>
      </c>
    </row>
    <row r="111" customFormat="false" ht="35.05" hidden="false" customHeight="false" outlineLevel="0" collapsed="false">
      <c r="A111" s="36" t="n">
        <v>46478</v>
      </c>
      <c r="B111" s="37" t="s">
        <v>54</v>
      </c>
      <c r="C111" s="38" t="n">
        <v>14</v>
      </c>
      <c r="D111" s="39" t="s">
        <v>571</v>
      </c>
      <c r="E111" s="40" t="s">
        <v>572</v>
      </c>
      <c r="F111" s="46" t="s">
        <v>230</v>
      </c>
      <c r="G111" s="37"/>
      <c r="H111" s="37"/>
      <c r="I111" s="37"/>
      <c r="J111" s="37"/>
      <c r="K111" s="37"/>
      <c r="L111" s="37"/>
      <c r="M111" s="37"/>
      <c r="N111" s="37"/>
      <c r="O111" s="37"/>
      <c r="P111" s="37"/>
      <c r="Q111" s="40" t="s">
        <v>573</v>
      </c>
      <c r="R111" s="42" t="n">
        <v>46479</v>
      </c>
      <c r="S111" s="37"/>
      <c r="T111" s="37"/>
      <c r="U111" s="37"/>
      <c r="V111" s="40" t="s">
        <v>574</v>
      </c>
      <c r="W111" s="40" t="s">
        <v>575</v>
      </c>
      <c r="X111" s="37"/>
      <c r="Y111" s="37"/>
      <c r="Z111" s="37"/>
      <c r="AA111" s="40" t="s">
        <v>576</v>
      </c>
    </row>
    <row r="112" customFormat="false" ht="35.05" hidden="false" customHeight="false" outlineLevel="0" collapsed="false">
      <c r="A112" s="36" t="n">
        <v>46479</v>
      </c>
      <c r="B112" s="37" t="s">
        <v>65</v>
      </c>
      <c r="C112" s="38" t="n">
        <v>14</v>
      </c>
      <c r="D112" s="39" t="s">
        <v>577</v>
      </c>
      <c r="E112" s="40" t="s">
        <v>578</v>
      </c>
      <c r="F112" s="46" t="s">
        <v>230</v>
      </c>
      <c r="G112" s="37"/>
      <c r="H112" s="37"/>
      <c r="I112" s="37"/>
      <c r="J112" s="37"/>
      <c r="K112" s="37"/>
      <c r="L112" s="37"/>
      <c r="M112" s="37"/>
      <c r="N112" s="37"/>
      <c r="O112" s="37"/>
      <c r="P112" s="37"/>
      <c r="Q112" s="40" t="s">
        <v>579</v>
      </c>
      <c r="R112" s="42" t="n">
        <v>46482</v>
      </c>
      <c r="S112" s="37"/>
      <c r="T112" s="37"/>
      <c r="U112" s="37"/>
      <c r="V112" s="40" t="s">
        <v>580</v>
      </c>
      <c r="W112" s="40" t="s">
        <v>581</v>
      </c>
      <c r="X112" s="37"/>
      <c r="Y112" s="37"/>
      <c r="Z112" s="37"/>
      <c r="AA112" s="40" t="s">
        <v>582</v>
      </c>
    </row>
    <row r="113" customFormat="false" ht="15" hidden="false" customHeight="false" outlineLevel="0" collapsed="false">
      <c r="A113" s="29" t="n">
        <v>46482</v>
      </c>
      <c r="B113" s="30" t="s">
        <v>76</v>
      </c>
      <c r="C113" s="31" t="n">
        <v>14</v>
      </c>
      <c r="D113" s="32" t="s">
        <v>583</v>
      </c>
      <c r="E113" s="33" t="s">
        <v>584</v>
      </c>
      <c r="F113" s="45" t="s">
        <v>230</v>
      </c>
      <c r="G113" s="30"/>
      <c r="H113" s="30"/>
      <c r="I113" s="30"/>
      <c r="J113" s="30"/>
      <c r="K113" s="30"/>
      <c r="L113" s="30"/>
      <c r="M113" s="30"/>
      <c r="N113" s="30"/>
      <c r="O113" s="30"/>
      <c r="P113" s="30"/>
      <c r="Q113" s="33"/>
      <c r="R113" s="35"/>
      <c r="S113" s="30"/>
      <c r="T113" s="30"/>
      <c r="U113" s="30"/>
      <c r="V113" s="33"/>
      <c r="W113" s="33"/>
      <c r="X113" s="30"/>
      <c r="Y113" s="30"/>
      <c r="Z113" s="30"/>
      <c r="AA113" s="33"/>
    </row>
    <row r="114" customFormat="false" ht="15" hidden="false" customHeight="false" outlineLevel="0" collapsed="false">
      <c r="A114" s="29" t="n">
        <v>46483</v>
      </c>
      <c r="B114" s="30" t="s">
        <v>89</v>
      </c>
      <c r="C114" s="31" t="n">
        <v>14</v>
      </c>
      <c r="D114" s="32" t="s">
        <v>585</v>
      </c>
      <c r="E114" s="33" t="s">
        <v>586</v>
      </c>
      <c r="F114" s="45" t="s">
        <v>230</v>
      </c>
      <c r="G114" s="30"/>
      <c r="H114" s="30"/>
      <c r="I114" s="30"/>
      <c r="J114" s="30"/>
      <c r="K114" s="30"/>
      <c r="L114" s="30"/>
      <c r="M114" s="30"/>
      <c r="N114" s="30"/>
      <c r="O114" s="30"/>
      <c r="P114" s="30"/>
      <c r="Q114" s="33"/>
      <c r="R114" s="35"/>
      <c r="S114" s="30"/>
      <c r="T114" s="30"/>
      <c r="U114" s="30"/>
      <c r="V114" s="33"/>
      <c r="W114" s="33"/>
      <c r="X114" s="30"/>
      <c r="Y114" s="30"/>
      <c r="Z114" s="30"/>
      <c r="AA114" s="33"/>
    </row>
    <row r="115" customFormat="false" ht="23.85" hidden="false" customHeight="false" outlineLevel="0" collapsed="false">
      <c r="A115" s="15" t="n">
        <v>46484</v>
      </c>
      <c r="B115" s="16" t="s">
        <v>38</v>
      </c>
      <c r="C115" s="17" t="n">
        <v>15</v>
      </c>
      <c r="D115" s="18" t="s">
        <v>587</v>
      </c>
      <c r="E115" s="19" t="s">
        <v>588</v>
      </c>
      <c r="F115" s="43" t="s">
        <v>230</v>
      </c>
      <c r="G115" s="16"/>
      <c r="H115" s="16"/>
      <c r="I115" s="16"/>
      <c r="J115" s="16"/>
      <c r="K115" s="16"/>
      <c r="L115" s="16"/>
      <c r="M115" s="16"/>
      <c r="N115" s="16"/>
      <c r="O115" s="16"/>
      <c r="P115" s="16"/>
      <c r="Q115" s="19" t="s">
        <v>589</v>
      </c>
      <c r="R115" s="21" t="n">
        <v>46485</v>
      </c>
      <c r="S115" s="16"/>
      <c r="T115" s="16"/>
      <c r="U115" s="16"/>
      <c r="V115" s="19" t="s">
        <v>590</v>
      </c>
      <c r="W115" s="19" t="s">
        <v>591</v>
      </c>
      <c r="X115" s="16"/>
      <c r="Y115" s="16"/>
      <c r="Z115" s="16"/>
      <c r="AA115" s="19" t="s">
        <v>592</v>
      </c>
    </row>
    <row r="116" customFormat="false" ht="46.25" hidden="false" customHeight="false" outlineLevel="0" collapsed="false">
      <c r="A116" s="15" t="n">
        <v>46485</v>
      </c>
      <c r="B116" s="16" t="s">
        <v>54</v>
      </c>
      <c r="C116" s="17" t="n">
        <v>15</v>
      </c>
      <c r="D116" s="18" t="s">
        <v>593</v>
      </c>
      <c r="E116" s="19" t="s">
        <v>594</v>
      </c>
      <c r="F116" s="43" t="s">
        <v>230</v>
      </c>
      <c r="G116" s="16"/>
      <c r="H116" s="16"/>
      <c r="I116" s="16"/>
      <c r="J116" s="16"/>
      <c r="K116" s="16"/>
      <c r="L116" s="16"/>
      <c r="M116" s="16"/>
      <c r="N116" s="16"/>
      <c r="O116" s="16"/>
      <c r="P116" s="16"/>
      <c r="Q116" s="19" t="s">
        <v>595</v>
      </c>
      <c r="R116" s="21" t="n">
        <v>46486</v>
      </c>
      <c r="S116" s="16"/>
      <c r="T116" s="16"/>
      <c r="U116" s="16"/>
      <c r="V116" s="19" t="s">
        <v>590</v>
      </c>
      <c r="W116" s="19" t="s">
        <v>591</v>
      </c>
      <c r="X116" s="16"/>
      <c r="Y116" s="16"/>
      <c r="Z116" s="16"/>
      <c r="AA116" s="19" t="s">
        <v>596</v>
      </c>
    </row>
    <row r="117" customFormat="false" ht="35.05" hidden="false" customHeight="false" outlineLevel="0" collapsed="false">
      <c r="A117" s="15" t="n">
        <v>46486</v>
      </c>
      <c r="B117" s="16" t="s">
        <v>65</v>
      </c>
      <c r="C117" s="17" t="n">
        <v>15</v>
      </c>
      <c r="D117" s="18" t="s">
        <v>597</v>
      </c>
      <c r="E117" s="19" t="s">
        <v>598</v>
      </c>
      <c r="F117" s="43" t="s">
        <v>230</v>
      </c>
      <c r="G117" s="16"/>
      <c r="H117" s="16"/>
      <c r="I117" s="16"/>
      <c r="J117" s="16"/>
      <c r="K117" s="16"/>
      <c r="L117" s="16"/>
      <c r="M117" s="16"/>
      <c r="N117" s="16"/>
      <c r="O117" s="16"/>
      <c r="P117" s="16"/>
      <c r="Q117" s="19" t="s">
        <v>599</v>
      </c>
      <c r="R117" s="21" t="n">
        <v>46489</v>
      </c>
      <c r="S117" s="16"/>
      <c r="T117" s="16"/>
      <c r="U117" s="16"/>
      <c r="V117" s="19" t="s">
        <v>600</v>
      </c>
      <c r="W117" s="19" t="s">
        <v>601</v>
      </c>
      <c r="X117" s="16"/>
      <c r="Y117" s="16"/>
      <c r="Z117" s="16"/>
      <c r="AA117" s="19" t="s">
        <v>602</v>
      </c>
    </row>
    <row r="118" customFormat="false" ht="23.85" hidden="false" customHeight="false" outlineLevel="0" collapsed="false">
      <c r="A118" s="15" t="n">
        <v>46489</v>
      </c>
      <c r="B118" s="16" t="s">
        <v>76</v>
      </c>
      <c r="C118" s="17" t="n">
        <v>15</v>
      </c>
      <c r="D118" s="18" t="s">
        <v>603</v>
      </c>
      <c r="E118" s="19" t="s">
        <v>604</v>
      </c>
      <c r="F118" s="43" t="s">
        <v>230</v>
      </c>
      <c r="G118" s="16"/>
      <c r="H118" s="16"/>
      <c r="I118" s="16"/>
      <c r="J118" s="16"/>
      <c r="K118" s="16"/>
      <c r="L118" s="16"/>
      <c r="M118" s="16"/>
      <c r="N118" s="16"/>
      <c r="O118" s="16"/>
      <c r="P118" s="16"/>
      <c r="Q118" s="19" t="s">
        <v>605</v>
      </c>
      <c r="R118" s="21" t="n">
        <v>46490</v>
      </c>
      <c r="S118" s="16"/>
      <c r="T118" s="16"/>
      <c r="U118" s="16"/>
      <c r="V118" s="19" t="s">
        <v>600</v>
      </c>
      <c r="W118" s="19" t="s">
        <v>601</v>
      </c>
      <c r="X118" s="16"/>
      <c r="Y118" s="16"/>
      <c r="Z118" s="16"/>
      <c r="AA118" s="19" t="s">
        <v>606</v>
      </c>
    </row>
    <row r="119" customFormat="false" ht="23.85" hidden="false" customHeight="false" outlineLevel="0" collapsed="false">
      <c r="A119" s="15" t="n">
        <v>46490</v>
      </c>
      <c r="B119" s="16" t="s">
        <v>89</v>
      </c>
      <c r="C119" s="17" t="n">
        <v>15</v>
      </c>
      <c r="D119" s="18" t="s">
        <v>607</v>
      </c>
      <c r="E119" s="19" t="s">
        <v>608</v>
      </c>
      <c r="F119" s="43" t="s">
        <v>230</v>
      </c>
      <c r="G119" s="16"/>
      <c r="H119" s="16"/>
      <c r="I119" s="16"/>
      <c r="J119" s="16"/>
      <c r="K119" s="16"/>
      <c r="L119" s="16"/>
      <c r="M119" s="16"/>
      <c r="N119" s="16"/>
      <c r="O119" s="16"/>
      <c r="P119" s="16"/>
      <c r="Q119" s="19" t="s">
        <v>609</v>
      </c>
      <c r="R119" s="21" t="n">
        <v>46491</v>
      </c>
      <c r="S119" s="16"/>
      <c r="T119" s="16"/>
      <c r="U119" s="16"/>
      <c r="V119" s="19" t="s">
        <v>600</v>
      </c>
      <c r="W119" s="19" t="s">
        <v>601</v>
      </c>
      <c r="X119" s="16"/>
      <c r="Y119" s="16"/>
      <c r="Z119" s="16"/>
      <c r="AA119" s="19" t="s">
        <v>610</v>
      </c>
    </row>
    <row r="120" customFormat="false" ht="57.45" hidden="false" customHeight="false" outlineLevel="0" collapsed="false">
      <c r="A120" s="15" t="n">
        <v>46491</v>
      </c>
      <c r="B120" s="16" t="s">
        <v>38</v>
      </c>
      <c r="C120" s="17" t="n">
        <v>15</v>
      </c>
      <c r="D120" s="18" t="s">
        <v>611</v>
      </c>
      <c r="E120" s="19" t="s">
        <v>612</v>
      </c>
      <c r="F120" s="43" t="s">
        <v>230</v>
      </c>
      <c r="G120" s="16"/>
      <c r="H120" s="16"/>
      <c r="I120" s="16"/>
      <c r="J120" s="16"/>
      <c r="K120" s="16"/>
      <c r="L120" s="16"/>
      <c r="M120" s="16"/>
      <c r="N120" s="16"/>
      <c r="O120" s="16"/>
      <c r="P120" s="16"/>
      <c r="Q120" s="19" t="s">
        <v>613</v>
      </c>
      <c r="R120" s="21" t="n">
        <v>46492</v>
      </c>
      <c r="S120" s="16"/>
      <c r="T120" s="16"/>
      <c r="U120" s="16"/>
      <c r="V120" s="19" t="s">
        <v>614</v>
      </c>
      <c r="W120" s="19" t="s">
        <v>615</v>
      </c>
      <c r="X120" s="16"/>
      <c r="Y120" s="16"/>
      <c r="Z120" s="16"/>
      <c r="AA120" s="19" t="s">
        <v>616</v>
      </c>
    </row>
    <row r="121" customFormat="false" ht="23.85" hidden="false" customHeight="false" outlineLevel="0" collapsed="false">
      <c r="A121" s="15" t="n">
        <v>46492</v>
      </c>
      <c r="B121" s="16" t="s">
        <v>54</v>
      </c>
      <c r="C121" s="17" t="n">
        <v>15</v>
      </c>
      <c r="D121" s="18" t="s">
        <v>617</v>
      </c>
      <c r="E121" s="19" t="s">
        <v>618</v>
      </c>
      <c r="F121" s="43" t="s">
        <v>230</v>
      </c>
      <c r="G121" s="16"/>
      <c r="H121" s="16"/>
      <c r="I121" s="16"/>
      <c r="J121" s="16"/>
      <c r="K121" s="16"/>
      <c r="L121" s="16"/>
      <c r="M121" s="16"/>
      <c r="N121" s="16"/>
      <c r="O121" s="16"/>
      <c r="P121" s="16"/>
      <c r="Q121" s="19" t="s">
        <v>619</v>
      </c>
      <c r="R121" s="21" t="n">
        <v>46496</v>
      </c>
      <c r="S121" s="16"/>
      <c r="T121" s="16"/>
      <c r="U121" s="16"/>
      <c r="V121" s="19" t="s">
        <v>620</v>
      </c>
      <c r="W121" s="19" t="s">
        <v>621</v>
      </c>
      <c r="X121" s="16"/>
      <c r="Y121" s="16"/>
      <c r="Z121" s="16"/>
      <c r="AA121" s="19" t="s">
        <v>622</v>
      </c>
    </row>
    <row r="122" customFormat="false" ht="46.25" hidden="false" customHeight="false" outlineLevel="0" collapsed="false">
      <c r="A122" s="15" t="n">
        <v>46496</v>
      </c>
      <c r="B122" s="16" t="s">
        <v>76</v>
      </c>
      <c r="C122" s="17" t="n">
        <v>15</v>
      </c>
      <c r="D122" s="18" t="s">
        <v>623</v>
      </c>
      <c r="E122" s="19" t="s">
        <v>624</v>
      </c>
      <c r="F122" s="43" t="s">
        <v>230</v>
      </c>
      <c r="G122" s="16"/>
      <c r="H122" s="16"/>
      <c r="I122" s="16"/>
      <c r="J122" s="16"/>
      <c r="K122" s="16"/>
      <c r="L122" s="16"/>
      <c r="M122" s="16"/>
      <c r="N122" s="16"/>
      <c r="O122" s="16"/>
      <c r="P122" s="16"/>
      <c r="Q122" s="19" t="s">
        <v>625</v>
      </c>
      <c r="R122" s="21" t="n">
        <v>46497</v>
      </c>
      <c r="S122" s="16"/>
      <c r="T122" s="16"/>
      <c r="U122" s="16"/>
      <c r="V122" s="19" t="s">
        <v>600</v>
      </c>
      <c r="W122" s="19" t="s">
        <v>601</v>
      </c>
      <c r="X122" s="16"/>
      <c r="Y122" s="16"/>
      <c r="Z122" s="16"/>
      <c r="AA122" s="19" t="s">
        <v>626</v>
      </c>
    </row>
    <row r="123" customFormat="false" ht="91" hidden="false" customHeight="false" outlineLevel="0" collapsed="false">
      <c r="A123" s="36" t="n">
        <v>46497</v>
      </c>
      <c r="B123" s="37" t="s">
        <v>89</v>
      </c>
      <c r="C123" s="38" t="n">
        <v>16</v>
      </c>
      <c r="D123" s="39" t="s">
        <v>627</v>
      </c>
      <c r="E123" s="40" t="s">
        <v>628</v>
      </c>
      <c r="F123" s="46" t="s">
        <v>230</v>
      </c>
      <c r="G123" s="37"/>
      <c r="H123" s="37"/>
      <c r="I123" s="37"/>
      <c r="J123" s="37"/>
      <c r="K123" s="37"/>
      <c r="L123" s="37"/>
      <c r="M123" s="37"/>
      <c r="N123" s="37"/>
      <c r="O123" s="37"/>
      <c r="P123" s="37"/>
      <c r="Q123" s="40" t="s">
        <v>629</v>
      </c>
      <c r="R123" s="42" t="n">
        <v>46498</v>
      </c>
      <c r="S123" s="37"/>
      <c r="T123" s="37"/>
      <c r="U123" s="37"/>
      <c r="V123" s="40" t="s">
        <v>630</v>
      </c>
      <c r="W123" s="40" t="s">
        <v>631</v>
      </c>
      <c r="X123" s="37"/>
      <c r="Y123" s="37"/>
      <c r="Z123" s="37"/>
      <c r="AA123" s="40" t="s">
        <v>632</v>
      </c>
    </row>
    <row r="124" customFormat="false" ht="23.85" hidden="false" customHeight="false" outlineLevel="0" collapsed="false">
      <c r="A124" s="36" t="n">
        <v>46498</v>
      </c>
      <c r="B124" s="37" t="s">
        <v>38</v>
      </c>
      <c r="C124" s="38" t="n">
        <v>16</v>
      </c>
      <c r="D124" s="39" t="s">
        <v>633</v>
      </c>
      <c r="E124" s="40" t="s">
        <v>634</v>
      </c>
      <c r="F124" s="46" t="s">
        <v>230</v>
      </c>
      <c r="G124" s="37"/>
      <c r="H124" s="37"/>
      <c r="I124" s="37"/>
      <c r="J124" s="37"/>
      <c r="K124" s="37"/>
      <c r="L124" s="37"/>
      <c r="M124" s="37"/>
      <c r="N124" s="37"/>
      <c r="O124" s="37"/>
      <c r="P124" s="37"/>
      <c r="Q124" s="40" t="s">
        <v>635</v>
      </c>
      <c r="R124" s="42" t="n">
        <v>46499</v>
      </c>
      <c r="S124" s="37"/>
      <c r="T124" s="37"/>
      <c r="U124" s="37"/>
      <c r="V124" s="40" t="s">
        <v>636</v>
      </c>
      <c r="W124" s="40" t="s">
        <v>637</v>
      </c>
      <c r="X124" s="37"/>
      <c r="Y124" s="37"/>
      <c r="Z124" s="37"/>
      <c r="AA124" s="40" t="s">
        <v>638</v>
      </c>
    </row>
    <row r="125" customFormat="false" ht="15" hidden="false" customHeight="false" outlineLevel="0" collapsed="false">
      <c r="A125" s="29" t="n">
        <v>46499</v>
      </c>
      <c r="B125" s="30" t="s">
        <v>54</v>
      </c>
      <c r="C125" s="31" t="n">
        <v>16</v>
      </c>
      <c r="D125" s="32" t="s">
        <v>639</v>
      </c>
      <c r="E125" s="33" t="s">
        <v>640</v>
      </c>
      <c r="F125" s="45" t="s">
        <v>230</v>
      </c>
      <c r="G125" s="30"/>
      <c r="H125" s="30"/>
      <c r="I125" s="30"/>
      <c r="J125" s="30"/>
      <c r="K125" s="30"/>
      <c r="L125" s="30"/>
      <c r="M125" s="30"/>
      <c r="N125" s="30"/>
      <c r="O125" s="30"/>
      <c r="P125" s="30"/>
      <c r="Q125" s="33"/>
      <c r="R125" s="35"/>
      <c r="S125" s="30"/>
      <c r="T125" s="30"/>
      <c r="U125" s="30"/>
      <c r="V125" s="33"/>
      <c r="W125" s="33"/>
      <c r="X125" s="30"/>
      <c r="Y125" s="30"/>
      <c r="Z125" s="30"/>
      <c r="AA125" s="33"/>
    </row>
    <row r="126" customFormat="false" ht="15" hidden="false" customHeight="false" outlineLevel="0" collapsed="false">
      <c r="A126" s="29" t="n">
        <v>46500</v>
      </c>
      <c r="B126" s="30" t="s">
        <v>65</v>
      </c>
      <c r="C126" s="31" t="n">
        <v>16</v>
      </c>
      <c r="D126" s="32" t="s">
        <v>641</v>
      </c>
      <c r="E126" s="33" t="s">
        <v>642</v>
      </c>
      <c r="F126" s="45" t="s">
        <v>230</v>
      </c>
      <c r="G126" s="30"/>
      <c r="H126" s="30"/>
      <c r="I126" s="30"/>
      <c r="J126" s="30"/>
      <c r="K126" s="30"/>
      <c r="L126" s="30"/>
      <c r="M126" s="30"/>
      <c r="N126" s="30"/>
      <c r="O126" s="30"/>
      <c r="P126" s="30"/>
      <c r="Q126" s="33"/>
      <c r="R126" s="35"/>
      <c r="S126" s="30"/>
      <c r="T126" s="30"/>
      <c r="U126" s="30"/>
      <c r="V126" s="33"/>
      <c r="W126" s="33"/>
      <c r="X126" s="30"/>
      <c r="Y126" s="30"/>
      <c r="Z126" s="30"/>
      <c r="AA126" s="33"/>
    </row>
    <row r="127" customFormat="false" ht="57.45" hidden="false" customHeight="false" outlineLevel="0" collapsed="false">
      <c r="A127" s="15" t="n">
        <v>46503</v>
      </c>
      <c r="B127" s="16" t="s">
        <v>76</v>
      </c>
      <c r="C127" s="17" t="n">
        <v>17</v>
      </c>
      <c r="D127" s="18" t="s">
        <v>643</v>
      </c>
      <c r="E127" s="19" t="s">
        <v>644</v>
      </c>
      <c r="F127" s="43" t="s">
        <v>230</v>
      </c>
      <c r="G127" s="16"/>
      <c r="H127" s="16"/>
      <c r="I127" s="16"/>
      <c r="J127" s="16"/>
      <c r="K127" s="16"/>
      <c r="L127" s="16"/>
      <c r="M127" s="16"/>
      <c r="N127" s="16"/>
      <c r="O127" s="16"/>
      <c r="P127" s="16"/>
      <c r="Q127" s="19" t="s">
        <v>645</v>
      </c>
      <c r="R127" s="21" t="n">
        <v>46504</v>
      </c>
      <c r="S127" s="16"/>
      <c r="T127" s="16"/>
      <c r="U127" s="16"/>
      <c r="V127" s="19" t="s">
        <v>646</v>
      </c>
      <c r="W127" s="19" t="s">
        <v>647</v>
      </c>
      <c r="X127" s="16"/>
      <c r="Y127" s="16"/>
      <c r="Z127" s="16"/>
      <c r="AA127" s="19" t="s">
        <v>648</v>
      </c>
    </row>
    <row r="128" customFormat="false" ht="35.05" hidden="false" customHeight="false" outlineLevel="0" collapsed="false">
      <c r="A128" s="15" t="n">
        <v>46504</v>
      </c>
      <c r="B128" s="16" t="s">
        <v>89</v>
      </c>
      <c r="C128" s="17" t="n">
        <v>17</v>
      </c>
      <c r="D128" s="18" t="s">
        <v>649</v>
      </c>
      <c r="E128" s="19" t="s">
        <v>650</v>
      </c>
      <c r="F128" s="43" t="s">
        <v>230</v>
      </c>
      <c r="G128" s="16"/>
      <c r="H128" s="16"/>
      <c r="I128" s="16"/>
      <c r="J128" s="16"/>
      <c r="K128" s="16"/>
      <c r="L128" s="16"/>
      <c r="M128" s="16"/>
      <c r="N128" s="16"/>
      <c r="O128" s="16"/>
      <c r="P128" s="16"/>
      <c r="Q128" s="19" t="s">
        <v>651</v>
      </c>
      <c r="R128" s="21" t="n">
        <v>46505</v>
      </c>
      <c r="S128" s="16"/>
      <c r="T128" s="16"/>
      <c r="U128" s="16"/>
      <c r="V128" s="19" t="s">
        <v>652</v>
      </c>
      <c r="W128" s="19" t="s">
        <v>653</v>
      </c>
      <c r="X128" s="16"/>
      <c r="Y128" s="16"/>
      <c r="Z128" s="16"/>
      <c r="AA128" s="19" t="s">
        <v>654</v>
      </c>
    </row>
    <row r="129" customFormat="false" ht="23.85" hidden="false" customHeight="false" outlineLevel="0" collapsed="false">
      <c r="A129" s="22" t="n">
        <v>46505</v>
      </c>
      <c r="B129" s="23" t="s">
        <v>38</v>
      </c>
      <c r="C129" s="24" t="n">
        <v>17</v>
      </c>
      <c r="D129" s="25" t="s">
        <v>151</v>
      </c>
      <c r="E129" s="26" t="s">
        <v>152</v>
      </c>
      <c r="F129" s="44" t="s">
        <v>230</v>
      </c>
      <c r="G129" s="23"/>
      <c r="H129" s="23"/>
      <c r="I129" s="23"/>
      <c r="J129" s="23"/>
      <c r="K129" s="23"/>
      <c r="L129" s="23"/>
      <c r="M129" s="23"/>
      <c r="N129" s="23"/>
      <c r="O129" s="23"/>
      <c r="P129" s="23"/>
      <c r="Q129" s="26"/>
      <c r="R129" s="28"/>
      <c r="S129" s="23"/>
      <c r="T129" s="23"/>
      <c r="U129" s="23"/>
      <c r="V129" s="26"/>
      <c r="W129" s="26"/>
      <c r="X129" s="23"/>
      <c r="Y129" s="23"/>
      <c r="Z129" s="23"/>
      <c r="AA129" s="26"/>
    </row>
    <row r="130" customFormat="false" ht="15" hidden="false" customHeight="false" outlineLevel="0" collapsed="false">
      <c r="A130" s="29" t="n">
        <v>46506</v>
      </c>
      <c r="B130" s="30" t="s">
        <v>54</v>
      </c>
      <c r="C130" s="31" t="n">
        <v>17</v>
      </c>
      <c r="D130" s="32" t="s">
        <v>655</v>
      </c>
      <c r="E130" s="33" t="s">
        <v>656</v>
      </c>
      <c r="F130" s="45" t="s">
        <v>230</v>
      </c>
      <c r="G130" s="30"/>
      <c r="H130" s="30"/>
      <c r="I130" s="30"/>
      <c r="J130" s="30"/>
      <c r="K130" s="30"/>
      <c r="L130" s="30"/>
      <c r="M130" s="30"/>
      <c r="N130" s="30"/>
      <c r="O130" s="30"/>
      <c r="P130" s="30"/>
      <c r="Q130" s="33"/>
      <c r="R130" s="35"/>
      <c r="S130" s="30"/>
      <c r="T130" s="30"/>
      <c r="U130" s="30"/>
      <c r="V130" s="33"/>
      <c r="W130" s="33"/>
      <c r="X130" s="30"/>
      <c r="Y130" s="30"/>
      <c r="Z130" s="30"/>
      <c r="AA130" s="33"/>
    </row>
    <row r="131" customFormat="false" ht="15" hidden="false" customHeight="false" outlineLevel="0" collapsed="false">
      <c r="A131" s="29" t="n">
        <v>46507</v>
      </c>
      <c r="B131" s="30" t="s">
        <v>65</v>
      </c>
      <c r="C131" s="31" t="n">
        <v>17</v>
      </c>
      <c r="D131" s="32" t="s">
        <v>657</v>
      </c>
      <c r="E131" s="33" t="s">
        <v>658</v>
      </c>
      <c r="F131" s="45" t="s">
        <v>230</v>
      </c>
      <c r="G131" s="30"/>
      <c r="H131" s="30"/>
      <c r="I131" s="30"/>
      <c r="J131" s="30"/>
      <c r="K131" s="30"/>
      <c r="L131" s="30"/>
      <c r="M131" s="30"/>
      <c r="N131" s="30"/>
      <c r="O131" s="30"/>
      <c r="P131" s="30"/>
      <c r="Q131" s="33"/>
      <c r="R131" s="35"/>
      <c r="S131" s="30"/>
      <c r="T131" s="30"/>
      <c r="U131" s="30"/>
      <c r="V131" s="33"/>
      <c r="W131" s="33"/>
      <c r="X131" s="30"/>
      <c r="Y131" s="30"/>
      <c r="Z131" s="30"/>
      <c r="AA131" s="33"/>
    </row>
    <row r="132" customFormat="false" ht="91" hidden="false" customHeight="false" outlineLevel="0" collapsed="false">
      <c r="A132" s="22" t="n">
        <v>46510</v>
      </c>
      <c r="B132" s="23" t="s">
        <v>76</v>
      </c>
      <c r="C132" s="24"/>
      <c r="D132" s="25" t="s">
        <v>659</v>
      </c>
      <c r="E132" s="26" t="s">
        <v>660</v>
      </c>
      <c r="F132" s="23"/>
      <c r="G132" s="23"/>
      <c r="H132" s="23"/>
      <c r="I132" s="23"/>
      <c r="J132" s="23"/>
      <c r="K132" s="23"/>
      <c r="L132" s="23"/>
      <c r="M132" s="23"/>
      <c r="N132" s="23"/>
      <c r="O132" s="23"/>
      <c r="P132" s="23"/>
      <c r="Q132" s="26"/>
      <c r="R132" s="28"/>
      <c r="S132" s="23"/>
      <c r="T132" s="23"/>
      <c r="U132" s="23"/>
      <c r="V132" s="26" t="s">
        <v>661</v>
      </c>
      <c r="W132" s="26" t="s">
        <v>662</v>
      </c>
      <c r="X132" s="23"/>
      <c r="Y132" s="23"/>
      <c r="Z132" s="23"/>
      <c r="AA132" s="26"/>
    </row>
  </sheetData>
  <autoFilter ref="A1:AA132"/>
  <hyperlinks>
    <hyperlink ref="F2" r:id="rId2" display="open"/>
    <hyperlink ref="G2" r:id="rId3" display="open"/>
    <hyperlink ref="H2" r:id="rId4" display="open"/>
    <hyperlink ref="I2" r:id="rId5" display="open"/>
    <hyperlink ref="J2" r:id="rId6" display="open"/>
    <hyperlink ref="K2" r:id="rId7" display="key"/>
    <hyperlink ref="L2" r:id="rId8" display="open"/>
    <hyperlink ref="M2" r:id="rId9" display="key"/>
    <hyperlink ref="N2" r:id="rId10" display="open"/>
    <hyperlink ref="O2" r:id="rId11" display="key"/>
    <hyperlink ref="P2" r:id="rId12" display="folder"/>
    <hyperlink ref="F3" r:id="rId13" display="open"/>
    <hyperlink ref="G3" r:id="rId14" display="open"/>
    <hyperlink ref="H3" r:id="rId15" display="open"/>
    <hyperlink ref="I3" r:id="rId16" display="open"/>
    <hyperlink ref="J3" r:id="rId17" display="open"/>
    <hyperlink ref="K3" r:id="rId18" display="key"/>
    <hyperlink ref="L3" r:id="rId19" display="open"/>
    <hyperlink ref="M3" r:id="rId20" display="key"/>
    <hyperlink ref="N3" r:id="rId21" display="open"/>
    <hyperlink ref="O3" r:id="rId22" display="key"/>
    <hyperlink ref="P3" r:id="rId23" display="folder"/>
    <hyperlink ref="F4" r:id="rId24" display="open"/>
    <hyperlink ref="G4" r:id="rId25" display="open"/>
    <hyperlink ref="H4" r:id="rId26" display="open"/>
    <hyperlink ref="I4" r:id="rId27" display="open"/>
    <hyperlink ref="J4" r:id="rId28" display="open"/>
    <hyperlink ref="K4" r:id="rId29" display="key"/>
    <hyperlink ref="L4" r:id="rId30" display="open"/>
    <hyperlink ref="M4" r:id="rId31" display="key"/>
    <hyperlink ref="N4" r:id="rId32" display="open"/>
    <hyperlink ref="O4" r:id="rId33" display="key"/>
    <hyperlink ref="P4" r:id="rId34" display="folder"/>
    <hyperlink ref="F5" r:id="rId35" display="open"/>
    <hyperlink ref="G5" r:id="rId36" display="open"/>
    <hyperlink ref="H5" r:id="rId37" display="open"/>
    <hyperlink ref="I5" r:id="rId38" display="open"/>
    <hyperlink ref="J5" r:id="rId39" display="open"/>
    <hyperlink ref="K5" r:id="rId40" display="key"/>
    <hyperlink ref="L5" r:id="rId41" display="open"/>
    <hyperlink ref="M5" r:id="rId42" display="key"/>
    <hyperlink ref="N5" r:id="rId43" display="open"/>
    <hyperlink ref="O5" r:id="rId44" display="key"/>
    <hyperlink ref="P5" r:id="rId45" display="folder"/>
    <hyperlink ref="F6" r:id="rId46" display="open"/>
    <hyperlink ref="G6" r:id="rId47" display="open"/>
    <hyperlink ref="H6" r:id="rId48" display="open"/>
    <hyperlink ref="I6" r:id="rId49" display="open"/>
    <hyperlink ref="J6" r:id="rId50" display="open"/>
    <hyperlink ref="K6" r:id="rId51" display="key"/>
    <hyperlink ref="L6" r:id="rId52" display="open"/>
    <hyperlink ref="M6" r:id="rId53" display="key"/>
    <hyperlink ref="N6" r:id="rId54" display="open"/>
    <hyperlink ref="O6" r:id="rId55" display="key"/>
    <hyperlink ref="P6" r:id="rId56" display="folder"/>
    <hyperlink ref="F7" r:id="rId57" display="open"/>
    <hyperlink ref="G7" r:id="rId58" display="open"/>
    <hyperlink ref="H7" r:id="rId59" display="open"/>
    <hyperlink ref="I7" r:id="rId60" display="open"/>
    <hyperlink ref="J7" r:id="rId61" display="open"/>
    <hyperlink ref="K7" r:id="rId62" display="key"/>
    <hyperlink ref="L7" r:id="rId63" display="open"/>
    <hyperlink ref="M7" r:id="rId64" display="key"/>
    <hyperlink ref="N7" r:id="rId65" display="open"/>
    <hyperlink ref="O7" r:id="rId66" display="key"/>
    <hyperlink ref="P7" r:id="rId67" display="folder"/>
    <hyperlink ref="F8" r:id="rId68" display="open"/>
    <hyperlink ref="G8" r:id="rId69" display="open"/>
    <hyperlink ref="H8" r:id="rId70" display="open"/>
    <hyperlink ref="I8" r:id="rId71" display="open"/>
    <hyperlink ref="J8" r:id="rId72" display="open"/>
    <hyperlink ref="K8" r:id="rId73" display="key"/>
    <hyperlink ref="L8" r:id="rId74" display="open"/>
    <hyperlink ref="M8" r:id="rId75" display="key"/>
    <hyperlink ref="N8" r:id="rId76" display="open"/>
    <hyperlink ref="O8" r:id="rId77" display="key"/>
    <hyperlink ref="P8" r:id="rId78" display="folder"/>
    <hyperlink ref="F9" r:id="rId79" display="open"/>
    <hyperlink ref="G9" r:id="rId80" display="open"/>
    <hyperlink ref="H9" r:id="rId81" display="open"/>
    <hyperlink ref="I9" r:id="rId82" display="open"/>
    <hyperlink ref="J9" r:id="rId83" display="open"/>
    <hyperlink ref="K9" r:id="rId84" display="key"/>
    <hyperlink ref="L9" r:id="rId85" display="open"/>
    <hyperlink ref="M9" r:id="rId86" display="key"/>
    <hyperlink ref="N9" r:id="rId87" display="open"/>
    <hyperlink ref="O9" r:id="rId88" display="key"/>
    <hyperlink ref="P9" r:id="rId89" display="folder"/>
    <hyperlink ref="F10" r:id="rId90" display="open"/>
    <hyperlink ref="G10" r:id="rId91" display="open"/>
    <hyperlink ref="H10" r:id="rId92" display="open"/>
    <hyperlink ref="I10" r:id="rId93" display="open"/>
    <hyperlink ref="J10" r:id="rId94" display="open"/>
    <hyperlink ref="K10" r:id="rId95" display="key"/>
    <hyperlink ref="L10" r:id="rId96" display="open"/>
    <hyperlink ref="M10" r:id="rId97" display="key"/>
    <hyperlink ref="N10" r:id="rId98" display="open"/>
    <hyperlink ref="O10" r:id="rId99" display="key"/>
    <hyperlink ref="P10" r:id="rId100" display="folder"/>
    <hyperlink ref="F11" r:id="rId101" display="open"/>
    <hyperlink ref="G11" r:id="rId102" display="open"/>
    <hyperlink ref="H11" r:id="rId103" display="open"/>
    <hyperlink ref="I11" r:id="rId104" display="open"/>
    <hyperlink ref="J11" r:id="rId105" display="open"/>
    <hyperlink ref="K11" r:id="rId106" display="key"/>
    <hyperlink ref="L11" r:id="rId107" display="open"/>
    <hyperlink ref="M11" r:id="rId108" display="key"/>
    <hyperlink ref="N11" r:id="rId109" display="open"/>
    <hyperlink ref="O11" r:id="rId110" display="key"/>
    <hyperlink ref="P11" r:id="rId111" display="folder"/>
    <hyperlink ref="F12" r:id="rId112" display="Unit Review"/>
    <hyperlink ref="K12" r:id="rId113" display="Review key"/>
    <hyperlink ref="P12" r:id="rId114" display="folder"/>
    <hyperlink ref="F13" r:id="rId115" display="Unit Assessment"/>
    <hyperlink ref="K13" r:id="rId116" display="Assessment key"/>
    <hyperlink ref="P13" r:id="rId117" display="folder"/>
    <hyperlink ref="F14" r:id="rId118" display="Unit Assessment"/>
    <hyperlink ref="K14" r:id="rId119" display="Assessment key"/>
    <hyperlink ref="P14" r:id="rId120" display="folder"/>
    <hyperlink ref="P15" r:id="rId121" display="folder"/>
    <hyperlink ref="F16" r:id="rId122" display="open"/>
    <hyperlink ref="G16" r:id="rId123" display="open"/>
    <hyperlink ref="H16" r:id="rId124" display="open"/>
    <hyperlink ref="I16" r:id="rId125" display="open"/>
    <hyperlink ref="J16" r:id="rId126" display="open"/>
    <hyperlink ref="K16" r:id="rId127" display="key"/>
    <hyperlink ref="L16" r:id="rId128" display="open"/>
    <hyperlink ref="M16" r:id="rId129" display="key"/>
    <hyperlink ref="N16" r:id="rId130" display="open"/>
    <hyperlink ref="O16" r:id="rId131" display="key"/>
    <hyperlink ref="P16" r:id="rId132" display="folder"/>
    <hyperlink ref="F17" r:id="rId133" display="open"/>
    <hyperlink ref="G17" r:id="rId134" display="open"/>
    <hyperlink ref="H17" r:id="rId135" display="open"/>
    <hyperlink ref="I17" r:id="rId136" display="open"/>
    <hyperlink ref="J17" r:id="rId137" display="open"/>
    <hyperlink ref="K17" r:id="rId138" display="key"/>
    <hyperlink ref="L17" r:id="rId139" display="open"/>
    <hyperlink ref="M17" r:id="rId140" display="key"/>
    <hyperlink ref="N17" r:id="rId141" display="open"/>
    <hyperlink ref="O17" r:id="rId142" display="key"/>
    <hyperlink ref="P17" r:id="rId143" display="folder"/>
    <hyperlink ref="F18" r:id="rId144" display="open"/>
    <hyperlink ref="G18" r:id="rId145" display="open"/>
    <hyperlink ref="H18" r:id="rId146" display="open"/>
    <hyperlink ref="I18" r:id="rId147" display="open"/>
    <hyperlink ref="J18" r:id="rId148" display="open"/>
    <hyperlink ref="K18" r:id="rId149" display="key"/>
    <hyperlink ref="L18" r:id="rId150" display="open"/>
    <hyperlink ref="M18" r:id="rId151" display="key"/>
    <hyperlink ref="N18" r:id="rId152" display="open"/>
    <hyperlink ref="O18" r:id="rId153" display="key"/>
    <hyperlink ref="P18" r:id="rId154" display="folder"/>
    <hyperlink ref="F19" r:id="rId155" display="open"/>
    <hyperlink ref="G19" r:id="rId156" display="open"/>
    <hyperlink ref="H19" r:id="rId157" display="open"/>
    <hyperlink ref="I19" r:id="rId158" display="open"/>
    <hyperlink ref="J19" r:id="rId159" display="open"/>
    <hyperlink ref="K19" r:id="rId160" display="key"/>
    <hyperlink ref="L19" r:id="rId161" display="open"/>
    <hyperlink ref="M19" r:id="rId162" display="key"/>
    <hyperlink ref="N19" r:id="rId163" display="open"/>
    <hyperlink ref="O19" r:id="rId164" display="key"/>
    <hyperlink ref="P19" r:id="rId165" display="folder"/>
    <hyperlink ref="F20" r:id="rId166" display="open"/>
    <hyperlink ref="G20" r:id="rId167" display="open"/>
    <hyperlink ref="H20" r:id="rId168" display="open"/>
    <hyperlink ref="I20" r:id="rId169" display="open"/>
    <hyperlink ref="J20" r:id="rId170" display="open"/>
    <hyperlink ref="K20" r:id="rId171" display="key"/>
    <hyperlink ref="L20" r:id="rId172" display="open"/>
    <hyperlink ref="M20" r:id="rId173" display="key"/>
    <hyperlink ref="N20" r:id="rId174" display="open"/>
    <hyperlink ref="O20" r:id="rId175" display="key"/>
    <hyperlink ref="P20" r:id="rId176" display="folder"/>
    <hyperlink ref="F21" r:id="rId177" display="open"/>
    <hyperlink ref="G21" r:id="rId178" display="open"/>
    <hyperlink ref="H21" r:id="rId179" display="open"/>
    <hyperlink ref="I21" r:id="rId180" display="open"/>
    <hyperlink ref="J21" r:id="rId181" display="open"/>
    <hyperlink ref="K21" r:id="rId182" display="key"/>
    <hyperlink ref="L21" r:id="rId183" display="open"/>
    <hyperlink ref="M21" r:id="rId184" display="key"/>
    <hyperlink ref="N21" r:id="rId185" display="open"/>
    <hyperlink ref="O21" r:id="rId186" display="key"/>
    <hyperlink ref="P21" r:id="rId187" display="folder"/>
    <hyperlink ref="F22" r:id="rId188" display="Unit Assessment"/>
    <hyperlink ref="K22" r:id="rId189" display="Assessment key"/>
    <hyperlink ref="P22" r:id="rId190" display="folder"/>
    <hyperlink ref="F23" r:id="rId191" display="Unit Assessment"/>
    <hyperlink ref="K23" r:id="rId192" display="Assessment key"/>
    <hyperlink ref="P23" r:id="rId193" display="folder"/>
    <hyperlink ref="P24" r:id="rId194"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95"/>
  <legacyDrawing r:id="rId19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663</v>
      </c>
    </row>
    <row r="2" customFormat="false" ht="42" hidden="false" customHeight="true" outlineLevel="0" collapsed="false">
      <c r="A2" s="11" t="s">
        <v>664</v>
      </c>
      <c r="B2" s="11"/>
      <c r="C2" s="11"/>
      <c r="D2" s="11"/>
      <c r="E2" s="11"/>
      <c r="F2" s="11"/>
      <c r="G2" s="11"/>
      <c r="H2" s="11"/>
      <c r="I2" s="11"/>
      <c r="J2" s="11"/>
      <c r="K2" s="11"/>
    </row>
    <row r="4" customFormat="false" ht="30" hidden="false" customHeight="true" outlineLevel="0" collapsed="false">
      <c r="A4" s="9" t="s">
        <v>665</v>
      </c>
      <c r="B4" s="9" t="s">
        <v>666</v>
      </c>
      <c r="C4" s="9" t="s">
        <v>667</v>
      </c>
      <c r="D4" s="9" t="s">
        <v>668</v>
      </c>
      <c r="E4" s="9" t="s">
        <v>669</v>
      </c>
      <c r="F4" s="9" t="s">
        <v>670</v>
      </c>
      <c r="G4" s="9" t="s">
        <v>671</v>
      </c>
      <c r="H4" s="9" t="s">
        <v>672</v>
      </c>
      <c r="I4" s="9" t="s">
        <v>673</v>
      </c>
      <c r="J4" s="9" t="s">
        <v>674</v>
      </c>
      <c r="K4" s="9" t="s">
        <v>675</v>
      </c>
    </row>
    <row r="5" customFormat="false" ht="23.85" hidden="false" customHeight="false" outlineLevel="0" collapsed="false">
      <c r="A5" s="47" t="n">
        <v>1</v>
      </c>
      <c r="B5" s="48" t="n">
        <v>46288</v>
      </c>
      <c r="C5" s="49" t="s">
        <v>676</v>
      </c>
      <c r="D5" s="6" t="s">
        <v>677</v>
      </c>
      <c r="E5" s="7" t="s">
        <v>678</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679</v>
      </c>
      <c r="D6" s="6" t="s">
        <v>680</v>
      </c>
      <c r="E6" s="7" t="s">
        <v>681</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682</v>
      </c>
      <c r="D7" s="6" t="s">
        <v>683</v>
      </c>
      <c r="E7" s="7" t="s">
        <v>684</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685</v>
      </c>
      <c r="D8" s="6" t="s">
        <v>686</v>
      </c>
      <c r="E8" s="7" t="s">
        <v>687</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688</v>
      </c>
      <c r="D9" s="6" t="s">
        <v>689</v>
      </c>
      <c r="E9" s="7" t="s">
        <v>690</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691</v>
      </c>
      <c r="D10" s="6" t="s">
        <v>692</v>
      </c>
      <c r="E10" s="7" t="s">
        <v>693</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46296</v>
      </c>
      <c r="C11" s="49" t="s">
        <v>694</v>
      </c>
      <c r="D11" s="6" t="s">
        <v>695</v>
      </c>
      <c r="E11" s="7" t="s">
        <v>696</v>
      </c>
      <c r="F11" s="47" t="n">
        <v>67</v>
      </c>
      <c r="G11" s="48" t="n">
        <v>46297</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46297</v>
      </c>
      <c r="C12" s="49" t="s">
        <v>697</v>
      </c>
      <c r="D12" s="6" t="s">
        <v>698</v>
      </c>
      <c r="E12" s="7" t="s">
        <v>699</v>
      </c>
      <c r="F12" s="47" t="n">
        <v>67</v>
      </c>
      <c r="G12" s="48" t="n">
        <v>46300</v>
      </c>
      <c r="H12" s="50"/>
      <c r="I12" s="50"/>
      <c r="J12" s="7" t="str">
        <f aca="true">IF(I12="✓","done",IF(TODAY()&lt;B12,"upcoming",IF(TODAY()&lt;G12,"open","due — check scores")))</f>
        <v>open</v>
      </c>
      <c r="K12" s="51"/>
    </row>
    <row r="13" customFormat="false" ht="23.85" hidden="false" customHeight="false" outlineLevel="0" collapsed="false">
      <c r="A13" s="47" t="n">
        <v>9</v>
      </c>
      <c r="B13" s="48" t="n">
        <v>46300</v>
      </c>
      <c r="C13" s="49" t="s">
        <v>700</v>
      </c>
      <c r="D13" s="6" t="s">
        <v>701</v>
      </c>
      <c r="E13" s="7" t="s">
        <v>702</v>
      </c>
      <c r="F13" s="47" t="n">
        <v>67</v>
      </c>
      <c r="G13" s="48" t="n">
        <v>46301</v>
      </c>
      <c r="H13" s="50"/>
      <c r="I13" s="50"/>
      <c r="J13" s="7" t="str">
        <f aca="true">IF(I13="✓","done",IF(TODAY()&lt;B13,"upcoming",IF(TODAY()&lt;G13,"open","due — check scores")))</f>
        <v>upcoming</v>
      </c>
      <c r="K13" s="51"/>
    </row>
    <row r="14" customFormat="false" ht="35.05" hidden="false" customHeight="false" outlineLevel="0" collapsed="false">
      <c r="A14" s="47" t="n">
        <v>10</v>
      </c>
      <c r="B14" s="48" t="n">
        <v>46301</v>
      </c>
      <c r="C14" s="49" t="s">
        <v>703</v>
      </c>
      <c r="D14" s="6" t="s">
        <v>704</v>
      </c>
      <c r="E14" s="7" t="s">
        <v>705</v>
      </c>
      <c r="F14" s="47" t="n">
        <v>67</v>
      </c>
      <c r="G14" s="48" t="n">
        <v>46302</v>
      </c>
      <c r="H14" s="50"/>
      <c r="I14" s="50"/>
      <c r="J14" s="7" t="str">
        <f aca="true">IF(I14="✓","done",IF(TODAY()&lt;B14,"upcoming",IF(TODAY()&lt;G14,"open","due — check scores")))</f>
        <v>upcoming</v>
      </c>
      <c r="K14" s="51"/>
    </row>
    <row r="15" customFormat="false" ht="15" hidden="false" customHeight="false" outlineLevel="0" collapsed="false">
      <c r="A15" s="47" t="n">
        <v>11</v>
      </c>
      <c r="B15" s="48" t="n">
        <v>46309</v>
      </c>
      <c r="C15" s="49" t="s">
        <v>706</v>
      </c>
      <c r="D15" s="6" t="s">
        <v>707</v>
      </c>
      <c r="E15" s="7" t="s">
        <v>708</v>
      </c>
      <c r="F15" s="47" t="n">
        <v>67</v>
      </c>
      <c r="G15" s="48" t="n">
        <v>46310</v>
      </c>
      <c r="H15" s="50"/>
      <c r="I15" s="50"/>
      <c r="J15" s="7" t="str">
        <f aca="true">IF(I15="✓","done",IF(TODAY()&lt;B15,"upcoming",IF(TODAY()&lt;G15,"open","due — check scores")))</f>
        <v>upcoming</v>
      </c>
      <c r="K15" s="51"/>
    </row>
    <row r="16" customFormat="false" ht="23.85" hidden="false" customHeight="false" outlineLevel="0" collapsed="false">
      <c r="A16" s="47" t="n">
        <v>12</v>
      </c>
      <c r="B16" s="48" t="n">
        <v>46310</v>
      </c>
      <c r="C16" s="49" t="s">
        <v>709</v>
      </c>
      <c r="D16" s="6" t="s">
        <v>710</v>
      </c>
      <c r="E16" s="7" t="s">
        <v>711</v>
      </c>
      <c r="F16" s="47" t="n">
        <v>67</v>
      </c>
      <c r="G16" s="48" t="n">
        <v>46311</v>
      </c>
      <c r="H16" s="50"/>
      <c r="I16" s="50"/>
      <c r="J16" s="7" t="str">
        <f aca="true">IF(I16="✓","done",IF(TODAY()&lt;B16,"upcoming",IF(TODAY()&lt;G16,"open","due — check scores")))</f>
        <v>upcoming</v>
      </c>
      <c r="K16" s="51"/>
    </row>
    <row r="17" customFormat="false" ht="23.85" hidden="false" customHeight="false" outlineLevel="0" collapsed="false">
      <c r="A17" s="47" t="n">
        <v>13</v>
      </c>
      <c r="B17" s="48" t="n">
        <v>46311</v>
      </c>
      <c r="C17" s="49" t="s">
        <v>712</v>
      </c>
      <c r="D17" s="6" t="s">
        <v>713</v>
      </c>
      <c r="E17" s="7" t="s">
        <v>714</v>
      </c>
      <c r="F17" s="47" t="n">
        <v>67</v>
      </c>
      <c r="G17" s="48" t="n">
        <v>46314</v>
      </c>
      <c r="H17" s="50"/>
      <c r="I17" s="50"/>
      <c r="J17" s="7" t="str">
        <f aca="true">IF(I17="✓","done",IF(TODAY()&lt;B17,"upcoming",IF(TODAY()&lt;G17,"open","due — check scores")))</f>
        <v>upcoming</v>
      </c>
      <c r="K17" s="51"/>
    </row>
    <row r="18" customFormat="false" ht="15" hidden="false" customHeight="false" outlineLevel="0" collapsed="false">
      <c r="A18" s="47" t="n">
        <v>14</v>
      </c>
      <c r="B18" s="48" t="n">
        <v>46314</v>
      </c>
      <c r="C18" s="49" t="s">
        <v>715</v>
      </c>
      <c r="D18" s="6" t="s">
        <v>716</v>
      </c>
      <c r="E18" s="7" t="s">
        <v>717</v>
      </c>
      <c r="F18" s="47" t="n">
        <v>67</v>
      </c>
      <c r="G18" s="48" t="n">
        <v>46316</v>
      </c>
      <c r="H18" s="50"/>
      <c r="I18" s="50"/>
      <c r="J18" s="7" t="str">
        <f aca="true">IF(I18="✓","done",IF(TODAY()&lt;B18,"upcoming",IF(TODAY()&lt;G18,"open","due — check scores")))</f>
        <v>upcoming</v>
      </c>
      <c r="K18" s="51"/>
    </row>
    <row r="19" customFormat="false" ht="15" hidden="false" customHeight="false" outlineLevel="0" collapsed="false">
      <c r="A19" s="47" t="n">
        <v>15</v>
      </c>
      <c r="B19" s="48" t="n">
        <v>46316</v>
      </c>
      <c r="C19" s="49" t="s">
        <v>718</v>
      </c>
      <c r="D19" s="6" t="s">
        <v>719</v>
      </c>
      <c r="E19" s="7" t="s">
        <v>720</v>
      </c>
      <c r="F19" s="47" t="n">
        <v>67</v>
      </c>
      <c r="G19" s="48" t="n">
        <v>46317</v>
      </c>
      <c r="H19" s="50"/>
      <c r="I19" s="50"/>
      <c r="J19" s="7" t="str">
        <f aca="true">IF(I19="✓","done",IF(TODAY()&lt;B19,"upcoming",IF(TODAY()&lt;G19,"open","due — check scores")))</f>
        <v>upcoming</v>
      </c>
      <c r="K19" s="51"/>
    </row>
    <row r="20" customFormat="false" ht="23.85" hidden="false" customHeight="false" outlineLevel="0" collapsed="false">
      <c r="A20" s="47" t="n">
        <v>16</v>
      </c>
      <c r="B20" s="48" t="n">
        <v>46322</v>
      </c>
      <c r="C20" s="49" t="s">
        <v>721</v>
      </c>
      <c r="D20" s="6" t="s">
        <v>722</v>
      </c>
      <c r="E20" s="7" t="s">
        <v>723</v>
      </c>
      <c r="F20" s="47" t="n">
        <v>67</v>
      </c>
      <c r="G20" s="48" t="n">
        <v>46323</v>
      </c>
      <c r="H20" s="50"/>
      <c r="I20" s="50"/>
      <c r="J20" s="7" t="str">
        <f aca="true">IF(I20="✓","done",IF(TODAY()&lt;B20,"upcoming",IF(TODAY()&lt;G20,"open","due — check scores")))</f>
        <v>upcoming</v>
      </c>
      <c r="K20" s="51"/>
    </row>
    <row r="21" customFormat="false" ht="23.85" hidden="false" customHeight="false" outlineLevel="0" collapsed="false">
      <c r="A21" s="47" t="n">
        <v>17</v>
      </c>
      <c r="B21" s="48" t="n">
        <v>46323</v>
      </c>
      <c r="C21" s="49" t="s">
        <v>724</v>
      </c>
      <c r="D21" s="6" t="s">
        <v>725</v>
      </c>
      <c r="E21" s="7" t="s">
        <v>726</v>
      </c>
      <c r="F21" s="47" t="n">
        <v>67</v>
      </c>
      <c r="G21" s="48" t="n">
        <v>46324</v>
      </c>
      <c r="H21" s="50"/>
      <c r="I21" s="50"/>
      <c r="J21" s="7" t="str">
        <f aca="true">IF(I21="✓","done",IF(TODAY()&lt;B21,"upcoming",IF(TODAY()&lt;G21,"open","due — check scores")))</f>
        <v>upcoming</v>
      </c>
      <c r="K21" s="51"/>
    </row>
    <row r="22" customFormat="false" ht="23.85" hidden="false" customHeight="false" outlineLevel="0" collapsed="false">
      <c r="A22" s="47" t="n">
        <v>18</v>
      </c>
      <c r="B22" s="48" t="n">
        <v>46324</v>
      </c>
      <c r="C22" s="49" t="s">
        <v>727</v>
      </c>
      <c r="D22" s="6" t="s">
        <v>728</v>
      </c>
      <c r="E22" s="7" t="s">
        <v>729</v>
      </c>
      <c r="F22" s="47" t="n">
        <v>67</v>
      </c>
      <c r="G22" s="48" t="n">
        <v>46325</v>
      </c>
      <c r="H22" s="50"/>
      <c r="I22" s="50"/>
      <c r="J22" s="7" t="str">
        <f aca="true">IF(I22="✓","done",IF(TODAY()&lt;B22,"upcoming",IF(TODAY()&lt;G22,"open","due — check scores")))</f>
        <v>upcoming</v>
      </c>
      <c r="K22" s="51"/>
    </row>
    <row r="23" customFormat="false" ht="23.85" hidden="false" customHeight="false" outlineLevel="0" collapsed="false">
      <c r="A23" s="47" t="n">
        <v>19</v>
      </c>
      <c r="B23" s="48" t="n">
        <v>46325</v>
      </c>
      <c r="C23" s="49" t="s">
        <v>730</v>
      </c>
      <c r="D23" s="6" t="s">
        <v>731</v>
      </c>
      <c r="E23" s="7" t="s">
        <v>732</v>
      </c>
      <c r="F23" s="47" t="n">
        <v>67</v>
      </c>
      <c r="G23" s="48" t="n">
        <v>46329</v>
      </c>
      <c r="H23" s="50"/>
      <c r="I23" s="50"/>
      <c r="J23" s="7" t="str">
        <f aca="true">IF(I23="✓","done",IF(TODAY()&lt;B23,"upcoming",IF(TODAY()&lt;G23,"open","due — check scores")))</f>
        <v>upcoming</v>
      </c>
      <c r="K23" s="51"/>
    </row>
    <row r="24" customFormat="false" ht="23.85" hidden="false" customHeight="false" outlineLevel="0" collapsed="false">
      <c r="A24" s="47" t="n">
        <v>20</v>
      </c>
      <c r="B24" s="48" t="n">
        <v>46329</v>
      </c>
      <c r="C24" s="49" t="s">
        <v>733</v>
      </c>
      <c r="D24" s="6" t="s">
        <v>734</v>
      </c>
      <c r="E24" s="7" t="s">
        <v>735</v>
      </c>
      <c r="F24" s="47" t="n">
        <v>67</v>
      </c>
      <c r="G24" s="48" t="n">
        <v>46330</v>
      </c>
      <c r="H24" s="50"/>
      <c r="I24" s="50"/>
      <c r="J24" s="7" t="str">
        <f aca="true">IF(I24="✓","done",IF(TODAY()&lt;B24,"upcoming",IF(TODAY()&lt;G24,"open","due — check scores")))</f>
        <v>upcoming</v>
      </c>
      <c r="K24" s="51"/>
    </row>
    <row r="25" customFormat="false" ht="23.85" hidden="false" customHeight="false" outlineLevel="0" collapsed="false">
      <c r="A25" s="47" t="n">
        <v>21</v>
      </c>
      <c r="B25" s="48" t="n">
        <v>46335</v>
      </c>
      <c r="C25" s="49" t="s">
        <v>736</v>
      </c>
      <c r="D25" s="6" t="s">
        <v>737</v>
      </c>
      <c r="E25" s="7" t="s">
        <v>738</v>
      </c>
      <c r="F25" s="47" t="n">
        <v>67</v>
      </c>
      <c r="G25" s="48" t="n">
        <v>46336</v>
      </c>
      <c r="H25" s="50"/>
      <c r="I25" s="50"/>
      <c r="J25" s="7" t="str">
        <f aca="true">IF(I25="✓","done",IF(TODAY()&lt;B25,"upcoming",IF(TODAY()&lt;G25,"open","due — check scores")))</f>
        <v>upcoming</v>
      </c>
      <c r="K25" s="51"/>
    </row>
    <row r="26" customFormat="false" ht="15" hidden="false" customHeight="false" outlineLevel="0" collapsed="false">
      <c r="A26" s="47" t="n">
        <v>22</v>
      </c>
      <c r="B26" s="48" t="n">
        <v>46336</v>
      </c>
      <c r="C26" s="49" t="s">
        <v>739</v>
      </c>
      <c r="D26" s="6" t="s">
        <v>740</v>
      </c>
      <c r="E26" s="7" t="s">
        <v>741</v>
      </c>
      <c r="F26" s="47" t="n">
        <v>67</v>
      </c>
      <c r="G26" s="48" t="n">
        <v>46338</v>
      </c>
      <c r="H26" s="50"/>
      <c r="I26" s="50"/>
      <c r="J26" s="7" t="str">
        <f aca="true">IF(I26="✓","done",IF(TODAY()&lt;B26,"upcoming",IF(TODAY()&lt;G26,"open","due — check scores")))</f>
        <v>upcoming</v>
      </c>
      <c r="K26" s="51"/>
    </row>
    <row r="27" customFormat="false" ht="15" hidden="false" customHeight="false" outlineLevel="0" collapsed="false">
      <c r="A27" s="47" t="n">
        <v>23</v>
      </c>
      <c r="B27" s="48" t="n">
        <v>46338</v>
      </c>
      <c r="C27" s="49" t="s">
        <v>742</v>
      </c>
      <c r="D27" s="6" t="s">
        <v>743</v>
      </c>
      <c r="E27" s="7" t="s">
        <v>744</v>
      </c>
      <c r="F27" s="47" t="n">
        <v>67</v>
      </c>
      <c r="G27" s="48" t="n">
        <v>46339</v>
      </c>
      <c r="H27" s="50"/>
      <c r="I27" s="50"/>
      <c r="J27" s="7" t="str">
        <f aca="true">IF(I27="✓","done",IF(TODAY()&lt;B27,"upcoming",IF(TODAY()&lt;G27,"open","due — check scores")))</f>
        <v>upcoming</v>
      </c>
      <c r="K27" s="51"/>
    </row>
    <row r="28" customFormat="false" ht="23.85" hidden="false" customHeight="false" outlineLevel="0" collapsed="false">
      <c r="A28" s="47" t="n">
        <v>24</v>
      </c>
      <c r="B28" s="48" t="n">
        <v>46339</v>
      </c>
      <c r="C28" s="49" t="s">
        <v>745</v>
      </c>
      <c r="D28" s="6" t="s">
        <v>746</v>
      </c>
      <c r="E28" s="7" t="s">
        <v>747</v>
      </c>
      <c r="F28" s="47" t="n">
        <v>67</v>
      </c>
      <c r="G28" s="48" t="n">
        <v>46342</v>
      </c>
      <c r="H28" s="50"/>
      <c r="I28" s="50"/>
      <c r="J28" s="7" t="str">
        <f aca="true">IF(I28="✓","done",IF(TODAY()&lt;B28,"upcoming",IF(TODAY()&lt;G28,"open","due — check scores")))</f>
        <v>upcoming</v>
      </c>
      <c r="K28" s="51"/>
    </row>
    <row r="29" customFormat="false" ht="15" hidden="false" customHeight="false" outlineLevel="0" collapsed="false">
      <c r="A29" s="47" t="n">
        <v>25</v>
      </c>
      <c r="B29" s="48" t="n">
        <v>46342</v>
      </c>
      <c r="C29" s="49" t="s">
        <v>748</v>
      </c>
      <c r="D29" s="6" t="s">
        <v>749</v>
      </c>
      <c r="E29" s="7" t="s">
        <v>750</v>
      </c>
      <c r="F29" s="47" t="n">
        <v>67</v>
      </c>
      <c r="G29" s="48" t="n">
        <v>46343</v>
      </c>
      <c r="H29" s="50"/>
      <c r="I29" s="50"/>
      <c r="J29" s="7" t="str">
        <f aca="true">IF(I29="✓","done",IF(TODAY()&lt;B29,"upcoming",IF(TODAY()&lt;G29,"open","due — check scores")))</f>
        <v>upcoming</v>
      </c>
      <c r="K29" s="51"/>
    </row>
    <row r="30" customFormat="false" ht="46.25" hidden="false" customHeight="false" outlineLevel="0" collapsed="false">
      <c r="A30" s="47" t="n">
        <v>26</v>
      </c>
      <c r="B30" s="48" t="n">
        <v>46343</v>
      </c>
      <c r="C30" s="49" t="s">
        <v>751</v>
      </c>
      <c r="D30" s="6" t="s">
        <v>752</v>
      </c>
      <c r="E30" s="7" t="s">
        <v>753</v>
      </c>
      <c r="F30" s="47" t="n">
        <v>67</v>
      </c>
      <c r="G30" s="48" t="n">
        <v>46344</v>
      </c>
      <c r="H30" s="50"/>
      <c r="I30" s="50"/>
      <c r="J30" s="7" t="str">
        <f aca="true">IF(I30="✓","done",IF(TODAY()&lt;B30,"upcoming",IF(TODAY()&lt;G30,"open","due — check scores")))</f>
        <v>upcoming</v>
      </c>
      <c r="K30" s="51"/>
    </row>
    <row r="31" customFormat="false" ht="23.85" hidden="false" customHeight="false" outlineLevel="0" collapsed="false">
      <c r="A31" s="47" t="n">
        <v>27</v>
      </c>
      <c r="B31" s="48" t="n">
        <v>46344</v>
      </c>
      <c r="C31" s="49" t="s">
        <v>754</v>
      </c>
      <c r="D31" s="6" t="s">
        <v>755</v>
      </c>
      <c r="E31" s="7" t="s">
        <v>756</v>
      </c>
      <c r="F31" s="47" t="n">
        <v>67</v>
      </c>
      <c r="G31" s="48" t="n">
        <v>46345</v>
      </c>
      <c r="H31" s="50"/>
      <c r="I31" s="50"/>
      <c r="J31" s="7" t="str">
        <f aca="true">IF(I31="✓","done",IF(TODAY()&lt;B31,"upcoming",IF(TODAY()&lt;G31,"open","due — check scores")))</f>
        <v>upcoming</v>
      </c>
      <c r="K31" s="51"/>
    </row>
    <row r="32" customFormat="false" ht="23.85" hidden="false" customHeight="false" outlineLevel="0" collapsed="false">
      <c r="A32" s="47" t="n">
        <v>28</v>
      </c>
      <c r="B32" s="48" t="n">
        <v>46345</v>
      </c>
      <c r="C32" s="49" t="s">
        <v>757</v>
      </c>
      <c r="D32" s="6" t="s">
        <v>758</v>
      </c>
      <c r="E32" s="7" t="s">
        <v>759</v>
      </c>
      <c r="F32" s="47" t="n">
        <v>67</v>
      </c>
      <c r="G32" s="48" t="n">
        <v>46346</v>
      </c>
      <c r="H32" s="50"/>
      <c r="I32" s="50"/>
      <c r="J32" s="7" t="str">
        <f aca="true">IF(I32="✓","done",IF(TODAY()&lt;B32,"upcoming",IF(TODAY()&lt;G32,"open","due — check scores")))</f>
        <v>upcoming</v>
      </c>
      <c r="K32" s="51"/>
    </row>
    <row r="33" customFormat="false" ht="15" hidden="false" customHeight="false" outlineLevel="0" collapsed="false">
      <c r="A33" s="47" t="n">
        <v>29</v>
      </c>
      <c r="B33" s="48" t="n">
        <v>46359</v>
      </c>
      <c r="C33" s="49" t="s">
        <v>760</v>
      </c>
      <c r="D33" s="6" t="s">
        <v>761</v>
      </c>
      <c r="E33" s="7" t="s">
        <v>762</v>
      </c>
      <c r="F33" s="47" t="n">
        <v>67</v>
      </c>
      <c r="G33" s="48" t="n">
        <v>46360</v>
      </c>
      <c r="H33" s="50"/>
      <c r="I33" s="50"/>
      <c r="J33" s="7" t="str">
        <f aca="true">IF(I33="✓","done",IF(TODAY()&lt;B33,"upcoming",IF(TODAY()&lt;G33,"open","due — check scores")))</f>
        <v>upcoming</v>
      </c>
      <c r="K33" s="51"/>
    </row>
    <row r="34" customFormat="false" ht="35.05" hidden="false" customHeight="false" outlineLevel="0" collapsed="false">
      <c r="A34" s="47" t="n">
        <v>30</v>
      </c>
      <c r="B34" s="48" t="n">
        <v>46360</v>
      </c>
      <c r="C34" s="49" t="s">
        <v>763</v>
      </c>
      <c r="D34" s="6" t="s">
        <v>764</v>
      </c>
      <c r="E34" s="7" t="s">
        <v>765</v>
      </c>
      <c r="F34" s="47" t="n">
        <v>67</v>
      </c>
      <c r="G34" s="48" t="n">
        <v>46363</v>
      </c>
      <c r="H34" s="50"/>
      <c r="I34" s="50"/>
      <c r="J34" s="7" t="str">
        <f aca="true">IF(I34="✓","done",IF(TODAY()&lt;B34,"upcoming",IF(TODAY()&lt;G34,"open","due — check scores")))</f>
        <v>upcoming</v>
      </c>
      <c r="K34" s="51"/>
    </row>
    <row r="35" customFormat="false" ht="23.85" hidden="false" customHeight="false" outlineLevel="0" collapsed="false">
      <c r="A35" s="47" t="n">
        <v>31</v>
      </c>
      <c r="B35" s="48" t="n">
        <v>46363</v>
      </c>
      <c r="C35" s="49" t="s">
        <v>766</v>
      </c>
      <c r="D35" s="6" t="s">
        <v>767</v>
      </c>
      <c r="E35" s="7" t="s">
        <v>768</v>
      </c>
      <c r="F35" s="47" t="n">
        <v>67</v>
      </c>
      <c r="G35" s="48" t="n">
        <v>46364</v>
      </c>
      <c r="H35" s="50"/>
      <c r="I35" s="50"/>
      <c r="J35" s="7" t="str">
        <f aca="true">IF(I35="✓","done",IF(TODAY()&lt;B35,"upcoming",IF(TODAY()&lt;G35,"open","due — check scores")))</f>
        <v>upcoming</v>
      </c>
      <c r="K35" s="51"/>
    </row>
    <row r="36" customFormat="false" ht="35.05" hidden="false" customHeight="false" outlineLevel="0" collapsed="false">
      <c r="A36" s="47" t="n">
        <v>32</v>
      </c>
      <c r="B36" s="48" t="n">
        <v>46364</v>
      </c>
      <c r="C36" s="49" t="s">
        <v>769</v>
      </c>
      <c r="D36" s="6" t="s">
        <v>770</v>
      </c>
      <c r="E36" s="7" t="s">
        <v>771</v>
      </c>
      <c r="F36" s="47" t="n">
        <v>67</v>
      </c>
      <c r="G36" s="48" t="n">
        <v>46365</v>
      </c>
      <c r="H36" s="50"/>
      <c r="I36" s="50"/>
      <c r="J36" s="7" t="str">
        <f aca="true">IF(I36="✓","done",IF(TODAY()&lt;B36,"upcoming",IF(TODAY()&lt;G36,"open","due — check scores")))</f>
        <v>upcoming</v>
      </c>
      <c r="K36" s="51"/>
    </row>
    <row r="37" customFormat="false" ht="15" hidden="false" customHeight="false" outlineLevel="0" collapsed="false">
      <c r="A37" s="47" t="n">
        <v>33</v>
      </c>
      <c r="B37" s="48" t="n">
        <v>46365</v>
      </c>
      <c r="C37" s="49" t="s">
        <v>772</v>
      </c>
      <c r="D37" s="6" t="s">
        <v>773</v>
      </c>
      <c r="E37" s="7" t="s">
        <v>774</v>
      </c>
      <c r="F37" s="47" t="n">
        <v>67</v>
      </c>
      <c r="G37" s="48" t="n">
        <v>46366</v>
      </c>
      <c r="H37" s="50"/>
      <c r="I37" s="50"/>
      <c r="J37" s="7" t="str">
        <f aca="true">IF(I37="✓","done",IF(TODAY()&lt;B37,"upcoming",IF(TODAY()&lt;G37,"open","due — check scores")))</f>
        <v>upcoming</v>
      </c>
      <c r="K37" s="51"/>
    </row>
    <row r="38" customFormat="false" ht="23.85" hidden="false" customHeight="false" outlineLevel="0" collapsed="false">
      <c r="A38" s="47" t="n">
        <v>34</v>
      </c>
      <c r="B38" s="48" t="n">
        <v>46373</v>
      </c>
      <c r="C38" s="49" t="s">
        <v>775</v>
      </c>
      <c r="D38" s="6" t="s">
        <v>776</v>
      </c>
      <c r="E38" s="7" t="s">
        <v>777</v>
      </c>
      <c r="F38" s="47" t="n">
        <v>67</v>
      </c>
      <c r="G38" s="48" t="n">
        <v>46374</v>
      </c>
      <c r="H38" s="50"/>
      <c r="I38" s="50"/>
      <c r="J38" s="7" t="str">
        <f aca="true">IF(I38="✓","done",IF(TODAY()&lt;B38,"upcoming",IF(TODAY()&lt;G38,"open","due — check scores")))</f>
        <v>upcoming</v>
      </c>
      <c r="K38" s="51"/>
    </row>
    <row r="39" customFormat="false" ht="15" hidden="false" customHeight="false" outlineLevel="0" collapsed="false">
      <c r="A39" s="47" t="n">
        <v>35</v>
      </c>
      <c r="B39" s="48" t="n">
        <v>46374</v>
      </c>
      <c r="C39" s="49" t="s">
        <v>778</v>
      </c>
      <c r="D39" s="6" t="s">
        <v>779</v>
      </c>
      <c r="E39" s="7" t="s">
        <v>780</v>
      </c>
      <c r="F39" s="47" t="n">
        <v>67</v>
      </c>
      <c r="G39" s="48" t="n">
        <v>46393</v>
      </c>
      <c r="H39" s="50"/>
      <c r="I39" s="50"/>
      <c r="J39" s="7" t="str">
        <f aca="true">IF(I39="✓","done",IF(TODAY()&lt;B39,"upcoming",IF(TODAY()&lt;G39,"open","due — check scores")))</f>
        <v>upcoming</v>
      </c>
      <c r="K39" s="51"/>
    </row>
    <row r="40" customFormat="false" ht="15" hidden="false" customHeight="false" outlineLevel="0" collapsed="false">
      <c r="A40" s="47" t="n">
        <v>36</v>
      </c>
      <c r="B40" s="48" t="n">
        <v>46393</v>
      </c>
      <c r="C40" s="49" t="s">
        <v>781</v>
      </c>
      <c r="D40" s="6" t="s">
        <v>782</v>
      </c>
      <c r="E40" s="7" t="s">
        <v>783</v>
      </c>
      <c r="F40" s="47" t="n">
        <v>67</v>
      </c>
      <c r="G40" s="48" t="n">
        <v>46394</v>
      </c>
      <c r="H40" s="50"/>
      <c r="I40" s="50"/>
      <c r="J40" s="7" t="str">
        <f aca="true">IF(I40="✓","done",IF(TODAY()&lt;B40,"upcoming",IF(TODAY()&lt;G40,"open","due — check scores")))</f>
        <v>upcoming</v>
      </c>
      <c r="K40" s="51"/>
    </row>
    <row r="41" customFormat="false" ht="15" hidden="false" customHeight="false" outlineLevel="0" collapsed="false">
      <c r="A41" s="47" t="n">
        <v>37</v>
      </c>
      <c r="B41" s="48" t="n">
        <v>46394</v>
      </c>
      <c r="C41" s="49" t="s">
        <v>784</v>
      </c>
      <c r="D41" s="6" t="s">
        <v>785</v>
      </c>
      <c r="E41" s="7" t="s">
        <v>786</v>
      </c>
      <c r="F41" s="47" t="n">
        <v>67</v>
      </c>
      <c r="G41" s="48" t="n">
        <v>46395</v>
      </c>
      <c r="H41" s="50"/>
      <c r="I41" s="50"/>
      <c r="J41" s="7" t="str">
        <f aca="true">IF(I41="✓","done",IF(TODAY()&lt;B41,"upcoming",IF(TODAY()&lt;G41,"open","due — check scores")))</f>
        <v>upcoming</v>
      </c>
      <c r="K41" s="51"/>
    </row>
    <row r="42" customFormat="false" ht="23.85" hidden="false" customHeight="false" outlineLevel="0" collapsed="false">
      <c r="A42" s="47" t="n">
        <v>38</v>
      </c>
      <c r="B42" s="48" t="n">
        <v>46395</v>
      </c>
      <c r="C42" s="49" t="s">
        <v>787</v>
      </c>
      <c r="D42" s="6" t="s">
        <v>788</v>
      </c>
      <c r="E42" s="7" t="s">
        <v>789</v>
      </c>
      <c r="F42" s="47" t="n">
        <v>67</v>
      </c>
      <c r="G42" s="48" t="n">
        <v>46398</v>
      </c>
      <c r="H42" s="50"/>
      <c r="I42" s="50"/>
      <c r="J42" s="7" t="str">
        <f aca="true">IF(I42="✓","done",IF(TODAY()&lt;B42,"upcoming",IF(TODAY()&lt;G42,"open","due — check scores")))</f>
        <v>upcoming</v>
      </c>
      <c r="K42" s="51"/>
    </row>
    <row r="43" customFormat="false" ht="23.85" hidden="false" customHeight="false" outlineLevel="0" collapsed="false">
      <c r="A43" s="47" t="n">
        <v>39</v>
      </c>
      <c r="B43" s="48" t="n">
        <v>46398</v>
      </c>
      <c r="C43" s="49" t="s">
        <v>790</v>
      </c>
      <c r="D43" s="6" t="s">
        <v>791</v>
      </c>
      <c r="E43" s="7" t="s">
        <v>792</v>
      </c>
      <c r="F43" s="47" t="n">
        <v>67</v>
      </c>
      <c r="G43" s="48" t="n">
        <v>46399</v>
      </c>
      <c r="H43" s="50"/>
      <c r="I43" s="50"/>
      <c r="J43" s="7" t="str">
        <f aca="true">IF(I43="✓","done",IF(TODAY()&lt;B43,"upcoming",IF(TODAY()&lt;G43,"open","due — check scores")))</f>
        <v>upcoming</v>
      </c>
      <c r="K43" s="51"/>
    </row>
    <row r="44" customFormat="false" ht="15" hidden="false" customHeight="false" outlineLevel="0" collapsed="false">
      <c r="A44" s="47" t="n">
        <v>40</v>
      </c>
      <c r="B44" s="48" t="n">
        <v>46399</v>
      </c>
      <c r="C44" s="49" t="s">
        <v>793</v>
      </c>
      <c r="D44" s="6" t="s">
        <v>794</v>
      </c>
      <c r="E44" s="7" t="s">
        <v>795</v>
      </c>
      <c r="F44" s="47" t="n">
        <v>67</v>
      </c>
      <c r="G44" s="48" t="n">
        <v>46400</v>
      </c>
      <c r="H44" s="50"/>
      <c r="I44" s="50"/>
      <c r="J44" s="7" t="str">
        <f aca="true">IF(I44="✓","done",IF(TODAY()&lt;B44,"upcoming",IF(TODAY()&lt;G44,"open","due — check scores")))</f>
        <v>upcoming</v>
      </c>
      <c r="K44" s="51"/>
    </row>
    <row r="45" customFormat="false" ht="57.45" hidden="false" customHeight="false" outlineLevel="0" collapsed="false">
      <c r="A45" s="47" t="n">
        <v>41</v>
      </c>
      <c r="B45" s="48" t="n">
        <v>46407</v>
      </c>
      <c r="C45" s="49" t="s">
        <v>796</v>
      </c>
      <c r="D45" s="6" t="s">
        <v>797</v>
      </c>
      <c r="E45" s="7" t="s">
        <v>798</v>
      </c>
      <c r="F45" s="47" t="n">
        <v>67</v>
      </c>
      <c r="G45" s="48" t="n">
        <v>46408</v>
      </c>
      <c r="H45" s="50"/>
      <c r="I45" s="50"/>
      <c r="J45" s="7" t="str">
        <f aca="true">IF(I45="✓","done",IF(TODAY()&lt;B45,"upcoming",IF(TODAY()&lt;G45,"open","due — check scores")))</f>
        <v>upcoming</v>
      </c>
      <c r="K45" s="51"/>
    </row>
    <row r="46" customFormat="false" ht="23.85" hidden="false" customHeight="false" outlineLevel="0" collapsed="false">
      <c r="A46" s="47" t="n">
        <v>42</v>
      </c>
      <c r="B46" s="48" t="n">
        <v>46408</v>
      </c>
      <c r="C46" s="49" t="s">
        <v>799</v>
      </c>
      <c r="D46" s="6" t="s">
        <v>800</v>
      </c>
      <c r="E46" s="7" t="s">
        <v>801</v>
      </c>
      <c r="F46" s="47" t="n">
        <v>67</v>
      </c>
      <c r="G46" s="48" t="n">
        <v>46409</v>
      </c>
      <c r="H46" s="50"/>
      <c r="I46" s="50"/>
      <c r="J46" s="7" t="str">
        <f aca="true">IF(I46="✓","done",IF(TODAY()&lt;B46,"upcoming",IF(TODAY()&lt;G46,"open","due — check scores")))</f>
        <v>upcoming</v>
      </c>
      <c r="K46" s="51"/>
    </row>
    <row r="47" customFormat="false" ht="23.85" hidden="false" customHeight="false" outlineLevel="0" collapsed="false">
      <c r="A47" s="47" t="n">
        <v>43</v>
      </c>
      <c r="B47" s="48" t="n">
        <v>46409</v>
      </c>
      <c r="C47" s="49" t="s">
        <v>802</v>
      </c>
      <c r="D47" s="6" t="s">
        <v>803</v>
      </c>
      <c r="E47" s="7" t="s">
        <v>804</v>
      </c>
      <c r="F47" s="47" t="n">
        <v>67</v>
      </c>
      <c r="G47" s="48" t="n">
        <v>46412</v>
      </c>
      <c r="H47" s="50"/>
      <c r="I47" s="50"/>
      <c r="J47" s="7" t="str">
        <f aca="true">IF(I47="✓","done",IF(TODAY()&lt;B47,"upcoming",IF(TODAY()&lt;G47,"open","due — check scores")))</f>
        <v>upcoming</v>
      </c>
      <c r="K47" s="51"/>
    </row>
    <row r="48" customFormat="false" ht="46.25" hidden="false" customHeight="false" outlineLevel="0" collapsed="false">
      <c r="A48" s="47" t="n">
        <v>44</v>
      </c>
      <c r="B48" s="48" t="n">
        <v>46412</v>
      </c>
      <c r="C48" s="49" t="s">
        <v>805</v>
      </c>
      <c r="D48" s="6" t="s">
        <v>806</v>
      </c>
      <c r="E48" s="7" t="s">
        <v>807</v>
      </c>
      <c r="F48" s="47" t="n">
        <v>67</v>
      </c>
      <c r="G48" s="48" t="n">
        <v>46413</v>
      </c>
      <c r="H48" s="50"/>
      <c r="I48" s="50"/>
      <c r="J48" s="7" t="str">
        <f aca="true">IF(I48="✓","done",IF(TODAY()&lt;B48,"upcoming",IF(TODAY()&lt;G48,"open","due — check scores")))</f>
        <v>upcoming</v>
      </c>
      <c r="K48" s="51"/>
    </row>
    <row r="49" customFormat="false" ht="35.05" hidden="false" customHeight="false" outlineLevel="0" collapsed="false">
      <c r="A49" s="47" t="n">
        <v>45</v>
      </c>
      <c r="B49" s="48" t="n">
        <v>46413</v>
      </c>
      <c r="C49" s="49" t="s">
        <v>808</v>
      </c>
      <c r="D49" s="6" t="s">
        <v>809</v>
      </c>
      <c r="E49" s="7" t="s">
        <v>810</v>
      </c>
      <c r="F49" s="47" t="n">
        <v>67</v>
      </c>
      <c r="G49" s="48" t="n">
        <v>46414</v>
      </c>
      <c r="H49" s="50"/>
      <c r="I49" s="50"/>
      <c r="J49" s="7" t="str">
        <f aca="true">IF(I49="✓","done",IF(TODAY()&lt;B49,"upcoming",IF(TODAY()&lt;G49,"open","due — check scores")))</f>
        <v>upcoming</v>
      </c>
      <c r="K49" s="51"/>
    </row>
    <row r="50" customFormat="false" ht="23.85" hidden="false" customHeight="false" outlineLevel="0" collapsed="false">
      <c r="A50" s="47" t="n">
        <v>46</v>
      </c>
      <c r="B50" s="48" t="n">
        <v>46414</v>
      </c>
      <c r="C50" s="49" t="s">
        <v>811</v>
      </c>
      <c r="D50" s="6" t="s">
        <v>812</v>
      </c>
      <c r="E50" s="7" t="s">
        <v>813</v>
      </c>
      <c r="F50" s="47" t="n">
        <v>67</v>
      </c>
      <c r="G50" s="48" t="n">
        <v>46415</v>
      </c>
      <c r="H50" s="50"/>
      <c r="I50" s="50"/>
      <c r="J50" s="7" t="str">
        <f aca="true">IF(I50="✓","done",IF(TODAY()&lt;B50,"upcoming",IF(TODAY()&lt;G50,"open","due — check scores")))</f>
        <v>upcoming</v>
      </c>
      <c r="K50" s="51"/>
    </row>
    <row r="51" customFormat="false" ht="35.05" hidden="false" customHeight="false" outlineLevel="0" collapsed="false">
      <c r="A51" s="47" t="n">
        <v>47</v>
      </c>
      <c r="B51" s="48" t="n">
        <v>46415</v>
      </c>
      <c r="C51" s="49" t="s">
        <v>814</v>
      </c>
      <c r="D51" s="6" t="s">
        <v>815</v>
      </c>
      <c r="E51" s="7" t="s">
        <v>816</v>
      </c>
      <c r="F51" s="47" t="n">
        <v>67</v>
      </c>
      <c r="G51" s="48" t="n">
        <v>46416</v>
      </c>
      <c r="H51" s="50"/>
      <c r="I51" s="50"/>
      <c r="J51" s="7" t="str">
        <f aca="true">IF(I51="✓","done",IF(TODAY()&lt;B51,"upcoming",IF(TODAY()&lt;G51,"open","due — check scores")))</f>
        <v>upcoming</v>
      </c>
      <c r="K51" s="51"/>
    </row>
    <row r="52" customFormat="false" ht="15" hidden="false" customHeight="false" outlineLevel="0" collapsed="false">
      <c r="A52" s="47" t="n">
        <v>48</v>
      </c>
      <c r="B52" s="48" t="n">
        <v>46416</v>
      </c>
      <c r="C52" s="49" t="s">
        <v>817</v>
      </c>
      <c r="D52" s="6" t="s">
        <v>818</v>
      </c>
      <c r="E52" s="7" t="s">
        <v>819</v>
      </c>
      <c r="F52" s="47" t="n">
        <v>67</v>
      </c>
      <c r="G52" s="48" t="n">
        <v>46419</v>
      </c>
      <c r="H52" s="50"/>
      <c r="I52" s="50"/>
      <c r="J52" s="7" t="str">
        <f aca="true">IF(I52="✓","done",IF(TODAY()&lt;B52,"upcoming",IF(TODAY()&lt;G52,"open","due — check scores")))</f>
        <v>upcoming</v>
      </c>
      <c r="K52" s="51"/>
    </row>
    <row r="53" customFormat="false" ht="35.05" hidden="false" customHeight="false" outlineLevel="0" collapsed="false">
      <c r="A53" s="47" t="n">
        <v>49</v>
      </c>
      <c r="B53" s="48" t="n">
        <v>46422</v>
      </c>
      <c r="C53" s="49" t="s">
        <v>820</v>
      </c>
      <c r="D53" s="6" t="s">
        <v>821</v>
      </c>
      <c r="E53" s="7" t="s">
        <v>822</v>
      </c>
      <c r="F53" s="47" t="n">
        <v>67</v>
      </c>
      <c r="G53" s="48" t="n">
        <v>46423</v>
      </c>
      <c r="H53" s="50"/>
      <c r="I53" s="50"/>
      <c r="J53" s="7" t="str">
        <f aca="true">IF(I53="✓","done",IF(TODAY()&lt;B53,"upcoming",IF(TODAY()&lt;G53,"open","due — check scores")))</f>
        <v>upcoming</v>
      </c>
      <c r="K53" s="51"/>
    </row>
    <row r="54" customFormat="false" ht="15" hidden="false" customHeight="false" outlineLevel="0" collapsed="false">
      <c r="A54" s="47" t="n">
        <v>50</v>
      </c>
      <c r="B54" s="48" t="n">
        <v>46423</v>
      </c>
      <c r="C54" s="49" t="s">
        <v>823</v>
      </c>
      <c r="D54" s="6" t="s">
        <v>824</v>
      </c>
      <c r="E54" s="7" t="s">
        <v>825</v>
      </c>
      <c r="F54" s="47" t="n">
        <v>67</v>
      </c>
      <c r="G54" s="48" t="n">
        <v>46426</v>
      </c>
      <c r="H54" s="50"/>
      <c r="I54" s="50"/>
      <c r="J54" s="7" t="str">
        <f aca="true">IF(I54="✓","done",IF(TODAY()&lt;B54,"upcoming",IF(TODAY()&lt;G54,"open","due — check scores")))</f>
        <v>upcoming</v>
      </c>
      <c r="K54" s="51"/>
    </row>
    <row r="55" customFormat="false" ht="23.85" hidden="false" customHeight="false" outlineLevel="0" collapsed="false">
      <c r="A55" s="47" t="n">
        <v>51</v>
      </c>
      <c r="B55" s="48" t="n">
        <v>46426</v>
      </c>
      <c r="C55" s="49" t="s">
        <v>826</v>
      </c>
      <c r="D55" s="6" t="s">
        <v>827</v>
      </c>
      <c r="E55" s="7" t="s">
        <v>828</v>
      </c>
      <c r="F55" s="47" t="n">
        <v>67</v>
      </c>
      <c r="G55" s="48" t="n">
        <v>46427</v>
      </c>
      <c r="H55" s="50"/>
      <c r="I55" s="50"/>
      <c r="J55" s="7" t="str">
        <f aca="true">IF(I55="✓","done",IF(TODAY()&lt;B55,"upcoming",IF(TODAY()&lt;G55,"open","due — check scores")))</f>
        <v>upcoming</v>
      </c>
      <c r="K55" s="51"/>
    </row>
    <row r="56" customFormat="false" ht="23.85" hidden="false" customHeight="false" outlineLevel="0" collapsed="false">
      <c r="A56" s="47" t="n">
        <v>52</v>
      </c>
      <c r="B56" s="48" t="n">
        <v>46427</v>
      </c>
      <c r="C56" s="49" t="s">
        <v>829</v>
      </c>
      <c r="D56" s="6" t="s">
        <v>830</v>
      </c>
      <c r="E56" s="7" t="s">
        <v>831</v>
      </c>
      <c r="F56" s="47" t="n">
        <v>67</v>
      </c>
      <c r="G56" s="48" t="n">
        <v>46428</v>
      </c>
      <c r="H56" s="50"/>
      <c r="I56" s="50"/>
      <c r="J56" s="7" t="str">
        <f aca="true">IF(I56="✓","done",IF(TODAY()&lt;B56,"upcoming",IF(TODAY()&lt;G56,"open","due — check scores")))</f>
        <v>upcoming</v>
      </c>
      <c r="K56" s="51"/>
    </row>
    <row r="57" customFormat="false" ht="35.05" hidden="false" customHeight="false" outlineLevel="0" collapsed="false">
      <c r="A57" s="47" t="n">
        <v>53</v>
      </c>
      <c r="B57" s="48" t="n">
        <v>46428</v>
      </c>
      <c r="C57" s="49" t="s">
        <v>832</v>
      </c>
      <c r="D57" s="6" t="s">
        <v>833</v>
      </c>
      <c r="E57" s="7" t="s">
        <v>834</v>
      </c>
      <c r="F57" s="47" t="n">
        <v>67</v>
      </c>
      <c r="G57" s="48" t="n">
        <v>46429</v>
      </c>
      <c r="H57" s="50"/>
      <c r="I57" s="50"/>
      <c r="J57" s="7" t="str">
        <f aca="true">IF(I57="✓","done",IF(TODAY()&lt;B57,"upcoming",IF(TODAY()&lt;G57,"open","due — check scores")))</f>
        <v>upcoming</v>
      </c>
      <c r="K57" s="51"/>
    </row>
    <row r="58" customFormat="false" ht="23.85" hidden="false" customHeight="false" outlineLevel="0" collapsed="false">
      <c r="A58" s="47" t="n">
        <v>54</v>
      </c>
      <c r="B58" s="48" t="n">
        <v>46429</v>
      </c>
      <c r="C58" s="49" t="s">
        <v>835</v>
      </c>
      <c r="D58" s="6" t="s">
        <v>836</v>
      </c>
      <c r="E58" s="7" t="s">
        <v>837</v>
      </c>
      <c r="F58" s="47" t="n">
        <v>67</v>
      </c>
      <c r="G58" s="48" t="n">
        <v>46430</v>
      </c>
      <c r="H58" s="50"/>
      <c r="I58" s="50"/>
      <c r="J58" s="7" t="str">
        <f aca="true">IF(I58="✓","done",IF(TODAY()&lt;B58,"upcoming",IF(TODAY()&lt;G58,"open","due — check scores")))</f>
        <v>upcoming</v>
      </c>
      <c r="K58" s="51"/>
    </row>
    <row r="59" customFormat="false" ht="15" hidden="false" customHeight="false" outlineLevel="0" collapsed="false">
      <c r="A59" s="47" t="n">
        <v>55</v>
      </c>
      <c r="B59" s="48" t="n">
        <v>46430</v>
      </c>
      <c r="C59" s="49" t="s">
        <v>838</v>
      </c>
      <c r="D59" s="6" t="s">
        <v>839</v>
      </c>
      <c r="E59" s="7" t="s">
        <v>840</v>
      </c>
      <c r="F59" s="47" t="n">
        <v>67</v>
      </c>
      <c r="G59" s="48" t="n">
        <v>46434</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841</v>
      </c>
      <c r="D60" s="6" t="s">
        <v>842</v>
      </c>
      <c r="E60" s="7" t="s">
        <v>843</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844</v>
      </c>
      <c r="D61" s="6" t="s">
        <v>845</v>
      </c>
      <c r="E61" s="7" t="s">
        <v>846</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847</v>
      </c>
      <c r="D62" s="6" t="s">
        <v>848</v>
      </c>
      <c r="E62" s="7" t="s">
        <v>849</v>
      </c>
      <c r="F62" s="47" t="n">
        <v>67</v>
      </c>
      <c r="G62" s="48" t="n">
        <v>46447</v>
      </c>
      <c r="H62" s="50"/>
      <c r="I62" s="50"/>
      <c r="J62" s="7" t="str">
        <f aca="true">IF(I62="✓","done",IF(TODAY()&lt;B62,"upcoming",IF(TODAY()&lt;G62,"open","due — check scores")))</f>
        <v>upcoming</v>
      </c>
      <c r="K62" s="51"/>
    </row>
    <row r="63" customFormat="false" ht="23.85" hidden="false" customHeight="false" outlineLevel="0" collapsed="false">
      <c r="A63" s="47" t="n">
        <v>59</v>
      </c>
      <c r="B63" s="48" t="n">
        <v>46447</v>
      </c>
      <c r="C63" s="49" t="s">
        <v>850</v>
      </c>
      <c r="D63" s="6" t="s">
        <v>851</v>
      </c>
      <c r="E63" s="7" t="s">
        <v>852</v>
      </c>
      <c r="F63" s="47" t="n">
        <v>67</v>
      </c>
      <c r="G63" s="48" t="n">
        <v>46448</v>
      </c>
      <c r="H63" s="50"/>
      <c r="I63" s="50"/>
      <c r="J63" s="7" t="str">
        <f aca="true">IF(I63="✓","done",IF(TODAY()&lt;B63,"upcoming",IF(TODAY()&lt;G63,"open","due — check scores")))</f>
        <v>upcoming</v>
      </c>
      <c r="K63" s="51"/>
    </row>
    <row r="64" customFormat="false" ht="23.85" hidden="false" customHeight="false" outlineLevel="0" collapsed="false">
      <c r="A64" s="47" t="n">
        <v>60</v>
      </c>
      <c r="B64" s="48" t="n">
        <v>46448</v>
      </c>
      <c r="C64" s="49" t="s">
        <v>853</v>
      </c>
      <c r="D64" s="6" t="s">
        <v>854</v>
      </c>
      <c r="E64" s="7" t="s">
        <v>855</v>
      </c>
      <c r="F64" s="47" t="n">
        <v>67</v>
      </c>
      <c r="G64" s="48" t="n">
        <v>46449</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856</v>
      </c>
      <c r="D65" s="6" t="s">
        <v>857</v>
      </c>
      <c r="E65" s="7" t="s">
        <v>858</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859</v>
      </c>
      <c r="D66" s="6" t="s">
        <v>860</v>
      </c>
      <c r="E66" s="7" t="s">
        <v>861</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862</v>
      </c>
      <c r="D67" s="6" t="s">
        <v>863</v>
      </c>
      <c r="E67" s="7" t="s">
        <v>864</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865</v>
      </c>
      <c r="D68" s="6" t="s">
        <v>866</v>
      </c>
      <c r="E68" s="7" t="s">
        <v>867</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868</v>
      </c>
      <c r="D69" s="6" t="s">
        <v>869</v>
      </c>
      <c r="E69" s="7" t="s">
        <v>870</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871</v>
      </c>
      <c r="D70" s="6" t="s">
        <v>872</v>
      </c>
      <c r="E70" s="7" t="s">
        <v>873</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874</v>
      </c>
      <c r="D71" s="6" t="s">
        <v>875</v>
      </c>
      <c r="E71" s="7" t="s">
        <v>876</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877</v>
      </c>
      <c r="D72" s="6" t="s">
        <v>878</v>
      </c>
      <c r="E72" s="7" t="s">
        <v>879</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880</v>
      </c>
      <c r="D73" s="6" t="s">
        <v>881</v>
      </c>
      <c r="E73" s="7" t="s">
        <v>882</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883</v>
      </c>
      <c r="D74" s="6" t="s">
        <v>884</v>
      </c>
      <c r="E74" s="7" t="s">
        <v>885</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886</v>
      </c>
      <c r="D75" s="6" t="s">
        <v>887</v>
      </c>
      <c r="E75" s="7" t="s">
        <v>888</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889</v>
      </c>
      <c r="D76" s="6" t="s">
        <v>890</v>
      </c>
      <c r="E76" s="7" t="s">
        <v>891</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892</v>
      </c>
      <c r="D77" s="6" t="s">
        <v>893</v>
      </c>
      <c r="E77" s="7" t="s">
        <v>894</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895</v>
      </c>
      <c r="D78" s="6" t="s">
        <v>896</v>
      </c>
      <c r="E78" s="7" t="s">
        <v>897</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898</v>
      </c>
      <c r="D79" s="6" t="s">
        <v>899</v>
      </c>
      <c r="E79" s="7" t="s">
        <v>900</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901</v>
      </c>
      <c r="D80" s="6" t="s">
        <v>902</v>
      </c>
      <c r="E80" s="7" t="s">
        <v>903</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904</v>
      </c>
      <c r="D81" s="6" t="s">
        <v>905</v>
      </c>
      <c r="E81" s="7" t="s">
        <v>906</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907</v>
      </c>
      <c r="D82" s="6" t="s">
        <v>908</v>
      </c>
      <c r="E82" s="7" t="s">
        <v>909</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910</v>
      </c>
      <c r="D83" s="6" t="s">
        <v>911</v>
      </c>
      <c r="E83" s="7" t="s">
        <v>912</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913</v>
      </c>
      <c r="D84" s="6" t="s">
        <v>914</v>
      </c>
      <c r="E84" s="7" t="s">
        <v>915</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916</v>
      </c>
      <c r="D85" s="6" t="s">
        <v>917</v>
      </c>
      <c r="E85" s="7" t="s">
        <v>918</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919</v>
      </c>
      <c r="D86" s="6" t="s">
        <v>920</v>
      </c>
      <c r="E86" s="7" t="s">
        <v>921</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8" display="T-A1 Thread A: the same laws with variable bases (14.1–14.2)"/>
    <hyperlink ref="C12" location="'Scope &amp; Sequence'!D9" display="T-A2 Thread A: negative exponents and multiple laws, variable bases (14.3–14.4)"/>
    <hyperlink ref="C13" location="'Scope &amp; Sequence'!D10" display="3.08 Large numbers in scientific notation"/>
    <hyperlink ref="C14" location="'Scope &amp; Sequence'!D11" display="3.09 Small numbers in scientific notation; how many times larger"/>
    <hyperlink ref="C15" location="'Scope &amp; Sequence'!D16" display="4.01 Add and subtract in scientific notation"/>
    <hyperlink ref="C16" location="'Scope &amp; Sequence'!D17" display="4.02+03 Multiply and divide in scientific notation"/>
    <hyperlink ref="C17" location="'Scope &amp; Sequence'!D18" display="4.04 Real-world scientific notation; significant digits"/>
    <hyperlink ref="C18" location="'Scope &amp; Sequence'!D19" display="4.05–4.06 (2 lessons) Expressions with radicals (perfect squares to 225, cubes −125 to 125)"/>
    <hyperlink ref="C19" location="'Scope &amp; Sequence'!D21" display="4.07+08 Real-world order-of-operations problems"/>
    <hyperlink ref="C20" location="'Scope &amp; Sequence'!D25" display="5.01 Scale drawings"/>
    <hyperlink ref="C21" location="'Scope &amp; Sequence'!D26" display="5.02+03 Scale factor: perimeter and area (k and k²)"/>
    <hyperlink ref="C22" location="'Scope &amp; Sequence'!D27" display="5.04 Real-world scale drawings"/>
    <hyperlink ref="C23" location="'Scope &amp; Sequence'!D28" display="5.06+07–5.08+09 (2 lessons) Converting length across systems; currency"/>
    <hyperlink ref="C24" location="'Scope &amp; Sequence'!D30"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67" display="10.01 Proportional relationships revisited (linear ⇒ proportional?)"/>
    <hyperlink ref="C46" location="'Scope &amp; Sequence'!D68" display="10.02+03 Slope from two points, graphs, tables"/>
    <hyperlink ref="C47" location="'Scope &amp; Sequence'!D69" display="10.04 Slope in context"/>
    <hyperlink ref="C48" location="'Scope &amp; Sequence'!D70" display="10.05 Slope-intercept form; graph a line"/>
    <hyperlink ref="C49" location="'Scope &amp; Sequence'!D71" display="10.06 Graphing from tables and contexts"/>
    <hyperlink ref="C50" location="'Scope &amp; Sequence'!D72" display="10.07+08 Interpreting slope and intercept (graphs, equations, tables, descriptions; F↔C)"/>
    <hyperlink ref="C51" location="'Scope &amp; Sequence'!D73" display="10.09 Writing equations of lines"/>
    <hyperlink ref="C52" location="'Scope &amp; Sequence'!D74" display="10.10 Writing equations for contexts; lines of fit preview"/>
    <hyperlink ref="C53" location="'Scope &amp; Sequence'!D78" display="11.01 Equations with like terms and the distributive property"/>
    <hyperlink ref="C54" location="'Scope &amp; Sequence'!D79" display="11.02 Variables on both sides"/>
    <hyperlink ref="C55" location="'Scope &amp; Sequence'!D80" display="11.03 One, none, infinitely many solutions"/>
    <hyperlink ref="C56" location="'Scope &amp; Sequence'!D81" display="11.04 Multi-step equations"/>
    <hyperlink ref="C57" location="'Scope &amp; Sequence'!D82" display="11.05+06 Systems: which points are solutions; how many solutions"/>
    <hyperlink ref="C58" location="'Scope &amp; Sequence'!D83" display="11.07 Solving systems by graphing"/>
    <hyperlink ref="C59" location="'Scope &amp; Sequence'!D84"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4" display="12.07 Functions from equations, tables, graphs"/>
    <hyperlink ref="C64" location="'Scope &amp; Sequence'!D95"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922</v>
      </c>
      <c r="C1" s="9" t="s">
        <v>923</v>
      </c>
      <c r="D1" s="9" t="s">
        <v>924</v>
      </c>
      <c r="E1" s="9" t="s">
        <v>925</v>
      </c>
      <c r="F1" s="9" t="s">
        <v>926</v>
      </c>
      <c r="G1" s="9" t="s">
        <v>927</v>
      </c>
      <c r="H1" s="9" t="s">
        <v>928</v>
      </c>
      <c r="I1" s="9" t="s">
        <v>929</v>
      </c>
      <c r="J1" s="9" t="s">
        <v>930</v>
      </c>
      <c r="K1" s="9" t="s">
        <v>931</v>
      </c>
    </row>
    <row r="2" customFormat="false" ht="46.25" hidden="false" customHeight="false" outlineLevel="0" collapsed="false">
      <c r="A2" s="5" t="s">
        <v>932</v>
      </c>
      <c r="B2" s="47" t="n">
        <v>7</v>
      </c>
      <c r="C2" s="6" t="s">
        <v>933</v>
      </c>
      <c r="D2" s="6" t="s">
        <v>934</v>
      </c>
      <c r="E2" s="47" t="s">
        <v>935</v>
      </c>
      <c r="F2" s="6" t="s">
        <v>936</v>
      </c>
      <c r="G2" s="52"/>
      <c r="H2" s="52"/>
      <c r="I2" s="6"/>
      <c r="J2" s="47" t="str">
        <f aca="false">IF(SUMIF('Unit tests'!$E:$E,A2,'Unit tests'!$C:$C)=0,"",SUMIF('Unit tests'!$E:$E,A2,'Unit tests'!$C:$C))</f>
        <v/>
      </c>
      <c r="K2" s="6"/>
    </row>
    <row r="3" customFormat="false" ht="35.05" hidden="false" customHeight="false" outlineLevel="0" collapsed="false">
      <c r="A3" s="5" t="s">
        <v>937</v>
      </c>
      <c r="B3" s="47" t="n">
        <v>7</v>
      </c>
      <c r="C3" s="6" t="s">
        <v>938</v>
      </c>
      <c r="D3" s="6" t="s">
        <v>939</v>
      </c>
      <c r="E3" s="47" t="s">
        <v>935</v>
      </c>
      <c r="F3" s="6" t="s">
        <v>936</v>
      </c>
      <c r="G3" s="52"/>
      <c r="H3" s="52"/>
      <c r="I3" s="6"/>
      <c r="J3" s="47" t="str">
        <f aca="false">IF(SUMIF('Unit tests'!$E:$E,A3,'Unit tests'!$C:$C)=0,"",SUMIF('Unit tests'!$E:$E,A3,'Unit tests'!$C:$C))</f>
        <v/>
      </c>
      <c r="K3" s="6"/>
    </row>
    <row r="4" customFormat="false" ht="35.05" hidden="false" customHeight="false" outlineLevel="0" collapsed="false">
      <c r="A4" s="5" t="s">
        <v>940</v>
      </c>
      <c r="B4" s="47" t="n">
        <v>8</v>
      </c>
      <c r="C4" s="6" t="s">
        <v>941</v>
      </c>
      <c r="D4" s="6" t="s">
        <v>942</v>
      </c>
      <c r="E4" s="47" t="s">
        <v>935</v>
      </c>
      <c r="F4" s="6" t="s">
        <v>936</v>
      </c>
      <c r="G4" s="52"/>
      <c r="H4" s="52"/>
      <c r="I4" s="6" t="s">
        <v>943</v>
      </c>
      <c r="J4" s="47" t="str">
        <f aca="false">IF(SUMIF('Unit tests'!$E:$E,A4,'Unit tests'!$C:$C)=0,"",SUMIF('Unit tests'!$E:$E,A4,'Unit tests'!$C:$C))</f>
        <v/>
      </c>
      <c r="K4" s="6"/>
    </row>
    <row r="5" customFormat="false" ht="68.65" hidden="false" customHeight="false" outlineLevel="0" collapsed="false">
      <c r="A5" s="5" t="s">
        <v>944</v>
      </c>
      <c r="B5" s="47" t="n">
        <v>8</v>
      </c>
      <c r="C5" s="6" t="s">
        <v>945</v>
      </c>
      <c r="D5" s="6" t="s">
        <v>946</v>
      </c>
      <c r="E5" s="47" t="s">
        <v>947</v>
      </c>
      <c r="F5" s="6" t="s">
        <v>948</v>
      </c>
      <c r="G5" s="52"/>
      <c r="H5" s="52"/>
      <c r="I5" s="6" t="s">
        <v>943</v>
      </c>
      <c r="J5" s="47" t="str">
        <f aca="false">IF(SUMIF('Unit tests'!$E:$E,A5,'Unit tests'!$C:$C)=0,"",SUMIF('Unit tests'!$E:$E,A5,'Unit tests'!$C:$C))</f>
        <v/>
      </c>
      <c r="K5" s="6"/>
    </row>
    <row r="6" customFormat="false" ht="57.45" hidden="false" customHeight="false" outlineLevel="0" collapsed="false">
      <c r="A6" s="5" t="s">
        <v>949</v>
      </c>
      <c r="B6" s="47" t="n">
        <v>8</v>
      </c>
      <c r="C6" s="6" t="s">
        <v>950</v>
      </c>
      <c r="D6" s="6" t="s">
        <v>951</v>
      </c>
      <c r="E6" s="47" t="s">
        <v>947</v>
      </c>
      <c r="F6" s="6" t="s">
        <v>948</v>
      </c>
      <c r="G6" s="52"/>
      <c r="H6" s="52"/>
      <c r="I6" s="6" t="s">
        <v>952</v>
      </c>
      <c r="J6" s="47" t="str">
        <f aca="false">IF(SUMIF('Unit tests'!$E:$E,A6,'Unit tests'!$C:$C)=0,"",SUMIF('Unit tests'!$E:$E,A6,'Unit tests'!$C:$C))</f>
        <v/>
      </c>
      <c r="K6" s="6"/>
    </row>
    <row r="7" customFormat="false" ht="46.25" hidden="false" customHeight="false" outlineLevel="0" collapsed="false">
      <c r="A7" s="5" t="s">
        <v>953</v>
      </c>
      <c r="B7" s="47" t="n">
        <v>8</v>
      </c>
      <c r="C7" s="6" t="s">
        <v>954</v>
      </c>
      <c r="D7" s="6" t="s">
        <v>955</v>
      </c>
      <c r="E7" s="47" t="s">
        <v>947</v>
      </c>
      <c r="F7" s="6" t="s">
        <v>948</v>
      </c>
      <c r="G7" s="52"/>
      <c r="H7" s="52"/>
      <c r="I7" s="6" t="s">
        <v>952</v>
      </c>
      <c r="J7" s="47" t="str">
        <f aca="false">IF(SUMIF('Unit tests'!$E:$E,A7,'Unit tests'!$C:$C)=0,"",SUMIF('Unit tests'!$E:$E,A7,'Unit tests'!$C:$C))</f>
        <v/>
      </c>
      <c r="K7" s="6"/>
    </row>
    <row r="8" customFormat="false" ht="35.05" hidden="false" customHeight="false" outlineLevel="0" collapsed="false">
      <c r="A8" s="5" t="s">
        <v>956</v>
      </c>
      <c r="B8" s="47" t="n">
        <v>7</v>
      </c>
      <c r="C8" s="6" t="s">
        <v>957</v>
      </c>
      <c r="D8" s="6" t="s">
        <v>958</v>
      </c>
      <c r="E8" s="47" t="s">
        <v>959</v>
      </c>
      <c r="F8" s="6" t="s">
        <v>960</v>
      </c>
      <c r="G8" s="52" t="n">
        <v>46288</v>
      </c>
      <c r="H8" s="52" t="n">
        <v>46290</v>
      </c>
      <c r="I8" s="6"/>
      <c r="J8" s="47" t="n">
        <f aca="false">IF(SUMIF('Unit tests'!$E:$E,A8,'Unit tests'!$C:$C)=0,"",SUMIF('Unit tests'!$E:$E,A8,'Unit tests'!$C:$C))</f>
        <v>9</v>
      </c>
      <c r="K8" s="6" t="s">
        <v>961</v>
      </c>
    </row>
    <row r="9" customFormat="false" ht="68.65" hidden="false" customHeight="false" outlineLevel="0" collapsed="false">
      <c r="A9" s="5" t="s">
        <v>962</v>
      </c>
      <c r="B9" s="47" t="n">
        <v>8</v>
      </c>
      <c r="C9" s="6" t="s">
        <v>963</v>
      </c>
      <c r="D9" s="6" t="s">
        <v>964</v>
      </c>
      <c r="E9" s="47" t="s">
        <v>959</v>
      </c>
      <c r="F9" s="6" t="s">
        <v>965</v>
      </c>
      <c r="G9" s="52" t="n">
        <v>46288</v>
      </c>
      <c r="H9" s="52" t="n">
        <v>46295</v>
      </c>
      <c r="I9" s="6" t="s">
        <v>952</v>
      </c>
      <c r="J9" s="47" t="n">
        <f aca="false">IF(SUMIF('Unit tests'!$E:$E,A9,'Unit tests'!$C:$C)=0,"",SUMIF('Unit tests'!$E:$E,A9,'Unit tests'!$C:$C))</f>
        <v>11</v>
      </c>
      <c r="K9" s="6" t="s">
        <v>966</v>
      </c>
    </row>
    <row r="10" customFormat="false" ht="35.05" hidden="false" customHeight="false" outlineLevel="0" collapsed="false">
      <c r="A10" s="5" t="s">
        <v>967</v>
      </c>
      <c r="B10" s="47" t="n">
        <v>8</v>
      </c>
      <c r="C10" s="6" t="s">
        <v>968</v>
      </c>
      <c r="D10" s="6" t="s">
        <v>969</v>
      </c>
      <c r="E10" s="47" t="s">
        <v>970</v>
      </c>
      <c r="F10" s="6" t="s">
        <v>971</v>
      </c>
      <c r="G10" s="52" t="n">
        <v>46296</v>
      </c>
      <c r="H10" s="52" t="n">
        <v>46477</v>
      </c>
      <c r="I10" s="6" t="s">
        <v>972</v>
      </c>
      <c r="J10" s="47" t="n">
        <f aca="false">IF(SUMIF('Unit tests'!$E:$E,A10,'Unit tests'!$C:$C)=0,"",SUMIF('Unit tests'!$E:$E,A10,'Unit tests'!$C:$C))</f>
        <v>9</v>
      </c>
      <c r="K10" s="6" t="s">
        <v>879</v>
      </c>
    </row>
    <row r="11" customFormat="false" ht="35.05" hidden="false" customHeight="false" outlineLevel="0" collapsed="false">
      <c r="A11" s="5" t="s">
        <v>973</v>
      </c>
      <c r="B11" s="47" t="n">
        <v>8</v>
      </c>
      <c r="C11" s="6" t="s">
        <v>974</v>
      </c>
      <c r="D11" s="6"/>
      <c r="E11" s="47" t="s">
        <v>959</v>
      </c>
      <c r="F11" s="6" t="s">
        <v>975</v>
      </c>
      <c r="G11" s="52" t="n">
        <v>46300</v>
      </c>
      <c r="H11" s="52" t="n">
        <v>46301</v>
      </c>
      <c r="I11" s="6" t="s">
        <v>952</v>
      </c>
      <c r="J11" s="47" t="n">
        <f aca="false">IF(SUMIF('Unit tests'!$E:$E,A11,'Unit tests'!$C:$C)=0,"",SUMIF('Unit tests'!$E:$E,A11,'Unit tests'!$C:$C))</f>
        <v>12</v>
      </c>
      <c r="K11" s="6" t="s">
        <v>976</v>
      </c>
    </row>
    <row r="12" customFormat="false" ht="23.85" hidden="false" customHeight="false" outlineLevel="0" collapsed="false">
      <c r="A12" s="5" t="s">
        <v>977</v>
      </c>
      <c r="B12" s="47" t="n">
        <v>8</v>
      </c>
      <c r="C12" s="6" t="s">
        <v>978</v>
      </c>
      <c r="D12" s="6" t="s">
        <v>979</v>
      </c>
      <c r="E12" s="47" t="s">
        <v>980</v>
      </c>
      <c r="F12" s="6" t="s">
        <v>981</v>
      </c>
      <c r="G12" s="52" t="n">
        <v>46309</v>
      </c>
      <c r="H12" s="52" t="n">
        <v>46310</v>
      </c>
      <c r="I12" s="6" t="s">
        <v>952</v>
      </c>
      <c r="J12" s="47" t="n">
        <f aca="false">IF(SUMIF('Unit tests'!$E:$E,A12,'Unit tests'!$C:$C)=0,"",SUMIF('Unit tests'!$E:$E,A12,'Unit tests'!$C:$C))</f>
        <v>12</v>
      </c>
      <c r="K12" s="6" t="s">
        <v>982</v>
      </c>
    </row>
    <row r="13" customFormat="false" ht="46.25" hidden="false" customHeight="false" outlineLevel="0" collapsed="false">
      <c r="A13" s="5" t="s">
        <v>983</v>
      </c>
      <c r="B13" s="47" t="n">
        <v>8</v>
      </c>
      <c r="C13" s="6" t="s">
        <v>984</v>
      </c>
      <c r="D13" s="6" t="s">
        <v>985</v>
      </c>
      <c r="E13" s="47" t="s">
        <v>980</v>
      </c>
      <c r="F13" s="6" t="s">
        <v>986</v>
      </c>
      <c r="G13" s="52" t="n">
        <v>46311</v>
      </c>
      <c r="H13" s="52" t="n">
        <v>46311</v>
      </c>
      <c r="I13" s="6" t="s">
        <v>952</v>
      </c>
      <c r="J13" s="47" t="n">
        <f aca="false">IF(SUMIF('Unit tests'!$E:$E,A13,'Unit tests'!$C:$C)=0,"",SUMIF('Unit tests'!$E:$E,A13,'Unit tests'!$C:$C))</f>
        <v>9</v>
      </c>
      <c r="K13" s="6" t="s">
        <v>714</v>
      </c>
    </row>
    <row r="14" customFormat="false" ht="46.25" hidden="false" customHeight="false" outlineLevel="0" collapsed="false">
      <c r="A14" s="5" t="s">
        <v>987</v>
      </c>
      <c r="B14" s="47" t="n">
        <v>8</v>
      </c>
      <c r="C14" s="6" t="s">
        <v>988</v>
      </c>
      <c r="D14" s="6" t="s">
        <v>989</v>
      </c>
      <c r="E14" s="47" t="s">
        <v>980</v>
      </c>
      <c r="F14" s="6" t="s">
        <v>990</v>
      </c>
      <c r="G14" s="52" t="n">
        <v>46314</v>
      </c>
      <c r="H14" s="52" t="n">
        <v>46316</v>
      </c>
      <c r="I14" s="6" t="s">
        <v>952</v>
      </c>
      <c r="J14" s="47" t="n">
        <f aca="false">IF(SUMIF('Unit tests'!$E:$E,A14,'Unit tests'!$C:$C)=0,"",SUMIF('Unit tests'!$E:$E,A14,'Unit tests'!$C:$C))</f>
        <v>13</v>
      </c>
      <c r="K14" s="6" t="s">
        <v>991</v>
      </c>
    </row>
    <row r="15" customFormat="false" ht="35.05" hidden="false" customHeight="false" outlineLevel="0" collapsed="false">
      <c r="A15" s="5" t="s">
        <v>992</v>
      </c>
      <c r="B15" s="47" t="n">
        <v>7</v>
      </c>
      <c r="C15" s="6" t="s">
        <v>993</v>
      </c>
      <c r="D15" s="6" t="s">
        <v>994</v>
      </c>
      <c r="E15" s="47" t="s">
        <v>995</v>
      </c>
      <c r="F15" s="6" t="s">
        <v>996</v>
      </c>
      <c r="G15" s="52" t="n">
        <v>46322</v>
      </c>
      <c r="H15" s="52" t="n">
        <v>46324</v>
      </c>
      <c r="I15" s="6"/>
      <c r="J15" s="47" t="str">
        <f aca="false">IF(SUMIF('Unit tests'!$E:$E,A15,'Unit tests'!$C:$C)=0,"",SUMIF('Unit tests'!$E:$E,A15,'Unit tests'!$C:$C))</f>
        <v/>
      </c>
      <c r="K15" s="6" t="s">
        <v>997</v>
      </c>
    </row>
    <row r="16" customFormat="false" ht="23.85" hidden="false" customHeight="false" outlineLevel="0" collapsed="false">
      <c r="A16" s="5" t="s">
        <v>998</v>
      </c>
      <c r="B16" s="47" t="n">
        <v>7</v>
      </c>
      <c r="C16" s="6" t="s">
        <v>999</v>
      </c>
      <c r="D16" s="6" t="s">
        <v>1000</v>
      </c>
      <c r="E16" s="47" t="s">
        <v>995</v>
      </c>
      <c r="F16" s="6" t="s">
        <v>1001</v>
      </c>
      <c r="G16" s="52" t="n">
        <v>46325</v>
      </c>
      <c r="H16" s="52" t="n">
        <v>46329</v>
      </c>
      <c r="I16" s="6"/>
      <c r="J16" s="47" t="str">
        <f aca="false">IF(SUMIF('Unit tests'!$E:$E,A16,'Unit tests'!$C:$C)=0,"",SUMIF('Unit tests'!$E:$E,A16,'Unit tests'!$C:$C))</f>
        <v/>
      </c>
      <c r="K16" s="6" t="s">
        <v>1002</v>
      </c>
    </row>
    <row r="17" customFormat="false" ht="15" hidden="false" customHeight="false" outlineLevel="0" collapsed="false">
      <c r="A17" s="5" t="s">
        <v>1003</v>
      </c>
      <c r="B17" s="47" t="n">
        <v>7</v>
      </c>
      <c r="C17" s="6" t="s">
        <v>1004</v>
      </c>
      <c r="D17" s="6"/>
      <c r="E17" s="47" t="s">
        <v>1005</v>
      </c>
      <c r="F17" s="6" t="s">
        <v>1006</v>
      </c>
      <c r="G17" s="52" t="n">
        <v>46329</v>
      </c>
      <c r="H17" s="52" t="n">
        <v>46365</v>
      </c>
      <c r="I17" s="6"/>
      <c r="J17" s="47" t="str">
        <f aca="false">IF(SUMIF('Unit tests'!$E:$E,A17,'Unit tests'!$C:$C)=0,"",SUMIF('Unit tests'!$E:$E,A17,'Unit tests'!$C:$C))</f>
        <v/>
      </c>
      <c r="K17" s="6" t="s">
        <v>1007</v>
      </c>
    </row>
    <row r="18" customFormat="false" ht="46.25" hidden="false" customHeight="false" outlineLevel="0" collapsed="false">
      <c r="A18" s="5" t="s">
        <v>1008</v>
      </c>
      <c r="B18" s="47" t="n">
        <v>8</v>
      </c>
      <c r="C18" s="6" t="s">
        <v>1009</v>
      </c>
      <c r="D18" s="6"/>
      <c r="E18" s="47" t="s">
        <v>1010</v>
      </c>
      <c r="F18" s="6" t="s">
        <v>1011</v>
      </c>
      <c r="G18" s="52" t="n">
        <v>46335</v>
      </c>
      <c r="H18" s="52" t="n">
        <v>46335</v>
      </c>
      <c r="I18" s="6" t="s">
        <v>943</v>
      </c>
      <c r="J18" s="47" t="str">
        <f aca="false">IF(SUMIF('Unit tests'!$E:$E,A18,'Unit tests'!$C:$C)=0,"",SUMIF('Unit tests'!$E:$E,A18,'Unit tests'!$C:$C))</f>
        <v/>
      </c>
      <c r="K18" s="6" t="s">
        <v>738</v>
      </c>
    </row>
    <row r="19" customFormat="false" ht="57.45" hidden="false" customHeight="false" outlineLevel="0" collapsed="false">
      <c r="A19" s="5" t="s">
        <v>1012</v>
      </c>
      <c r="B19" s="47" t="n">
        <v>8</v>
      </c>
      <c r="C19" s="6" t="s">
        <v>1013</v>
      </c>
      <c r="D19" s="6" t="s">
        <v>1014</v>
      </c>
      <c r="E19" s="47" t="s">
        <v>1010</v>
      </c>
      <c r="F19" s="6" t="s">
        <v>1015</v>
      </c>
      <c r="G19" s="52" t="n">
        <v>46336</v>
      </c>
      <c r="H19" s="52" t="n">
        <v>46338</v>
      </c>
      <c r="I19" s="6" t="s">
        <v>943</v>
      </c>
      <c r="J19" s="47" t="str">
        <f aca="false">IF(SUMIF('Unit tests'!$E:$E,A19,'Unit tests'!$C:$C)=0,"",SUMIF('Unit tests'!$E:$E,A19,'Unit tests'!$C:$C))</f>
        <v/>
      </c>
      <c r="K19" s="6" t="s">
        <v>1016</v>
      </c>
    </row>
    <row r="20" customFormat="false" ht="46.25" hidden="false" customHeight="false" outlineLevel="0" collapsed="false">
      <c r="A20" s="5" t="s">
        <v>1017</v>
      </c>
      <c r="B20" s="47" t="n">
        <v>8</v>
      </c>
      <c r="C20" s="6" t="s">
        <v>1018</v>
      </c>
      <c r="D20" s="6" t="s">
        <v>1019</v>
      </c>
      <c r="E20" s="47" t="s">
        <v>1010</v>
      </c>
      <c r="F20" s="6" t="s">
        <v>1020</v>
      </c>
      <c r="G20" s="52" t="n">
        <v>46339</v>
      </c>
      <c r="H20" s="52" t="n">
        <v>46342</v>
      </c>
      <c r="I20" s="6" t="s">
        <v>943</v>
      </c>
      <c r="J20" s="47" t="str">
        <f aca="false">IF(SUMIF('Unit tests'!$E:$E,A20,'Unit tests'!$C:$C)=0,"",SUMIF('Unit tests'!$E:$E,A20,'Unit tests'!$C:$C))</f>
        <v/>
      </c>
      <c r="K20" s="6" t="s">
        <v>1021</v>
      </c>
    </row>
    <row r="21" customFormat="false" ht="23.85" hidden="false" customHeight="false" outlineLevel="0" collapsed="false">
      <c r="A21" s="5" t="s">
        <v>1022</v>
      </c>
      <c r="B21" s="47" t="n">
        <v>8</v>
      </c>
      <c r="C21" s="6" t="s">
        <v>1023</v>
      </c>
      <c r="D21" s="6"/>
      <c r="E21" s="47" t="s">
        <v>1024</v>
      </c>
      <c r="F21" s="6" t="s">
        <v>1025</v>
      </c>
      <c r="G21" s="52" t="n">
        <v>46343</v>
      </c>
      <c r="H21" s="52" t="n">
        <v>46497</v>
      </c>
      <c r="I21" s="6" t="s">
        <v>943</v>
      </c>
      <c r="J21" s="47" t="str">
        <f aca="false">IF(SUMIF('Unit tests'!$E:$E,A21,'Unit tests'!$C:$C)=0,"",SUMIF('Unit tests'!$E:$E,A21,'Unit tests'!$C:$C))</f>
        <v/>
      </c>
      <c r="K21" s="6" t="s">
        <v>912</v>
      </c>
    </row>
    <row r="22" customFormat="false" ht="23.85" hidden="false" customHeight="false" outlineLevel="0" collapsed="false">
      <c r="A22" s="5" t="s">
        <v>1026</v>
      </c>
      <c r="B22" s="47" t="n">
        <v>8</v>
      </c>
      <c r="C22" s="6" t="s">
        <v>1027</v>
      </c>
      <c r="D22" s="6" t="s">
        <v>1028</v>
      </c>
      <c r="E22" s="47" t="s">
        <v>1024</v>
      </c>
      <c r="F22" s="6" t="s">
        <v>1029</v>
      </c>
      <c r="G22" s="52" t="n">
        <v>46344</v>
      </c>
      <c r="H22" s="52" t="n">
        <v>46497</v>
      </c>
      <c r="I22" s="6" t="s">
        <v>943</v>
      </c>
      <c r="J22" s="47" t="str">
        <f aca="false">IF(SUMIF('Unit tests'!$E:$E,A22,'Unit tests'!$C:$C)=0,"",SUMIF('Unit tests'!$E:$E,A22,'Unit tests'!$C:$C))</f>
        <v/>
      </c>
      <c r="K22" s="6" t="s">
        <v>1030</v>
      </c>
    </row>
    <row r="23" customFormat="false" ht="23.85" hidden="false" customHeight="false" outlineLevel="0" collapsed="false">
      <c r="A23" s="5" t="s">
        <v>1031</v>
      </c>
      <c r="B23" s="47" t="n">
        <v>8</v>
      </c>
      <c r="C23" s="6" t="s">
        <v>1032</v>
      </c>
      <c r="D23" s="6"/>
      <c r="E23" s="47" t="s">
        <v>1010</v>
      </c>
      <c r="F23" s="6" t="s">
        <v>1033</v>
      </c>
      <c r="G23" s="52" t="n">
        <v>46345</v>
      </c>
      <c r="H23" s="52" t="n">
        <v>46345</v>
      </c>
      <c r="I23" s="6"/>
      <c r="J23" s="47" t="str">
        <f aca="false">IF(SUMIF('Unit tests'!$E:$E,A23,'Unit tests'!$C:$C)=0,"",SUMIF('Unit tests'!$E:$E,A23,'Unit tests'!$C:$C))</f>
        <v/>
      </c>
      <c r="K23" s="6" t="s">
        <v>759</v>
      </c>
    </row>
    <row r="24" customFormat="false" ht="23.85" hidden="false" customHeight="false" outlineLevel="0" collapsed="false">
      <c r="A24" s="5" t="s">
        <v>1034</v>
      </c>
      <c r="B24" s="47" t="n">
        <v>7</v>
      </c>
      <c r="C24" s="6" t="s">
        <v>1035</v>
      </c>
      <c r="D24" s="6" t="s">
        <v>1036</v>
      </c>
      <c r="E24" s="47" t="s">
        <v>1037</v>
      </c>
      <c r="F24" s="6" t="s">
        <v>1038</v>
      </c>
      <c r="G24" s="52" t="n">
        <v>46359</v>
      </c>
      <c r="H24" s="52" t="n">
        <v>46359</v>
      </c>
      <c r="I24" s="6"/>
      <c r="J24" s="47" t="str">
        <f aca="false">IF(SUMIF('Unit tests'!$E:$E,A24,'Unit tests'!$C:$C)=0,"",SUMIF('Unit tests'!$E:$E,A24,'Unit tests'!$C:$C))</f>
        <v/>
      </c>
      <c r="K24" s="6" t="s">
        <v>762</v>
      </c>
    </row>
    <row r="25" customFormat="false" ht="35.05" hidden="false" customHeight="false" outlineLevel="0" collapsed="false">
      <c r="A25" s="5" t="s">
        <v>1039</v>
      </c>
      <c r="B25" s="47" t="n">
        <v>7</v>
      </c>
      <c r="C25" s="6" t="s">
        <v>1040</v>
      </c>
      <c r="D25" s="6"/>
      <c r="E25" s="47" t="s">
        <v>1037</v>
      </c>
      <c r="F25" s="6" t="s">
        <v>1041</v>
      </c>
      <c r="G25" s="52" t="n">
        <v>46360</v>
      </c>
      <c r="H25" s="52" t="n">
        <v>46360</v>
      </c>
      <c r="I25" s="6"/>
      <c r="J25" s="47" t="str">
        <f aca="false">IF(SUMIF('Unit tests'!$E:$E,A25,'Unit tests'!$C:$C)=0,"",SUMIF('Unit tests'!$E:$E,A25,'Unit tests'!$C:$C))</f>
        <v/>
      </c>
      <c r="K25" s="6" t="s">
        <v>765</v>
      </c>
    </row>
    <row r="26" customFormat="false" ht="23.85" hidden="false" customHeight="false" outlineLevel="0" collapsed="false">
      <c r="A26" s="5" t="s">
        <v>1042</v>
      </c>
      <c r="B26" s="47" t="n">
        <v>7</v>
      </c>
      <c r="C26" s="6" t="s">
        <v>1043</v>
      </c>
      <c r="D26" s="6"/>
      <c r="E26" s="47" t="s">
        <v>1037</v>
      </c>
      <c r="F26" s="6" t="s">
        <v>1044</v>
      </c>
      <c r="G26" s="52" t="n">
        <v>46363</v>
      </c>
      <c r="H26" s="52" t="n">
        <v>46363</v>
      </c>
      <c r="I26" s="6"/>
      <c r="J26" s="47" t="str">
        <f aca="false">IF(SUMIF('Unit tests'!$E:$E,A26,'Unit tests'!$C:$C)=0,"",SUMIF('Unit tests'!$E:$E,A26,'Unit tests'!$C:$C))</f>
        <v/>
      </c>
      <c r="K26" s="6" t="s">
        <v>768</v>
      </c>
    </row>
    <row r="27" customFormat="false" ht="68.65" hidden="false" customHeight="false" outlineLevel="0" collapsed="false">
      <c r="A27" s="5" t="s">
        <v>1045</v>
      </c>
      <c r="B27" s="47" t="n">
        <v>8</v>
      </c>
      <c r="C27" s="6" t="s">
        <v>1046</v>
      </c>
      <c r="D27" s="6" t="s">
        <v>1047</v>
      </c>
      <c r="E27" s="47" t="s">
        <v>1048</v>
      </c>
      <c r="F27" s="6" t="s">
        <v>1049</v>
      </c>
      <c r="G27" s="52" t="n">
        <v>46363</v>
      </c>
      <c r="H27" s="52" t="n">
        <v>46448</v>
      </c>
      <c r="I27" s="6" t="s">
        <v>972</v>
      </c>
      <c r="J27" s="47" t="str">
        <f aca="false">IF(SUMIF('Unit tests'!$E:$E,A27,'Unit tests'!$C:$C)=0,"",SUMIF('Unit tests'!$E:$E,A27,'Unit tests'!$C:$C))</f>
        <v/>
      </c>
      <c r="K27" s="6" t="s">
        <v>1050</v>
      </c>
    </row>
    <row r="28" customFormat="false" ht="23.85" hidden="false" customHeight="false" outlineLevel="0" collapsed="false">
      <c r="A28" s="5" t="s">
        <v>1051</v>
      </c>
      <c r="B28" s="47" t="n">
        <v>7</v>
      </c>
      <c r="C28" s="6" t="s">
        <v>1052</v>
      </c>
      <c r="D28" s="6" t="s">
        <v>1053</v>
      </c>
      <c r="E28" s="47" t="s">
        <v>1037</v>
      </c>
      <c r="F28" s="6" t="s">
        <v>1054</v>
      </c>
      <c r="G28" s="52" t="n">
        <v>46364</v>
      </c>
      <c r="H28" s="52" t="n">
        <v>46364</v>
      </c>
      <c r="I28" s="6"/>
      <c r="J28" s="47" t="str">
        <f aca="false">IF(SUMIF('Unit tests'!$E:$E,A28,'Unit tests'!$C:$C)=0,"",SUMIF('Unit tests'!$E:$E,A28,'Unit tests'!$C:$C))</f>
        <v/>
      </c>
      <c r="K28" s="6" t="s">
        <v>771</v>
      </c>
    </row>
    <row r="29" customFormat="false" ht="35.05" hidden="false" customHeight="false" outlineLevel="0" collapsed="false">
      <c r="A29" s="5" t="s">
        <v>1055</v>
      </c>
      <c r="B29" s="47" t="n">
        <v>7</v>
      </c>
      <c r="C29" s="6" t="s">
        <v>1056</v>
      </c>
      <c r="D29" s="6" t="s">
        <v>1057</v>
      </c>
      <c r="E29" s="47" t="s">
        <v>1058</v>
      </c>
      <c r="F29" s="6" t="s">
        <v>1059</v>
      </c>
      <c r="G29" s="52" t="n">
        <v>46373</v>
      </c>
      <c r="H29" s="52" t="n">
        <v>46374</v>
      </c>
      <c r="I29" s="6"/>
      <c r="J29" s="47" t="str">
        <f aca="false">IF(SUMIF('Unit tests'!$E:$E,A29,'Unit tests'!$C:$C)=0,"",SUMIF('Unit tests'!$E:$E,A29,'Unit tests'!$C:$C))</f>
        <v/>
      </c>
      <c r="K29" s="6" t="s">
        <v>1060</v>
      </c>
    </row>
    <row r="30" customFormat="false" ht="23.85" hidden="false" customHeight="false" outlineLevel="0" collapsed="false">
      <c r="A30" s="5" t="s">
        <v>1061</v>
      </c>
      <c r="B30" s="47" t="n">
        <v>7</v>
      </c>
      <c r="C30" s="6" t="s">
        <v>1062</v>
      </c>
      <c r="D30" s="6" t="s">
        <v>1063</v>
      </c>
      <c r="E30" s="47" t="s">
        <v>1058</v>
      </c>
      <c r="F30" s="6" t="s">
        <v>1064</v>
      </c>
      <c r="G30" s="52" t="n">
        <v>46393</v>
      </c>
      <c r="H30" s="52" t="n">
        <v>46395</v>
      </c>
      <c r="I30" s="6"/>
      <c r="J30" s="47" t="str">
        <f aca="false">IF(SUMIF('Unit tests'!$E:$E,A30,'Unit tests'!$C:$C)=0,"",SUMIF('Unit tests'!$E:$E,A30,'Unit tests'!$C:$C))</f>
        <v/>
      </c>
      <c r="K30" s="6" t="s">
        <v>1065</v>
      </c>
    </row>
    <row r="31" customFormat="false" ht="23.85" hidden="false" customHeight="false" outlineLevel="0" collapsed="false">
      <c r="A31" s="5" t="s">
        <v>1066</v>
      </c>
      <c r="B31" s="47" t="n">
        <v>7</v>
      </c>
      <c r="C31" s="6" t="s">
        <v>1067</v>
      </c>
      <c r="D31" s="6" t="s">
        <v>1068</v>
      </c>
      <c r="E31" s="47" t="s">
        <v>1058</v>
      </c>
      <c r="F31" s="6" t="s">
        <v>1069</v>
      </c>
      <c r="G31" s="52" t="n">
        <v>46395</v>
      </c>
      <c r="H31" s="52" t="n">
        <v>46395</v>
      </c>
      <c r="I31" s="6"/>
      <c r="J31" s="47" t="str">
        <f aca="false">IF(SUMIF('Unit tests'!$E:$E,A31,'Unit tests'!$C:$C)=0,"",SUMIF('Unit tests'!$E:$E,A31,'Unit tests'!$C:$C))</f>
        <v/>
      </c>
      <c r="K31" s="6" t="s">
        <v>789</v>
      </c>
    </row>
    <row r="32" customFormat="false" ht="23.85" hidden="false" customHeight="false" outlineLevel="0" collapsed="false">
      <c r="A32" s="5" t="s">
        <v>1070</v>
      </c>
      <c r="B32" s="47" t="n">
        <v>7</v>
      </c>
      <c r="C32" s="6" t="s">
        <v>1071</v>
      </c>
      <c r="D32" s="6" t="s">
        <v>1072</v>
      </c>
      <c r="E32" s="47" t="s">
        <v>1073</v>
      </c>
      <c r="F32" s="6" t="s">
        <v>1074</v>
      </c>
      <c r="G32" s="52" t="n">
        <v>46398</v>
      </c>
      <c r="H32" s="52" t="n">
        <v>46398</v>
      </c>
      <c r="I32" s="6"/>
      <c r="J32" s="47" t="str">
        <f aca="false">IF(SUMIF('Unit tests'!$E:$E,A32,'Unit tests'!$C:$C)=0,"",SUMIF('Unit tests'!$E:$E,A32,'Unit tests'!$C:$C))</f>
        <v/>
      </c>
      <c r="K32" s="6" t="s">
        <v>792</v>
      </c>
    </row>
    <row r="33" customFormat="false" ht="15" hidden="false" customHeight="false" outlineLevel="0" collapsed="false">
      <c r="A33" s="5" t="s">
        <v>1075</v>
      </c>
      <c r="B33" s="47" t="n">
        <v>7</v>
      </c>
      <c r="C33" s="6" t="s">
        <v>1076</v>
      </c>
      <c r="D33" s="6" t="s">
        <v>1077</v>
      </c>
      <c r="E33" s="47" t="s">
        <v>1073</v>
      </c>
      <c r="F33" s="6" t="s">
        <v>1074</v>
      </c>
      <c r="G33" s="52" t="n">
        <v>46398</v>
      </c>
      <c r="H33" s="52" t="n">
        <v>46398</v>
      </c>
      <c r="I33" s="6"/>
      <c r="J33" s="47" t="str">
        <f aca="false">IF(SUMIF('Unit tests'!$E:$E,A33,'Unit tests'!$C:$C)=0,"",SUMIF('Unit tests'!$E:$E,A33,'Unit tests'!$C:$C))</f>
        <v/>
      </c>
      <c r="K33" s="6" t="s">
        <v>792</v>
      </c>
    </row>
    <row r="34" customFormat="false" ht="46.25" hidden="false" customHeight="false" outlineLevel="0" collapsed="false">
      <c r="A34" s="5" t="s">
        <v>1078</v>
      </c>
      <c r="B34" s="47" t="n">
        <v>7</v>
      </c>
      <c r="C34" s="6" t="s">
        <v>1079</v>
      </c>
      <c r="D34" s="6" t="s">
        <v>1080</v>
      </c>
      <c r="E34" s="47" t="s">
        <v>1073</v>
      </c>
      <c r="F34" s="6" t="s">
        <v>1081</v>
      </c>
      <c r="G34" s="52" t="n">
        <v>46399</v>
      </c>
      <c r="H34" s="52" t="n">
        <v>46399</v>
      </c>
      <c r="I34" s="6"/>
      <c r="J34" s="47" t="str">
        <f aca="false">IF(SUMIF('Unit tests'!$E:$E,A34,'Unit tests'!$C:$C)=0,"",SUMIF('Unit tests'!$E:$E,A34,'Unit tests'!$C:$C))</f>
        <v/>
      </c>
      <c r="K34" s="6" t="s">
        <v>795</v>
      </c>
    </row>
    <row r="35" customFormat="false" ht="68.65" hidden="false" customHeight="false" outlineLevel="0" collapsed="false">
      <c r="A35" s="5" t="s">
        <v>1082</v>
      </c>
      <c r="B35" s="47" t="n">
        <v>8</v>
      </c>
      <c r="C35" s="6" t="s">
        <v>1083</v>
      </c>
      <c r="D35" s="6" t="s">
        <v>1084</v>
      </c>
      <c r="E35" s="47" t="s">
        <v>1085</v>
      </c>
      <c r="F35" s="6" t="s">
        <v>1086</v>
      </c>
      <c r="G35" s="52" t="n">
        <v>46408</v>
      </c>
      <c r="H35" s="52" t="n">
        <v>46409</v>
      </c>
      <c r="I35" s="6" t="s">
        <v>972</v>
      </c>
      <c r="J35" s="47" t="str">
        <f aca="false">IF(SUMIF('Unit tests'!$E:$E,A35,'Unit tests'!$C:$C)=0,"",SUMIF('Unit tests'!$E:$E,A35,'Unit tests'!$C:$C))</f>
        <v/>
      </c>
      <c r="K35" s="6" t="s">
        <v>1087</v>
      </c>
    </row>
    <row r="36" customFormat="false" ht="57.45" hidden="false" customHeight="false" outlineLevel="0" collapsed="false">
      <c r="A36" s="5" t="s">
        <v>1088</v>
      </c>
      <c r="B36" s="47" t="n">
        <v>8</v>
      </c>
      <c r="C36" s="6" t="s">
        <v>1089</v>
      </c>
      <c r="D36" s="6" t="s">
        <v>1090</v>
      </c>
      <c r="E36" s="47" t="s">
        <v>1091</v>
      </c>
      <c r="F36" s="6" t="s">
        <v>1092</v>
      </c>
      <c r="G36" s="52" t="n">
        <v>46409</v>
      </c>
      <c r="H36" s="52" t="n">
        <v>46463</v>
      </c>
      <c r="I36" s="6" t="s">
        <v>972</v>
      </c>
      <c r="J36" s="47" t="str">
        <f aca="false">IF(SUMIF('Unit tests'!$E:$E,A36,'Unit tests'!$C:$C)=0,"",SUMIF('Unit tests'!$E:$E,A36,'Unit tests'!$C:$C))</f>
        <v/>
      </c>
      <c r="K36" s="6" t="s">
        <v>1093</v>
      </c>
    </row>
    <row r="37" customFormat="false" ht="35.05" hidden="false" customHeight="false" outlineLevel="0" collapsed="false">
      <c r="A37" s="5" t="s">
        <v>1094</v>
      </c>
      <c r="B37" s="47" t="n">
        <v>8</v>
      </c>
      <c r="C37" s="6" t="s">
        <v>1095</v>
      </c>
      <c r="D37" s="6" t="s">
        <v>1096</v>
      </c>
      <c r="E37" s="47" t="s">
        <v>1085</v>
      </c>
      <c r="F37" s="6" t="s">
        <v>1097</v>
      </c>
      <c r="G37" s="52" t="n">
        <v>46412</v>
      </c>
      <c r="H37" s="52" t="n">
        <v>46413</v>
      </c>
      <c r="I37" s="6" t="s">
        <v>972</v>
      </c>
      <c r="J37" s="47" t="str">
        <f aca="false">IF(SUMIF('Unit tests'!$E:$E,A37,'Unit tests'!$C:$C)=0,"",SUMIF('Unit tests'!$E:$E,A37,'Unit tests'!$C:$C))</f>
        <v/>
      </c>
      <c r="K37" s="6" t="s">
        <v>1098</v>
      </c>
    </row>
    <row r="38" customFormat="false" ht="46.25" hidden="false" customHeight="false" outlineLevel="0" collapsed="false">
      <c r="A38" s="5" t="s">
        <v>1099</v>
      </c>
      <c r="B38" s="47" t="n">
        <v>8</v>
      </c>
      <c r="C38" s="6" t="s">
        <v>1100</v>
      </c>
      <c r="D38" s="6" t="s">
        <v>1101</v>
      </c>
      <c r="E38" s="47" t="s">
        <v>1085</v>
      </c>
      <c r="F38" s="6" t="s">
        <v>1102</v>
      </c>
      <c r="G38" s="52" t="n">
        <v>46415</v>
      </c>
      <c r="H38" s="52" t="n">
        <v>46416</v>
      </c>
      <c r="I38" s="6" t="s">
        <v>972</v>
      </c>
      <c r="J38" s="47" t="str">
        <f aca="false">IF(SUMIF('Unit tests'!$E:$E,A38,'Unit tests'!$C:$C)=0,"",SUMIF('Unit tests'!$E:$E,A38,'Unit tests'!$C:$C))</f>
        <v/>
      </c>
      <c r="K38" s="6" t="s">
        <v>1103</v>
      </c>
    </row>
    <row r="39" customFormat="false" ht="35.05" hidden="false" customHeight="false" outlineLevel="0" collapsed="false">
      <c r="A39" s="5" t="s">
        <v>1104</v>
      </c>
      <c r="B39" s="47" t="n">
        <v>8</v>
      </c>
      <c r="C39" s="6" t="s">
        <v>1105</v>
      </c>
      <c r="D39" s="6" t="s">
        <v>1106</v>
      </c>
      <c r="E39" s="47" t="s">
        <v>1107</v>
      </c>
      <c r="F39" s="6" t="s">
        <v>1108</v>
      </c>
      <c r="G39" s="52" t="n">
        <v>46422</v>
      </c>
      <c r="H39" s="52" t="n">
        <v>46427</v>
      </c>
      <c r="I39" s="6" t="s">
        <v>943</v>
      </c>
      <c r="J39" s="47" t="str">
        <f aca="false">IF(SUMIF('Unit tests'!$E:$E,A39,'Unit tests'!$C:$C)=0,"",SUMIF('Unit tests'!$E:$E,A39,'Unit tests'!$C:$C))</f>
        <v/>
      </c>
      <c r="K39" s="6" t="s">
        <v>1109</v>
      </c>
    </row>
    <row r="40" customFormat="false" ht="35.05" hidden="false" customHeight="false" outlineLevel="0" collapsed="false">
      <c r="A40" s="5" t="s">
        <v>1110</v>
      </c>
      <c r="B40" s="47" t="n">
        <v>8</v>
      </c>
      <c r="C40" s="6" t="s">
        <v>1111</v>
      </c>
      <c r="D40" s="6" t="s">
        <v>1112</v>
      </c>
      <c r="E40" s="47" t="s">
        <v>1107</v>
      </c>
      <c r="F40" s="6" t="s">
        <v>1113</v>
      </c>
      <c r="G40" s="52" t="n">
        <v>46428</v>
      </c>
      <c r="H40" s="52" t="n">
        <v>46428</v>
      </c>
      <c r="I40" s="6"/>
      <c r="J40" s="47" t="str">
        <f aca="false">IF(SUMIF('Unit tests'!$E:$E,A40,'Unit tests'!$C:$C)=0,"",SUMIF('Unit tests'!$E:$E,A40,'Unit tests'!$C:$C))</f>
        <v/>
      </c>
      <c r="K40" s="6" t="s">
        <v>834</v>
      </c>
    </row>
    <row r="41" customFormat="false" ht="35.05" hidden="false" customHeight="false" outlineLevel="0" collapsed="false">
      <c r="A41" s="5" t="s">
        <v>1114</v>
      </c>
      <c r="B41" s="47" t="n">
        <v>8</v>
      </c>
      <c r="C41" s="6" t="s">
        <v>1115</v>
      </c>
      <c r="D41" s="6"/>
      <c r="E41" s="47" t="s">
        <v>1107</v>
      </c>
      <c r="F41" s="6" t="s">
        <v>1113</v>
      </c>
      <c r="G41" s="52" t="n">
        <v>46428</v>
      </c>
      <c r="H41" s="52" t="n">
        <v>46428</v>
      </c>
      <c r="I41" s="6"/>
      <c r="J41" s="47" t="str">
        <f aca="false">IF(SUMIF('Unit tests'!$E:$E,A41,'Unit tests'!$C:$C)=0,"",SUMIF('Unit tests'!$E:$E,A41,'Unit tests'!$C:$C))</f>
        <v/>
      </c>
      <c r="K41" s="6" t="s">
        <v>834</v>
      </c>
    </row>
    <row r="42" customFormat="false" ht="68.65" hidden="false" customHeight="false" outlineLevel="0" collapsed="false">
      <c r="A42" s="5" t="s">
        <v>1116</v>
      </c>
      <c r="B42" s="47" t="n">
        <v>8</v>
      </c>
      <c r="C42" s="6" t="s">
        <v>1117</v>
      </c>
      <c r="D42" s="6" t="s">
        <v>1118</v>
      </c>
      <c r="E42" s="47" t="s">
        <v>1107</v>
      </c>
      <c r="F42" s="6" t="s">
        <v>1119</v>
      </c>
      <c r="G42" s="52" t="n">
        <v>46429</v>
      </c>
      <c r="H42" s="52" t="n">
        <v>46430</v>
      </c>
      <c r="I42" s="6"/>
      <c r="J42" s="47" t="str">
        <f aca="false">IF(SUMIF('Unit tests'!$E:$E,A42,'Unit tests'!$C:$C)=0,"",SUMIF('Unit tests'!$E:$E,A42,'Unit tests'!$C:$C))</f>
        <v/>
      </c>
      <c r="K42" s="6" t="s">
        <v>1120</v>
      </c>
    </row>
    <row r="43" customFormat="false" ht="113.4" hidden="false" customHeight="false" outlineLevel="0" collapsed="false">
      <c r="A43" s="5" t="s">
        <v>1121</v>
      </c>
      <c r="B43" s="47" t="n">
        <v>8</v>
      </c>
      <c r="C43" s="6" t="s">
        <v>1122</v>
      </c>
      <c r="D43" s="6" t="s">
        <v>1123</v>
      </c>
      <c r="E43" s="47" t="s">
        <v>1124</v>
      </c>
      <c r="F43" s="6" t="s">
        <v>1125</v>
      </c>
      <c r="G43" s="52" t="n">
        <v>46441</v>
      </c>
      <c r="H43" s="52" t="n">
        <v>46442</v>
      </c>
      <c r="I43" s="6"/>
      <c r="J43" s="47" t="str">
        <f aca="false">IF(SUMIF('Unit tests'!$E:$E,A43,'Unit tests'!$C:$C)=0,"",SUMIF('Unit tests'!$E:$E,A43,'Unit tests'!$C:$C))</f>
        <v/>
      </c>
      <c r="K43" s="6" t="s">
        <v>1126</v>
      </c>
    </row>
    <row r="44" customFormat="false" ht="57.45" hidden="false" customHeight="false" outlineLevel="0" collapsed="false">
      <c r="A44" s="5" t="s">
        <v>1127</v>
      </c>
      <c r="B44" s="47" t="n">
        <v>8</v>
      </c>
      <c r="C44" s="6" t="s">
        <v>1128</v>
      </c>
      <c r="D44" s="6" t="s">
        <v>1129</v>
      </c>
      <c r="E44" s="47" t="s">
        <v>1124</v>
      </c>
      <c r="F44" s="6" t="s">
        <v>1130</v>
      </c>
      <c r="G44" s="52" t="n">
        <v>46443</v>
      </c>
      <c r="H44" s="52" t="n">
        <v>46444</v>
      </c>
      <c r="I44" s="6"/>
      <c r="J44" s="47" t="str">
        <f aca="false">IF(SUMIF('Unit tests'!$E:$E,A44,'Unit tests'!$C:$C)=0,"",SUMIF('Unit tests'!$E:$E,A44,'Unit tests'!$C:$C))</f>
        <v/>
      </c>
      <c r="K44" s="6" t="s">
        <v>849</v>
      </c>
    </row>
    <row r="45" customFormat="false" ht="35.05" hidden="false" customHeight="false" outlineLevel="0" collapsed="false">
      <c r="A45" s="5" t="s">
        <v>1131</v>
      </c>
      <c r="B45" s="47" t="n">
        <v>8</v>
      </c>
      <c r="C45" s="6" t="s">
        <v>1132</v>
      </c>
      <c r="D45" s="6" t="s">
        <v>1133</v>
      </c>
      <c r="E45" s="47" t="s">
        <v>1124</v>
      </c>
      <c r="F45" s="6" t="s">
        <v>1134</v>
      </c>
      <c r="G45" s="52" t="n">
        <v>46447</v>
      </c>
      <c r="H45" s="52" t="n">
        <v>46448</v>
      </c>
      <c r="I45" s="6"/>
      <c r="J45" s="47" t="str">
        <f aca="false">IF(SUMIF('Unit tests'!$E:$E,A45,'Unit tests'!$C:$C)=0,"",SUMIF('Unit tests'!$E:$E,A45,'Unit tests'!$C:$C))</f>
        <v/>
      </c>
      <c r="K45" s="6" t="s">
        <v>1135</v>
      </c>
    </row>
    <row r="46" customFormat="false" ht="23.85" hidden="false" customHeight="false" outlineLevel="0" collapsed="false">
      <c r="A46" s="5" t="s">
        <v>1136</v>
      </c>
      <c r="B46" s="47" t="n">
        <v>7</v>
      </c>
      <c r="C46" s="6" t="s">
        <v>1137</v>
      </c>
      <c r="D46" s="6" t="s">
        <v>1138</v>
      </c>
      <c r="E46" s="47" t="s">
        <v>1139</v>
      </c>
      <c r="F46" s="6" t="s">
        <v>1140</v>
      </c>
      <c r="G46" s="52" t="n">
        <v>46457</v>
      </c>
      <c r="H46" s="52" t="n">
        <v>46457</v>
      </c>
      <c r="I46" s="6"/>
      <c r="J46" s="47" t="str">
        <f aca="false">IF(SUMIF('Unit tests'!$E:$E,A46,'Unit tests'!$C:$C)=0,"",SUMIF('Unit tests'!$E:$E,A46,'Unit tests'!$C:$C))</f>
        <v/>
      </c>
      <c r="K46" s="6" t="s">
        <v>858</v>
      </c>
    </row>
    <row r="47" customFormat="false" ht="35.05" hidden="false" customHeight="false" outlineLevel="0" collapsed="false">
      <c r="A47" s="5" t="s">
        <v>1141</v>
      </c>
      <c r="B47" s="47" t="n">
        <v>8</v>
      </c>
      <c r="C47" s="6" t="s">
        <v>1142</v>
      </c>
      <c r="D47" s="6" t="s">
        <v>1143</v>
      </c>
      <c r="E47" s="47" t="s">
        <v>1139</v>
      </c>
      <c r="F47" s="6" t="s">
        <v>1144</v>
      </c>
      <c r="G47" s="52" t="n">
        <v>46458</v>
      </c>
      <c r="H47" s="52" t="n">
        <v>46461</v>
      </c>
      <c r="I47" s="6"/>
      <c r="J47" s="47" t="str">
        <f aca="false">IF(SUMIF('Unit tests'!$E:$E,A47,'Unit tests'!$C:$C)=0,"",SUMIF('Unit tests'!$E:$E,A47,'Unit tests'!$C:$C))</f>
        <v/>
      </c>
      <c r="K47" s="6" t="s">
        <v>1145</v>
      </c>
    </row>
    <row r="48" customFormat="false" ht="79.85" hidden="false" customHeight="false" outlineLevel="0" collapsed="false">
      <c r="A48" s="5" t="s">
        <v>1146</v>
      </c>
      <c r="B48" s="47" t="n">
        <v>8</v>
      </c>
      <c r="C48" s="6" t="s">
        <v>1147</v>
      </c>
      <c r="D48" s="6" t="s">
        <v>1148</v>
      </c>
      <c r="E48" s="47" t="s">
        <v>1139</v>
      </c>
      <c r="F48" s="6" t="s">
        <v>1149</v>
      </c>
      <c r="G48" s="52" t="n">
        <v>46461</v>
      </c>
      <c r="H48" s="52" t="n">
        <v>46462</v>
      </c>
      <c r="I48" s="6"/>
      <c r="J48" s="47" t="str">
        <f aca="false">IF(SUMIF('Unit tests'!$E:$E,A48,'Unit tests'!$C:$C)=0,"",SUMIF('Unit tests'!$E:$E,A48,'Unit tests'!$C:$C))</f>
        <v/>
      </c>
      <c r="K48" s="6" t="s">
        <v>1150</v>
      </c>
    </row>
    <row r="49" customFormat="false" ht="46.25" hidden="false" customHeight="false" outlineLevel="0" collapsed="false">
      <c r="A49" s="5" t="s">
        <v>1151</v>
      </c>
      <c r="B49" s="47" t="n">
        <v>8</v>
      </c>
      <c r="C49" s="6" t="s">
        <v>1152</v>
      </c>
      <c r="D49" s="6" t="s">
        <v>1153</v>
      </c>
      <c r="E49" s="47" t="s">
        <v>1139</v>
      </c>
      <c r="F49" s="6" t="s">
        <v>1154</v>
      </c>
      <c r="G49" s="52" t="n">
        <v>46462</v>
      </c>
      <c r="H49" s="52" t="n">
        <v>46463</v>
      </c>
      <c r="I49" s="6"/>
      <c r="J49" s="47" t="str">
        <f aca="false">IF(SUMIF('Unit tests'!$E:$E,A49,'Unit tests'!$C:$C)=0,"",SUMIF('Unit tests'!$E:$E,A49,'Unit tests'!$C:$C))</f>
        <v/>
      </c>
      <c r="K49" s="6" t="s">
        <v>1155</v>
      </c>
    </row>
    <row r="50" customFormat="false" ht="91" hidden="false" customHeight="false" outlineLevel="0" collapsed="false">
      <c r="A50" s="5" t="s">
        <v>1156</v>
      </c>
      <c r="B50" s="47" t="n">
        <v>8</v>
      </c>
      <c r="C50" s="6" t="s">
        <v>1157</v>
      </c>
      <c r="D50" s="6" t="s">
        <v>1158</v>
      </c>
      <c r="E50" s="47" t="s">
        <v>1159</v>
      </c>
      <c r="F50" s="6" t="s">
        <v>1160</v>
      </c>
      <c r="G50" s="52" t="n">
        <v>46464</v>
      </c>
      <c r="H50" s="52" t="n">
        <v>46503</v>
      </c>
      <c r="I50" s="6"/>
      <c r="J50" s="47" t="str">
        <f aca="false">IF(SUMIF('Unit tests'!$E:$E,A50,'Unit tests'!$C:$C)=0,"",SUMIF('Unit tests'!$E:$E,A50,'Unit tests'!$C:$C))</f>
        <v/>
      </c>
      <c r="K50" s="6" t="s">
        <v>918</v>
      </c>
    </row>
    <row r="51" customFormat="false" ht="46.25" hidden="false" customHeight="false" outlineLevel="0" collapsed="false">
      <c r="A51" s="5" t="s">
        <v>1161</v>
      </c>
      <c r="B51" s="47" t="n">
        <v>8</v>
      </c>
      <c r="C51" s="6" t="s">
        <v>1162</v>
      </c>
      <c r="D51" s="6" t="s">
        <v>1163</v>
      </c>
      <c r="E51" s="47" t="s">
        <v>1159</v>
      </c>
      <c r="F51" s="6" t="s">
        <v>1164</v>
      </c>
      <c r="G51" s="52" t="n">
        <v>46465</v>
      </c>
      <c r="H51" s="52" t="n">
        <v>46503</v>
      </c>
      <c r="I51" s="6"/>
      <c r="J51" s="47" t="str">
        <f aca="false">IF(SUMIF('Unit tests'!$E:$E,A51,'Unit tests'!$C:$C)=0,"",SUMIF('Unit tests'!$E:$E,A51,'Unit tests'!$C:$C))</f>
        <v/>
      </c>
      <c r="K51" s="6" t="s">
        <v>1165</v>
      </c>
    </row>
    <row r="52" customFormat="false" ht="23.85" hidden="false" customHeight="false" outlineLevel="0" collapsed="false">
      <c r="A52" s="5" t="s">
        <v>1166</v>
      </c>
      <c r="B52" s="47" t="n">
        <v>8</v>
      </c>
      <c r="C52" s="6" t="s">
        <v>1167</v>
      </c>
      <c r="D52" s="6" t="s">
        <v>1168</v>
      </c>
      <c r="E52" s="47" t="s">
        <v>1169</v>
      </c>
      <c r="F52" s="6" t="s">
        <v>1170</v>
      </c>
      <c r="G52" s="52" t="n">
        <v>46478</v>
      </c>
      <c r="H52" s="52" t="n">
        <v>46478</v>
      </c>
      <c r="I52" s="6"/>
      <c r="J52" s="47" t="str">
        <f aca="false">IF(SUMIF('Unit tests'!$E:$E,A52,'Unit tests'!$C:$C)=0,"",SUMIF('Unit tests'!$E:$E,A52,'Unit tests'!$C:$C))</f>
        <v/>
      </c>
      <c r="K52" s="6" t="s">
        <v>882</v>
      </c>
    </row>
    <row r="53" customFormat="false" ht="35.05" hidden="false" customHeight="false" outlineLevel="0" collapsed="false">
      <c r="A53" s="5" t="s">
        <v>1171</v>
      </c>
      <c r="B53" s="47" t="n">
        <v>8</v>
      </c>
      <c r="C53" s="6" t="s">
        <v>1172</v>
      </c>
      <c r="D53" s="6"/>
      <c r="E53" s="47" t="s">
        <v>1169</v>
      </c>
      <c r="F53" s="6" t="s">
        <v>1173</v>
      </c>
      <c r="G53" s="52" t="n">
        <v>46479</v>
      </c>
      <c r="H53" s="52" t="n">
        <v>46479</v>
      </c>
      <c r="I53" s="6"/>
      <c r="J53" s="47" t="str">
        <f aca="false">IF(SUMIF('Unit tests'!$E:$E,A53,'Unit tests'!$C:$C)=0,"",SUMIF('Unit tests'!$E:$E,A53,'Unit tests'!$C:$C))</f>
        <v/>
      </c>
      <c r="K53" s="6" t="s">
        <v>885</v>
      </c>
    </row>
    <row r="54" customFormat="false" ht="68.65" hidden="false" customHeight="false" outlineLevel="0" collapsed="false">
      <c r="A54" s="5" t="s">
        <v>1174</v>
      </c>
      <c r="B54" s="47" t="n">
        <v>8</v>
      </c>
      <c r="C54" s="6" t="s">
        <v>1175</v>
      </c>
      <c r="D54" s="6" t="s">
        <v>1176</v>
      </c>
      <c r="E54" s="47" t="s">
        <v>1177</v>
      </c>
      <c r="F54" s="6" t="s">
        <v>1178</v>
      </c>
      <c r="G54" s="52" t="n">
        <v>46484</v>
      </c>
      <c r="H54" s="52" t="n">
        <v>46491</v>
      </c>
      <c r="I54" s="6"/>
      <c r="J54" s="47" t="str">
        <f aca="false">IF(SUMIF('Unit tests'!$E:$E,A54,'Unit tests'!$C:$C)=0,"",SUMIF('Unit tests'!$E:$E,A54,'Unit tests'!$C:$C))</f>
        <v/>
      </c>
      <c r="K54" s="6" t="s">
        <v>1179</v>
      </c>
    </row>
    <row r="55" customFormat="false" ht="91" hidden="false" customHeight="false" outlineLevel="0" collapsed="false">
      <c r="A55" s="5" t="s">
        <v>1180</v>
      </c>
      <c r="B55" s="47" t="n">
        <v>8</v>
      </c>
      <c r="C55" s="6" t="s">
        <v>1181</v>
      </c>
      <c r="D55" s="6" t="s">
        <v>1182</v>
      </c>
      <c r="E55" s="47" t="s">
        <v>1177</v>
      </c>
      <c r="F55" s="6" t="s">
        <v>1183</v>
      </c>
      <c r="G55" s="52" t="n">
        <v>46486</v>
      </c>
      <c r="H55" s="52" t="n">
        <v>46496</v>
      </c>
      <c r="I55" s="6"/>
      <c r="J55" s="47" t="str">
        <f aca="false">IF(SUMIF('Unit tests'!$E:$E,A55,'Unit tests'!$C:$C)=0,"",SUMIF('Unit tests'!$E:$E,A55,'Unit tests'!$C:$C))</f>
        <v/>
      </c>
      <c r="K55" s="6" t="s">
        <v>1184</v>
      </c>
    </row>
    <row r="56" customFormat="false" ht="57.45" hidden="false" customHeight="false" outlineLevel="0" collapsed="false">
      <c r="A56" s="5" t="s">
        <v>1185</v>
      </c>
      <c r="B56" s="47" t="n">
        <v>8</v>
      </c>
      <c r="C56" s="6" t="s">
        <v>1186</v>
      </c>
      <c r="D56" s="6" t="s">
        <v>1187</v>
      </c>
      <c r="E56" s="47" t="s">
        <v>1177</v>
      </c>
      <c r="F56" s="6" t="s">
        <v>1188</v>
      </c>
      <c r="G56" s="52" t="n">
        <v>46492</v>
      </c>
      <c r="H56" s="52" t="n">
        <v>46492</v>
      </c>
      <c r="I56" s="6"/>
      <c r="J56" s="47" t="str">
        <f aca="false">IF(SUMIF('Unit tests'!$E:$E,A56,'Unit tests'!$C:$C)=0,"",SUMIF('Unit tests'!$E:$E,A56,'Unit tests'!$C:$C))</f>
        <v/>
      </c>
      <c r="K56" s="6" t="s">
        <v>906</v>
      </c>
    </row>
    <row r="57" customFormat="false" ht="35.05" hidden="false" customHeight="false" outlineLevel="0" collapsed="false">
      <c r="A57" s="5" t="s">
        <v>1189</v>
      </c>
      <c r="B57" s="47" t="n">
        <v>8</v>
      </c>
      <c r="C57" s="6" t="s">
        <v>1190</v>
      </c>
      <c r="D57" s="6" t="s">
        <v>1191</v>
      </c>
      <c r="E57" s="47" t="s">
        <v>1192</v>
      </c>
      <c r="F57" s="6" t="s">
        <v>1193</v>
      </c>
      <c r="G57" s="52" t="n">
        <v>46498</v>
      </c>
      <c r="H57" s="52" t="n">
        <v>46498</v>
      </c>
      <c r="I57" s="6" t="s">
        <v>943</v>
      </c>
      <c r="J57" s="47" t="str">
        <f aca="false">IF(SUMIF('Unit tests'!$E:$E,A57,'Unit tests'!$C:$C)=0,"",SUMIF('Unit tests'!$E:$E,A57,'Unit tests'!$C:$C))</f>
        <v/>
      </c>
      <c r="K57" s="6" t="s">
        <v>915</v>
      </c>
    </row>
    <row r="58" customFormat="false" ht="68.65" hidden="false" customHeight="false" outlineLevel="0" collapsed="false">
      <c r="A58" s="5" t="s">
        <v>1194</v>
      </c>
      <c r="B58" s="47" t="n">
        <v>8</v>
      </c>
      <c r="C58" s="6" t="s">
        <v>1195</v>
      </c>
      <c r="D58" s="6" t="s">
        <v>1196</v>
      </c>
      <c r="E58" s="47" t="s">
        <v>1197</v>
      </c>
      <c r="F58" s="6" t="s">
        <v>1198</v>
      </c>
      <c r="G58" s="52" t="n">
        <v>46504</v>
      </c>
      <c r="H58" s="52" t="n">
        <v>46504</v>
      </c>
      <c r="I58" s="6"/>
      <c r="J58" s="47" t="str">
        <f aca="false">IF(SUMIF('Unit tests'!$E:$E,A58,'Unit tests'!$C:$C)=0,"",SUMIF('Unit tests'!$E:$E,A58,'Unit tests'!$C:$C))</f>
        <v/>
      </c>
      <c r="K58" s="6" t="s">
        <v>921</v>
      </c>
    </row>
    <row r="59" customFormat="false" ht="23.85" hidden="false" customHeight="false" outlineLevel="0" collapsed="false">
      <c r="A59" s="5" t="s">
        <v>1199</v>
      </c>
      <c r="B59" s="47" t="s">
        <v>1200</v>
      </c>
      <c r="C59" s="6" t="s">
        <v>1201</v>
      </c>
      <c r="D59" s="6"/>
      <c r="E59" s="47" t="s">
        <v>1202</v>
      </c>
      <c r="F59" s="6"/>
      <c r="G59" s="52"/>
      <c r="H59" s="52"/>
      <c r="I59" s="6" t="s">
        <v>1203</v>
      </c>
      <c r="J59" s="47" t="str">
        <f aca="false">IF(SUMIF('Unit tests'!$E:$E,A59,'Unit tests'!$C:$C)=0,"",SUMIF('Unit tests'!$E:$E,A59,'Unit tests'!$C:$C))</f>
        <v/>
      </c>
      <c r="K59" s="6"/>
    </row>
    <row r="60" customFormat="false" ht="23.85" hidden="false" customHeight="false" outlineLevel="0" collapsed="false">
      <c r="A60" s="5" t="s">
        <v>1204</v>
      </c>
      <c r="B60" s="47" t="s">
        <v>1200</v>
      </c>
      <c r="C60" s="6" t="s">
        <v>1201</v>
      </c>
      <c r="D60" s="6"/>
      <c r="E60" s="47" t="s">
        <v>1202</v>
      </c>
      <c r="F60" s="6"/>
      <c r="G60" s="52"/>
      <c r="H60" s="52"/>
      <c r="I60" s="6" t="s">
        <v>1203</v>
      </c>
      <c r="J60" s="47" t="str">
        <f aca="false">IF(SUMIF('Unit tests'!$E:$E,A60,'Unit tests'!$C:$C)=0,"",SUMIF('Unit tests'!$E:$E,A60,'Unit tests'!$C:$C))</f>
        <v/>
      </c>
      <c r="K60" s="6"/>
    </row>
    <row r="61" customFormat="false" ht="23.85" hidden="false" customHeight="false" outlineLevel="0" collapsed="false">
      <c r="A61" s="5" t="s">
        <v>1205</v>
      </c>
      <c r="B61" s="47" t="s">
        <v>1200</v>
      </c>
      <c r="C61" s="6" t="s">
        <v>1201</v>
      </c>
      <c r="D61" s="6"/>
      <c r="E61" s="47" t="s">
        <v>1202</v>
      </c>
      <c r="F61" s="6"/>
      <c r="G61" s="52"/>
      <c r="H61" s="52"/>
      <c r="I61" s="6" t="s">
        <v>1203</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1206</v>
      </c>
    </row>
    <row r="3" customFormat="false" ht="30" hidden="false" customHeight="true" outlineLevel="0" collapsed="false">
      <c r="A3" s="9" t="s">
        <v>29</v>
      </c>
      <c r="B3" s="9" t="s">
        <v>1207</v>
      </c>
      <c r="C3" s="9" t="s">
        <v>1208</v>
      </c>
      <c r="D3" s="9" t="s">
        <v>1209</v>
      </c>
      <c r="E3" s="9" t="s">
        <v>1210</v>
      </c>
      <c r="F3" s="9" t="s">
        <v>1211</v>
      </c>
      <c r="G3" s="9" t="s">
        <v>1212</v>
      </c>
      <c r="H3" s="9" t="s">
        <v>154</v>
      </c>
      <c r="I3" s="9" t="s">
        <v>1213</v>
      </c>
    </row>
    <row r="4" customFormat="false" ht="15" hidden="false" customHeight="false" outlineLevel="0" collapsed="false">
      <c r="A4" s="5" t="s">
        <v>1214</v>
      </c>
      <c r="B4" s="53" t="s">
        <v>1215</v>
      </c>
      <c r="C4" s="7"/>
      <c r="D4" s="47"/>
      <c r="E4" s="8" t="s">
        <v>41</v>
      </c>
      <c r="F4" s="8" t="s">
        <v>41</v>
      </c>
      <c r="G4" s="8" t="s">
        <v>41</v>
      </c>
      <c r="H4" s="8" t="s">
        <v>41</v>
      </c>
      <c r="I4" s="8" t="s">
        <v>41</v>
      </c>
    </row>
    <row r="5" customFormat="false" ht="15" hidden="false" customHeight="false" outlineLevel="0" collapsed="false">
      <c r="A5" s="5" t="s">
        <v>1216</v>
      </c>
      <c r="B5" s="53" t="s">
        <v>1215</v>
      </c>
      <c r="C5" s="7"/>
      <c r="D5" s="47"/>
      <c r="E5" s="8" t="s">
        <v>41</v>
      </c>
      <c r="F5" s="8" t="s">
        <v>41</v>
      </c>
      <c r="G5" s="8" t="s">
        <v>41</v>
      </c>
      <c r="H5" s="8" t="s">
        <v>41</v>
      </c>
      <c r="I5" s="8" t="s">
        <v>41</v>
      </c>
    </row>
    <row r="6" customFormat="false" ht="15" hidden="false" customHeight="false" outlineLevel="0" collapsed="false">
      <c r="A6" s="5" t="s">
        <v>1217</v>
      </c>
      <c r="B6" s="48" t="n">
        <v>46303</v>
      </c>
      <c r="C6" s="48" t="n">
        <v>46304</v>
      </c>
      <c r="D6" s="47" t="n">
        <f aca="false">C46</f>
        <v>41</v>
      </c>
      <c r="E6" s="8" t="s">
        <v>41</v>
      </c>
      <c r="F6" s="8" t="s">
        <v>41</v>
      </c>
      <c r="G6" s="8" t="s">
        <v>41</v>
      </c>
      <c r="H6" s="8" t="s">
        <v>41</v>
      </c>
      <c r="I6" s="8" t="s">
        <v>41</v>
      </c>
    </row>
    <row r="7" customFormat="false" ht="15" hidden="false" customHeight="false" outlineLevel="0" collapsed="false">
      <c r="A7" s="5" t="s">
        <v>1218</v>
      </c>
      <c r="B7" s="48" t="n">
        <v>46317</v>
      </c>
      <c r="C7" s="48" t="n">
        <v>46318</v>
      </c>
      <c r="D7" s="47" t="n">
        <f aca="false">C70</f>
        <v>34</v>
      </c>
      <c r="E7" s="8" t="s">
        <v>41</v>
      </c>
      <c r="F7" s="8" t="s">
        <v>41</v>
      </c>
      <c r="G7" s="8" t="s">
        <v>41</v>
      </c>
      <c r="H7" s="8" t="s">
        <v>41</v>
      </c>
      <c r="I7" s="8" t="s">
        <v>41</v>
      </c>
    </row>
    <row r="8" customFormat="false" ht="15" hidden="false" customHeight="false" outlineLevel="0" collapsed="false">
      <c r="A8" s="5" t="s">
        <v>1219</v>
      </c>
      <c r="B8" s="48" t="n">
        <v>46331</v>
      </c>
      <c r="C8" s="48" t="n">
        <v>46332</v>
      </c>
      <c r="D8" s="47"/>
      <c r="E8" s="53" t="s">
        <v>230</v>
      </c>
      <c r="F8" s="53"/>
      <c r="G8" s="53"/>
      <c r="H8" s="53"/>
      <c r="I8" s="53"/>
    </row>
    <row r="9" customFormat="false" ht="15" hidden="false" customHeight="false" outlineLevel="0" collapsed="false">
      <c r="A9" s="5" t="s">
        <v>1220</v>
      </c>
      <c r="B9" s="48" t="n">
        <v>46356</v>
      </c>
      <c r="C9" s="48" t="n">
        <v>46357</v>
      </c>
      <c r="D9" s="47"/>
      <c r="E9" s="53" t="s">
        <v>230</v>
      </c>
      <c r="F9" s="53"/>
      <c r="G9" s="53"/>
      <c r="H9" s="53"/>
      <c r="I9" s="53"/>
    </row>
    <row r="10" customFormat="false" ht="15" hidden="false" customHeight="false" outlineLevel="0" collapsed="false">
      <c r="A10" s="5" t="s">
        <v>1221</v>
      </c>
      <c r="B10" s="48" t="n">
        <v>46366</v>
      </c>
      <c r="C10" s="48" t="n">
        <v>46367</v>
      </c>
      <c r="D10" s="47"/>
      <c r="E10" s="53" t="s">
        <v>230</v>
      </c>
      <c r="F10" s="53"/>
      <c r="G10" s="53"/>
      <c r="H10" s="53"/>
      <c r="I10" s="53"/>
    </row>
    <row r="11" customFormat="false" ht="15" hidden="false" customHeight="false" outlineLevel="0" collapsed="false">
      <c r="A11" s="5" t="s">
        <v>1222</v>
      </c>
      <c r="B11" s="48" t="n">
        <v>46401</v>
      </c>
      <c r="C11" s="48" t="n">
        <v>46402</v>
      </c>
      <c r="D11" s="47"/>
      <c r="E11" s="53" t="s">
        <v>230</v>
      </c>
      <c r="F11" s="53"/>
      <c r="G11" s="53"/>
      <c r="H11" s="53"/>
      <c r="I11" s="53"/>
    </row>
    <row r="12" customFormat="false" ht="15" hidden="false" customHeight="false" outlineLevel="0" collapsed="false">
      <c r="A12" s="5" t="s">
        <v>1223</v>
      </c>
      <c r="B12" s="48" t="n">
        <v>46419</v>
      </c>
      <c r="C12" s="48" t="n">
        <v>46420</v>
      </c>
      <c r="D12" s="47"/>
      <c r="E12" s="53" t="s">
        <v>230</v>
      </c>
      <c r="F12" s="53"/>
      <c r="G12" s="53"/>
      <c r="H12" s="53"/>
      <c r="I12" s="53"/>
    </row>
    <row r="13" customFormat="false" ht="15" hidden="false" customHeight="false" outlineLevel="0" collapsed="false">
      <c r="A13" s="5" t="s">
        <v>1224</v>
      </c>
      <c r="B13" s="48" t="n">
        <v>46436</v>
      </c>
      <c r="C13" s="48" t="n">
        <v>46437</v>
      </c>
      <c r="D13" s="47"/>
      <c r="E13" s="53" t="s">
        <v>230</v>
      </c>
      <c r="F13" s="53"/>
      <c r="G13" s="53"/>
      <c r="H13" s="53"/>
      <c r="I13" s="53"/>
    </row>
    <row r="14" customFormat="false" ht="15" hidden="false" customHeight="false" outlineLevel="0" collapsed="false">
      <c r="A14" s="5" t="s">
        <v>1225</v>
      </c>
      <c r="B14" s="48" t="n">
        <v>46454</v>
      </c>
      <c r="C14" s="48" t="n">
        <v>46455</v>
      </c>
      <c r="D14" s="47"/>
      <c r="E14" s="53" t="s">
        <v>230</v>
      </c>
      <c r="F14" s="53"/>
      <c r="G14" s="53"/>
      <c r="H14" s="53"/>
      <c r="I14" s="53"/>
    </row>
    <row r="15" customFormat="false" ht="15" hidden="false" customHeight="false" outlineLevel="0" collapsed="false">
      <c r="A15" s="5" t="s">
        <v>1226</v>
      </c>
      <c r="B15" s="48" t="n">
        <v>46475</v>
      </c>
      <c r="C15" s="48" t="n">
        <v>46476</v>
      </c>
      <c r="D15" s="47"/>
      <c r="E15" s="53" t="s">
        <v>230</v>
      </c>
      <c r="F15" s="53"/>
      <c r="G15" s="53"/>
      <c r="H15" s="53"/>
      <c r="I15" s="53"/>
    </row>
    <row r="16" customFormat="false" ht="15" hidden="false" customHeight="false" outlineLevel="0" collapsed="false">
      <c r="A16" s="5" t="s">
        <v>1227</v>
      </c>
      <c r="B16" s="48" t="n">
        <v>46482</v>
      </c>
      <c r="C16" s="48" t="n">
        <v>46483</v>
      </c>
      <c r="D16" s="47"/>
      <c r="E16" s="53" t="s">
        <v>230</v>
      </c>
      <c r="F16" s="53"/>
      <c r="G16" s="53"/>
      <c r="H16" s="53"/>
      <c r="I16" s="53"/>
    </row>
    <row r="17" customFormat="false" ht="15" hidden="false" customHeight="false" outlineLevel="0" collapsed="false">
      <c r="A17" s="5" t="s">
        <v>1228</v>
      </c>
      <c r="B17" s="48" t="n">
        <v>46499</v>
      </c>
      <c r="C17" s="48" t="n">
        <v>46500</v>
      </c>
      <c r="D17" s="47"/>
      <c r="E17" s="53" t="s">
        <v>230</v>
      </c>
      <c r="F17" s="53"/>
      <c r="G17" s="53"/>
      <c r="H17" s="53"/>
      <c r="I17" s="53"/>
    </row>
    <row r="18" customFormat="false" ht="15" hidden="false" customHeight="false" outlineLevel="0" collapsed="false">
      <c r="A18" s="5" t="s">
        <v>1229</v>
      </c>
      <c r="B18" s="48" t="n">
        <v>46506</v>
      </c>
      <c r="C18" s="48" t="n">
        <v>46507</v>
      </c>
      <c r="D18" s="47"/>
      <c r="E18" s="53" t="s">
        <v>230</v>
      </c>
      <c r="F18" s="53"/>
      <c r="G18" s="53"/>
      <c r="H18" s="53"/>
      <c r="I18" s="53"/>
    </row>
    <row r="19" customFormat="false" ht="15" hidden="false" customHeight="false" outlineLevel="0" collapsed="false">
      <c r="A19" s="5" t="s">
        <v>1230</v>
      </c>
      <c r="B19" s="48" t="n">
        <v>46370</v>
      </c>
      <c r="C19" s="48" t="n">
        <v>46372</v>
      </c>
      <c r="D19" s="7"/>
      <c r="E19" s="53" t="s">
        <v>1231</v>
      </c>
      <c r="F19" s="53"/>
      <c r="G19" s="53"/>
      <c r="H19" s="53"/>
      <c r="I19" s="53"/>
    </row>
    <row r="20" customFormat="false" ht="15" hidden="false" customHeight="false" outlineLevel="0" collapsed="false">
      <c r="A20" s="5" t="s">
        <v>659</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1209</v>
      </c>
      <c r="D24" s="9" t="s">
        <v>1237</v>
      </c>
      <c r="E24" s="9" t="s">
        <v>6</v>
      </c>
      <c r="F24" s="9" t="s">
        <v>1238</v>
      </c>
      <c r="G24" s="9" t="s">
        <v>1239</v>
      </c>
      <c r="I24" s="54" t="s">
        <v>6</v>
      </c>
      <c r="J24" s="54" t="s">
        <v>1209</v>
      </c>
      <c r="K24" s="54" t="s">
        <v>1240</v>
      </c>
    </row>
    <row r="25" customFormat="false" ht="15" hidden="false" customHeight="false" outlineLevel="0" collapsed="false">
      <c r="A25" s="47" t="n">
        <v>1</v>
      </c>
      <c r="B25" s="47" t="s">
        <v>1241</v>
      </c>
      <c r="C25" s="47" t="n">
        <v>4</v>
      </c>
      <c r="D25" s="7" t="s">
        <v>1242</v>
      </c>
      <c r="E25" s="7" t="s">
        <v>956</v>
      </c>
      <c r="F25" s="7" t="s">
        <v>1236</v>
      </c>
      <c r="G25" s="47"/>
      <c r="I25" s="7" t="s">
        <v>956</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956</v>
      </c>
      <c r="F26" s="7" t="s">
        <v>1236</v>
      </c>
      <c r="G26" s="47"/>
      <c r="I26" s="7" t="s">
        <v>962</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956</v>
      </c>
      <c r="F27" s="7" t="s">
        <v>1244</v>
      </c>
      <c r="G27" s="47"/>
      <c r="I27" s="7" t="s">
        <v>967</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956</v>
      </c>
      <c r="F28" s="7" t="s">
        <v>1245</v>
      </c>
      <c r="G28" s="47"/>
      <c r="I28" s="7" t="s">
        <v>973</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962</v>
      </c>
      <c r="F29" s="7" t="s">
        <v>1236</v>
      </c>
      <c r="G29" s="47"/>
    </row>
    <row r="30" customFormat="false" ht="15" hidden="false" customHeight="false" outlineLevel="0" collapsed="false">
      <c r="A30" s="47" t="n">
        <v>6</v>
      </c>
      <c r="B30" s="47" t="s">
        <v>1241</v>
      </c>
      <c r="C30" s="47" t="n">
        <v>4</v>
      </c>
      <c r="D30" s="7" t="s">
        <v>1246</v>
      </c>
      <c r="E30" s="7" t="s">
        <v>962</v>
      </c>
      <c r="F30" s="7" t="s">
        <v>1236</v>
      </c>
      <c r="G30" s="47"/>
    </row>
    <row r="31" customFormat="false" ht="15" hidden="false" customHeight="false" outlineLevel="0" collapsed="false">
      <c r="A31" s="47" t="n">
        <v>7</v>
      </c>
      <c r="B31" s="47"/>
      <c r="C31" s="47" t="n">
        <v>1</v>
      </c>
      <c r="D31" s="7" t="s">
        <v>1246</v>
      </c>
      <c r="E31" s="7" t="s">
        <v>962</v>
      </c>
      <c r="F31" s="7" t="s">
        <v>1244</v>
      </c>
      <c r="G31" s="47"/>
    </row>
    <row r="32" customFormat="false" ht="15" hidden="false" customHeight="false" outlineLevel="0" collapsed="false">
      <c r="A32" s="47" t="n">
        <v>8</v>
      </c>
      <c r="B32" s="47"/>
      <c r="C32" s="47" t="n">
        <v>1</v>
      </c>
      <c r="D32" s="7" t="s">
        <v>1246</v>
      </c>
      <c r="E32" s="7" t="s">
        <v>962</v>
      </c>
      <c r="F32" s="7" t="s">
        <v>1244</v>
      </c>
      <c r="G32" s="47"/>
    </row>
    <row r="33" customFormat="false" ht="15" hidden="false" customHeight="false" outlineLevel="0" collapsed="false">
      <c r="A33" s="47" t="n">
        <v>9</v>
      </c>
      <c r="B33" s="47"/>
      <c r="C33" s="47" t="n">
        <v>1</v>
      </c>
      <c r="D33" s="7" t="s">
        <v>1246</v>
      </c>
      <c r="E33" s="7" t="s">
        <v>962</v>
      </c>
      <c r="F33" s="7" t="s">
        <v>1245</v>
      </c>
      <c r="G33" s="47"/>
    </row>
    <row r="34" customFormat="false" ht="15" hidden="false" customHeight="false" outlineLevel="0" collapsed="false">
      <c r="A34" s="47" t="n">
        <v>10</v>
      </c>
      <c r="B34" s="47"/>
      <c r="C34" s="47" t="n">
        <v>1</v>
      </c>
      <c r="D34" s="7" t="s">
        <v>1246</v>
      </c>
      <c r="E34" s="7" t="s">
        <v>962</v>
      </c>
      <c r="F34" s="7" t="s">
        <v>1245</v>
      </c>
      <c r="G34" s="47" t="s">
        <v>1247</v>
      </c>
    </row>
    <row r="35" customFormat="false" ht="15" hidden="false" customHeight="false" outlineLevel="0" collapsed="false">
      <c r="A35" s="47" t="n">
        <v>11</v>
      </c>
      <c r="B35" s="47" t="s">
        <v>1241</v>
      </c>
      <c r="C35" s="47" t="n">
        <v>4</v>
      </c>
      <c r="D35" s="7" t="s">
        <v>1248</v>
      </c>
      <c r="E35" s="7" t="s">
        <v>967</v>
      </c>
      <c r="F35" s="7" t="s">
        <v>1236</v>
      </c>
      <c r="G35" s="47"/>
    </row>
    <row r="36" customFormat="false" ht="15" hidden="false" customHeight="false" outlineLevel="0" collapsed="false">
      <c r="A36" s="47" t="n">
        <v>12</v>
      </c>
      <c r="B36" s="47" t="s">
        <v>1243</v>
      </c>
      <c r="C36" s="47" t="n">
        <v>3</v>
      </c>
      <c r="D36" s="7" t="s">
        <v>1248</v>
      </c>
      <c r="E36" s="7" t="s">
        <v>967</v>
      </c>
      <c r="F36" s="7" t="s">
        <v>1236</v>
      </c>
      <c r="G36" s="47"/>
    </row>
    <row r="37" customFormat="false" ht="15" hidden="false" customHeight="false" outlineLevel="0" collapsed="false">
      <c r="A37" s="47" t="n">
        <v>13</v>
      </c>
      <c r="B37" s="47"/>
      <c r="C37" s="47" t="n">
        <v>1</v>
      </c>
      <c r="D37" s="7" t="s">
        <v>1248</v>
      </c>
      <c r="E37" s="7" t="s">
        <v>967</v>
      </c>
      <c r="F37" s="7" t="s">
        <v>1244</v>
      </c>
      <c r="G37" s="47"/>
    </row>
    <row r="38" customFormat="false" ht="15" hidden="false" customHeight="false" outlineLevel="0" collapsed="false">
      <c r="A38" s="47" t="n">
        <v>14</v>
      </c>
      <c r="B38" s="47"/>
      <c r="C38" s="47" t="n">
        <v>1</v>
      </c>
      <c r="D38" s="7" t="s">
        <v>1248</v>
      </c>
      <c r="E38" s="7" t="s">
        <v>967</v>
      </c>
      <c r="F38" s="7" t="s">
        <v>1245</v>
      </c>
      <c r="G38" s="47"/>
    </row>
    <row r="39" customFormat="false" ht="15" hidden="false" customHeight="false" outlineLevel="0" collapsed="false">
      <c r="A39" s="47" t="n">
        <v>15</v>
      </c>
      <c r="B39" s="47" t="s">
        <v>1241</v>
      </c>
      <c r="C39" s="47" t="n">
        <v>4</v>
      </c>
      <c r="D39" s="7" t="s">
        <v>1249</v>
      </c>
      <c r="E39" s="7" t="s">
        <v>973</v>
      </c>
      <c r="F39" s="7" t="s">
        <v>1236</v>
      </c>
      <c r="G39" s="47"/>
    </row>
    <row r="40" customFormat="false" ht="15" hidden="false" customHeight="false" outlineLevel="0" collapsed="false">
      <c r="A40" s="47" t="n">
        <v>16</v>
      </c>
      <c r="B40" s="47" t="s">
        <v>1250</v>
      </c>
      <c r="C40" s="47" t="n">
        <v>2</v>
      </c>
      <c r="D40" s="7" t="s">
        <v>1249</v>
      </c>
      <c r="E40" s="7" t="s">
        <v>973</v>
      </c>
      <c r="F40" s="7" t="s">
        <v>1236</v>
      </c>
      <c r="G40" s="47"/>
    </row>
    <row r="41" customFormat="false" ht="15" hidden="false" customHeight="false" outlineLevel="0" collapsed="false">
      <c r="A41" s="47" t="n">
        <v>17</v>
      </c>
      <c r="B41" s="47"/>
      <c r="C41" s="47" t="n">
        <v>1</v>
      </c>
      <c r="D41" s="7" t="s">
        <v>1249</v>
      </c>
      <c r="E41" s="7" t="s">
        <v>973</v>
      </c>
      <c r="F41" s="7" t="s">
        <v>1244</v>
      </c>
      <c r="G41" s="47"/>
    </row>
    <row r="42" customFormat="false" ht="15" hidden="false" customHeight="false" outlineLevel="0" collapsed="false">
      <c r="A42" s="47" t="n">
        <v>18</v>
      </c>
      <c r="B42" s="47" t="s">
        <v>1250</v>
      </c>
      <c r="C42" s="47" t="n">
        <v>2</v>
      </c>
      <c r="D42" s="7" t="s">
        <v>1249</v>
      </c>
      <c r="E42" s="7" t="s">
        <v>973</v>
      </c>
      <c r="F42" s="7" t="s">
        <v>1236</v>
      </c>
      <c r="G42" s="47"/>
    </row>
    <row r="43" customFormat="false" ht="15" hidden="false" customHeight="false" outlineLevel="0" collapsed="false">
      <c r="A43" s="47" t="n">
        <v>19</v>
      </c>
      <c r="B43" s="47"/>
      <c r="C43" s="47" t="n">
        <v>1</v>
      </c>
      <c r="D43" s="7" t="s">
        <v>1249</v>
      </c>
      <c r="E43" s="7" t="s">
        <v>973</v>
      </c>
      <c r="F43" s="7" t="s">
        <v>1245</v>
      </c>
      <c r="G43" s="47"/>
    </row>
    <row r="44" customFormat="false" ht="15" hidden="false" customHeight="false" outlineLevel="0" collapsed="false">
      <c r="A44" s="47" t="n">
        <v>20</v>
      </c>
      <c r="B44" s="47"/>
      <c r="C44" s="47" t="n">
        <v>1</v>
      </c>
      <c r="D44" s="7" t="s">
        <v>1249</v>
      </c>
      <c r="E44" s="7" t="s">
        <v>973</v>
      </c>
      <c r="F44" s="7" t="s">
        <v>1245</v>
      </c>
      <c r="G44" s="47"/>
    </row>
    <row r="45" customFormat="false" ht="15" hidden="false" customHeight="false" outlineLevel="0" collapsed="false">
      <c r="A45" s="47" t="n">
        <v>21</v>
      </c>
      <c r="B45" s="47"/>
      <c r="C45" s="47" t="n">
        <v>1</v>
      </c>
      <c r="D45" s="7" t="s">
        <v>1249</v>
      </c>
      <c r="E45" s="7" t="s">
        <v>973</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1209</v>
      </c>
      <c r="D51" s="9" t="s">
        <v>1237</v>
      </c>
      <c r="E51" s="9" t="s">
        <v>6</v>
      </c>
      <c r="F51" s="9" t="s">
        <v>1238</v>
      </c>
      <c r="G51" s="9" t="s">
        <v>1239</v>
      </c>
      <c r="I51" s="54" t="s">
        <v>6</v>
      </c>
      <c r="J51" s="54" t="s">
        <v>1209</v>
      </c>
      <c r="K51" s="54" t="s">
        <v>1240</v>
      </c>
    </row>
    <row r="52" customFormat="false" ht="15" hidden="false" customHeight="false" outlineLevel="0" collapsed="false">
      <c r="A52" s="47" t="n">
        <v>1</v>
      </c>
      <c r="B52" s="47" t="s">
        <v>1241</v>
      </c>
      <c r="C52" s="47" t="n">
        <v>4</v>
      </c>
      <c r="D52" s="7" t="s">
        <v>1253</v>
      </c>
      <c r="E52" s="7" t="s">
        <v>977</v>
      </c>
      <c r="F52" s="7" t="s">
        <v>1236</v>
      </c>
      <c r="G52" s="47"/>
      <c r="I52" s="7" t="s">
        <v>977</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977</v>
      </c>
      <c r="F53" s="7" t="s">
        <v>1236</v>
      </c>
      <c r="G53" s="47"/>
      <c r="I53" s="7" t="s">
        <v>983</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977</v>
      </c>
      <c r="F54" s="7" t="s">
        <v>1244</v>
      </c>
      <c r="G54" s="47"/>
      <c r="I54" s="7" t="s">
        <v>987</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977</v>
      </c>
      <c r="F55" s="7" t="s">
        <v>1244</v>
      </c>
      <c r="G55" s="47"/>
    </row>
    <row r="56" customFormat="false" ht="15" hidden="false" customHeight="false" outlineLevel="0" collapsed="false">
      <c r="A56" s="47" t="n">
        <v>5</v>
      </c>
      <c r="B56" s="47"/>
      <c r="C56" s="47" t="n">
        <v>1</v>
      </c>
      <c r="D56" s="7" t="s">
        <v>1253</v>
      </c>
      <c r="E56" s="7" t="s">
        <v>977</v>
      </c>
      <c r="F56" s="7" t="s">
        <v>1245</v>
      </c>
      <c r="G56" s="47"/>
    </row>
    <row r="57" customFormat="false" ht="15" hidden="false" customHeight="false" outlineLevel="0" collapsed="false">
      <c r="A57" s="47" t="n">
        <v>6</v>
      </c>
      <c r="B57" s="47"/>
      <c r="C57" s="47" t="n">
        <v>1</v>
      </c>
      <c r="D57" s="7" t="s">
        <v>1253</v>
      </c>
      <c r="E57" s="7" t="s">
        <v>977</v>
      </c>
      <c r="F57" s="7" t="s">
        <v>1245</v>
      </c>
      <c r="G57" s="47" t="s">
        <v>1247</v>
      </c>
    </row>
    <row r="58" customFormat="false" ht="15" hidden="false" customHeight="false" outlineLevel="0" collapsed="false">
      <c r="A58" s="47" t="n">
        <v>7</v>
      </c>
      <c r="B58" s="47" t="s">
        <v>1243</v>
      </c>
      <c r="C58" s="47" t="n">
        <v>3</v>
      </c>
      <c r="D58" s="7" t="s">
        <v>1254</v>
      </c>
      <c r="E58" s="7" t="s">
        <v>983</v>
      </c>
      <c r="F58" s="7" t="s">
        <v>1236</v>
      </c>
      <c r="G58" s="47"/>
    </row>
    <row r="59" customFormat="false" ht="15" hidden="false" customHeight="false" outlineLevel="0" collapsed="false">
      <c r="A59" s="47" t="n">
        <v>8</v>
      </c>
      <c r="B59" s="47" t="s">
        <v>1250</v>
      </c>
      <c r="C59" s="47" t="n">
        <v>2</v>
      </c>
      <c r="D59" s="7" t="s">
        <v>1254</v>
      </c>
      <c r="E59" s="7" t="s">
        <v>983</v>
      </c>
      <c r="F59" s="7" t="s">
        <v>1236</v>
      </c>
      <c r="G59" s="47"/>
    </row>
    <row r="60" customFormat="false" ht="15" hidden="false" customHeight="false" outlineLevel="0" collapsed="false">
      <c r="A60" s="47" t="n">
        <v>9</v>
      </c>
      <c r="B60" s="47" t="s">
        <v>1250</v>
      </c>
      <c r="C60" s="47" t="n">
        <v>2</v>
      </c>
      <c r="D60" s="7" t="s">
        <v>1254</v>
      </c>
      <c r="E60" s="7" t="s">
        <v>983</v>
      </c>
      <c r="F60" s="7" t="s">
        <v>1236</v>
      </c>
      <c r="G60" s="47"/>
    </row>
    <row r="61" customFormat="false" ht="15" hidden="false" customHeight="false" outlineLevel="0" collapsed="false">
      <c r="A61" s="47" t="n">
        <v>10</v>
      </c>
      <c r="B61" s="47"/>
      <c r="C61" s="47" t="n">
        <v>1</v>
      </c>
      <c r="D61" s="7" t="s">
        <v>1254</v>
      </c>
      <c r="E61" s="7" t="s">
        <v>983</v>
      </c>
      <c r="F61" s="7" t="s">
        <v>1245</v>
      </c>
      <c r="G61" s="47"/>
    </row>
    <row r="62" customFormat="false" ht="15" hidden="false" customHeight="false" outlineLevel="0" collapsed="false">
      <c r="A62" s="47" t="n">
        <v>11</v>
      </c>
      <c r="B62" s="47"/>
      <c r="C62" s="47" t="n">
        <v>1</v>
      </c>
      <c r="D62" s="7" t="s">
        <v>1254</v>
      </c>
      <c r="E62" s="7" t="s">
        <v>983</v>
      </c>
      <c r="F62" s="7" t="s">
        <v>1244</v>
      </c>
      <c r="G62" s="47"/>
    </row>
    <row r="63" customFormat="false" ht="15" hidden="false" customHeight="false" outlineLevel="0" collapsed="false">
      <c r="A63" s="47" t="n">
        <v>12</v>
      </c>
      <c r="B63" s="47" t="s">
        <v>1241</v>
      </c>
      <c r="C63" s="47" t="n">
        <v>4</v>
      </c>
      <c r="D63" s="7" t="s">
        <v>1255</v>
      </c>
      <c r="E63" s="7" t="s">
        <v>987</v>
      </c>
      <c r="F63" s="7" t="s">
        <v>1236</v>
      </c>
      <c r="G63" s="47"/>
    </row>
    <row r="64" customFormat="false" ht="15" hidden="false" customHeight="false" outlineLevel="0" collapsed="false">
      <c r="A64" s="47" t="n">
        <v>13</v>
      </c>
      <c r="B64" s="47" t="s">
        <v>1243</v>
      </c>
      <c r="C64" s="47" t="n">
        <v>3</v>
      </c>
      <c r="D64" s="7" t="s">
        <v>1255</v>
      </c>
      <c r="E64" s="7" t="s">
        <v>987</v>
      </c>
      <c r="F64" s="7" t="s">
        <v>1236</v>
      </c>
      <c r="G64" s="47"/>
    </row>
    <row r="65" customFormat="false" ht="15" hidden="false" customHeight="false" outlineLevel="0" collapsed="false">
      <c r="A65" s="47" t="n">
        <v>14</v>
      </c>
      <c r="B65" s="47" t="s">
        <v>1250</v>
      </c>
      <c r="C65" s="47" t="n">
        <v>2</v>
      </c>
      <c r="D65" s="7" t="s">
        <v>1255</v>
      </c>
      <c r="E65" s="7" t="s">
        <v>987</v>
      </c>
      <c r="F65" s="7" t="s">
        <v>1236</v>
      </c>
      <c r="G65" s="47"/>
    </row>
    <row r="66" customFormat="false" ht="15" hidden="false" customHeight="false" outlineLevel="0" collapsed="false">
      <c r="A66" s="47" t="n">
        <v>15</v>
      </c>
      <c r="B66" s="47"/>
      <c r="C66" s="47" t="n">
        <v>1</v>
      </c>
      <c r="D66" s="7" t="s">
        <v>1255</v>
      </c>
      <c r="E66" s="7" t="s">
        <v>987</v>
      </c>
      <c r="F66" s="7" t="s">
        <v>1244</v>
      </c>
      <c r="G66" s="47"/>
    </row>
    <row r="67" customFormat="false" ht="15" hidden="false" customHeight="false" outlineLevel="0" collapsed="false">
      <c r="A67" s="47" t="n">
        <v>16</v>
      </c>
      <c r="B67" s="47"/>
      <c r="C67" s="47" t="n">
        <v>1</v>
      </c>
      <c r="D67" s="7" t="s">
        <v>1255</v>
      </c>
      <c r="E67" s="7" t="s">
        <v>987</v>
      </c>
      <c r="F67" s="7" t="s">
        <v>1244</v>
      </c>
      <c r="G67" s="47"/>
    </row>
    <row r="68" customFormat="false" ht="15" hidden="false" customHeight="false" outlineLevel="0" collapsed="false">
      <c r="A68" s="47" t="n">
        <v>17</v>
      </c>
      <c r="B68" s="47"/>
      <c r="C68" s="47" t="n">
        <v>1</v>
      </c>
      <c r="D68" s="7" t="s">
        <v>1255</v>
      </c>
      <c r="E68" s="7" t="s">
        <v>987</v>
      </c>
      <c r="F68" s="7" t="s">
        <v>1245</v>
      </c>
      <c r="G68" s="47"/>
    </row>
    <row r="69" customFormat="false" ht="15" hidden="false" customHeight="false" outlineLevel="0" collapsed="false">
      <c r="A69" s="47" t="n">
        <v>18</v>
      </c>
      <c r="B69" s="47"/>
      <c r="C69" s="47" t="n">
        <v>1</v>
      </c>
      <c r="D69" s="7" t="s">
        <v>1255</v>
      </c>
      <c r="E69" s="7" t="s">
        <v>987</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hyperlinks>
    <hyperlink ref="E4" r:id="rId1" display="open"/>
    <hyperlink ref="F4" r:id="rId2" display="open"/>
    <hyperlink ref="G4" r:id="rId3" display="open"/>
    <hyperlink ref="H4" r:id="rId4" display="open"/>
    <hyperlink ref="I4" r:id="rId5" display="open"/>
    <hyperlink ref="E5" r:id="rId6" display="open"/>
    <hyperlink ref="F5" r:id="rId7" display="open"/>
    <hyperlink ref="G5" r:id="rId8" display="open"/>
    <hyperlink ref="H5" r:id="rId9" display="open"/>
    <hyperlink ref="I5" r:id="rId10" display="open"/>
    <hyperlink ref="E6" r:id="rId11" display="open"/>
    <hyperlink ref="F6" r:id="rId12" display="open"/>
    <hyperlink ref="G6" r:id="rId13" display="open"/>
    <hyperlink ref="H6" r:id="rId14" display="open"/>
    <hyperlink ref="I6" r:id="rId15" display="open"/>
    <hyperlink ref="E7" r:id="rId16" display="open"/>
    <hyperlink ref="F7" r:id="rId17" display="open"/>
    <hyperlink ref="G7" r:id="rId18" display="open"/>
    <hyperlink ref="H7" r:id="rId19" display="open"/>
    <hyperlink ref="I7" r:id="rId20"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0" t="s">
        <v>1271</v>
      </c>
      <c r="E8" s="60" t="s">
        <v>1272</v>
      </c>
    </row>
    <row r="9" customFormat="false" ht="66" hidden="false" customHeight="true" outlineLevel="0" collapsed="false">
      <c r="A9" s="60" t="s">
        <v>1273</v>
      </c>
      <c r="B9" s="60" t="s">
        <v>1274</v>
      </c>
      <c r="C9" s="62" t="s">
        <v>1275</v>
      </c>
      <c r="D9" s="63" t="s">
        <v>1276</v>
      </c>
      <c r="E9" s="63" t="s">
        <v>1277</v>
      </c>
    </row>
    <row r="10" customFormat="false" ht="66" hidden="false" customHeight="true" outlineLevel="0" collapsed="false">
      <c r="A10" s="64" t="s">
        <v>1278</v>
      </c>
      <c r="B10" s="62" t="s">
        <v>1279</v>
      </c>
      <c r="C10" s="65" t="s">
        <v>1280</v>
      </c>
      <c r="D10" s="65" t="s">
        <v>1281</v>
      </c>
      <c r="E10" s="65" t="s">
        <v>1282</v>
      </c>
    </row>
    <row r="11" customFormat="false" ht="66" hidden="false" customHeight="true" outlineLevel="0" collapsed="false">
      <c r="A11" s="65" t="s">
        <v>1283</v>
      </c>
      <c r="B11" s="65" t="s">
        <v>1284</v>
      </c>
      <c r="C11" s="65" t="s">
        <v>1285</v>
      </c>
      <c r="D11" s="63" t="s">
        <v>1286</v>
      </c>
      <c r="E11" s="63" t="s">
        <v>1287</v>
      </c>
    </row>
    <row r="12" customFormat="false" ht="66" hidden="false" customHeight="true" outlineLevel="0" collapsed="false">
      <c r="A12" s="62" t="s">
        <v>1288</v>
      </c>
      <c r="B12" s="60" t="s">
        <v>1289</v>
      </c>
      <c r="C12" s="60" t="s">
        <v>1290</v>
      </c>
      <c r="D12" s="60" t="s">
        <v>1291</v>
      </c>
      <c r="E12" s="60"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2" t="s">
        <v>1296</v>
      </c>
      <c r="D17" s="63" t="s">
        <v>1297</v>
      </c>
      <c r="E17" s="63" t="s">
        <v>1298</v>
      </c>
    </row>
    <row r="18" customFormat="false" ht="66" hidden="false" customHeight="true" outlineLevel="0" collapsed="false">
      <c r="A18" s="65" t="s">
        <v>1299</v>
      </c>
      <c r="B18" s="65" t="s">
        <v>1300</v>
      </c>
      <c r="C18" s="64" t="s">
        <v>1301</v>
      </c>
      <c r="D18" s="65" t="s">
        <v>1302</v>
      </c>
      <c r="E18" s="65" t="s">
        <v>1303</v>
      </c>
    </row>
    <row r="19" customFormat="false" ht="66" hidden="false" customHeight="true" outlineLevel="0" collapsed="false">
      <c r="A19" s="65" t="s">
        <v>1304</v>
      </c>
      <c r="B19" s="65" t="s">
        <v>1305</v>
      </c>
      <c r="C19" s="65" t="s">
        <v>1306</v>
      </c>
      <c r="D19" s="65" t="s">
        <v>1307</v>
      </c>
      <c r="E19" s="62" t="s">
        <v>1308</v>
      </c>
    </row>
    <row r="20" customFormat="false" ht="66" hidden="false" customHeight="true" outlineLevel="0" collapsed="false">
      <c r="A20" s="64" t="s">
        <v>1309</v>
      </c>
      <c r="B20" s="64" t="s">
        <v>1310</v>
      </c>
      <c r="C20" s="64" t="s">
        <v>1311</v>
      </c>
      <c r="D20" s="64" t="s">
        <v>1312</v>
      </c>
      <c r="E20" s="64" t="s">
        <v>1313</v>
      </c>
    </row>
    <row r="21" customFormat="false" ht="66" hidden="false" customHeight="true" outlineLevel="0" collapsed="false">
      <c r="A21" s="63"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3" t="s">
        <v>1316</v>
      </c>
      <c r="C25" s="62" t="s">
        <v>1317</v>
      </c>
      <c r="D25" s="60" t="s">
        <v>1318</v>
      </c>
      <c r="E25" s="60" t="s">
        <v>1319</v>
      </c>
    </row>
    <row r="26" customFormat="false" ht="66" hidden="false" customHeight="true" outlineLevel="0" collapsed="false">
      <c r="A26" s="60" t="s">
        <v>1320</v>
      </c>
      <c r="B26" s="60" t="s">
        <v>1321</v>
      </c>
      <c r="C26" s="60" t="s">
        <v>1322</v>
      </c>
      <c r="D26" s="63" t="s">
        <v>1323</v>
      </c>
      <c r="E26" s="63" t="s">
        <v>1324</v>
      </c>
    </row>
    <row r="27" customFormat="false" ht="66" hidden="false" customHeight="true" outlineLevel="0" collapsed="false">
      <c r="A27" s="62" t="s">
        <v>1325</v>
      </c>
      <c r="B27" s="62" t="s">
        <v>1326</v>
      </c>
      <c r="C27" s="62" t="s">
        <v>1327</v>
      </c>
      <c r="D27" s="65" t="s">
        <v>1328</v>
      </c>
      <c r="E27" s="65" t="s">
        <v>1329</v>
      </c>
    </row>
    <row r="28" customFormat="false" ht="66" hidden="false" customHeight="true" outlineLevel="0" collapsed="false">
      <c r="A28" s="64" t="s">
        <v>1330</v>
      </c>
      <c r="B28" s="64" t="s">
        <v>1331</v>
      </c>
      <c r="C28" s="64" t="s">
        <v>1309</v>
      </c>
      <c r="D28" s="64" t="s">
        <v>1310</v>
      </c>
      <c r="E28" s="64" t="s">
        <v>1311</v>
      </c>
    </row>
    <row r="29" customFormat="false" ht="66" hidden="false" customHeight="true" outlineLevel="0" collapsed="false">
      <c r="A29" s="64" t="s">
        <v>1332</v>
      </c>
      <c r="B29" s="64" t="s">
        <v>1333</v>
      </c>
      <c r="C29" s="64" t="s">
        <v>1334</v>
      </c>
      <c r="D29" s="64"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4" t="s">
        <v>1337</v>
      </c>
    </row>
    <row r="34" customFormat="false" ht="66" hidden="false" customHeight="true" outlineLevel="0" collapsed="false">
      <c r="A34" s="64" t="s">
        <v>1338</v>
      </c>
      <c r="B34" s="64" t="s">
        <v>1339</v>
      </c>
      <c r="C34" s="65" t="s">
        <v>1340</v>
      </c>
      <c r="D34" s="65" t="s">
        <v>1341</v>
      </c>
      <c r="E34" s="65" t="s">
        <v>1342</v>
      </c>
    </row>
    <row r="35" customFormat="false" ht="66" hidden="false" customHeight="true" outlineLevel="0" collapsed="false">
      <c r="A35" s="60" t="s">
        <v>1343</v>
      </c>
      <c r="B35" s="60" t="s">
        <v>1344</v>
      </c>
      <c r="C35" s="62" t="s">
        <v>1345</v>
      </c>
      <c r="D35" s="63" t="s">
        <v>1346</v>
      </c>
      <c r="E35" s="63" t="s">
        <v>1347</v>
      </c>
    </row>
    <row r="36" customFormat="false" ht="66" hidden="false" customHeight="true" outlineLevel="0" collapsed="false">
      <c r="A36" s="64" t="s">
        <v>1348</v>
      </c>
      <c r="B36" s="62" t="s">
        <v>1349</v>
      </c>
      <c r="C36" s="65" t="s">
        <v>1350</v>
      </c>
      <c r="D36" s="65" t="s">
        <v>1351</v>
      </c>
      <c r="E36" s="65"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3" t="s">
        <v>1359</v>
      </c>
      <c r="B41" s="63" t="s">
        <v>1360</v>
      </c>
      <c r="C41" s="62" t="s">
        <v>1361</v>
      </c>
      <c r="D41" s="60" t="s">
        <v>1362</v>
      </c>
      <c r="E41" s="60"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4" t="s">
        <v>1369</v>
      </c>
      <c r="B43" s="62" t="s">
        <v>1370</v>
      </c>
      <c r="C43" s="62" t="s">
        <v>1371</v>
      </c>
      <c r="D43" s="63" t="s">
        <v>1372</v>
      </c>
      <c r="E43" s="63"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5" t="s">
        <v>1380</v>
      </c>
      <c r="B48" s="65" t="s">
        <v>1381</v>
      </c>
      <c r="C48" s="62" t="s">
        <v>1382</v>
      </c>
      <c r="D48" s="62" t="s">
        <v>1296</v>
      </c>
      <c r="E48" s="64" t="s">
        <v>1339</v>
      </c>
    </row>
    <row r="49" customFormat="false" ht="66" hidden="false" customHeight="true" outlineLevel="0" collapsed="false">
      <c r="A49" s="63" t="s">
        <v>1383</v>
      </c>
      <c r="B49" s="63" t="s">
        <v>1384</v>
      </c>
      <c r="C49" s="62" t="s">
        <v>1385</v>
      </c>
      <c r="D49" s="60" t="s">
        <v>1386</v>
      </c>
      <c r="E49" s="60" t="s">
        <v>1387</v>
      </c>
    </row>
    <row r="50" customFormat="false" ht="66" hidden="false" customHeight="true" outlineLevel="0" collapsed="false">
      <c r="A50" s="60" t="s">
        <v>1388</v>
      </c>
      <c r="B50" s="60" t="s">
        <v>1389</v>
      </c>
      <c r="C50" s="60" t="s">
        <v>1390</v>
      </c>
      <c r="D50" s="60" t="s">
        <v>1391</v>
      </c>
      <c r="E50" s="60" t="s">
        <v>1392</v>
      </c>
    </row>
    <row r="51" customFormat="false" ht="66" hidden="false" customHeight="true" outlineLevel="0" collapsed="false">
      <c r="A51" s="64" t="s">
        <v>1331</v>
      </c>
      <c r="B51" s="64" t="s">
        <v>1309</v>
      </c>
      <c r="C51" s="64" t="s">
        <v>1310</v>
      </c>
      <c r="D51" s="64" t="s">
        <v>1311</v>
      </c>
      <c r="E51" s="64" t="s">
        <v>1312</v>
      </c>
    </row>
    <row r="52" customFormat="false" ht="66" hidden="false" customHeight="true" outlineLevel="0" collapsed="false">
      <c r="A52" s="63" t="s">
        <v>1393</v>
      </c>
      <c r="B52" s="63" t="s">
        <v>1394</v>
      </c>
      <c r="C52" s="65" t="s">
        <v>1395</v>
      </c>
      <c r="D52" s="61"/>
      <c r="E52" s="61"/>
    </row>
    <row r="54" customFormat="false" ht="17.35" hidden="false" customHeight="false" outlineLevel="0" collapsed="false">
      <c r="A54" s="57" t="s">
        <v>1396</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1397</v>
      </c>
      <c r="E56" s="65" t="s">
        <v>1398</v>
      </c>
    </row>
    <row r="57" customFormat="false" ht="66" hidden="false" customHeight="true" outlineLevel="0" collapsed="false">
      <c r="A57" s="63" t="s">
        <v>1399</v>
      </c>
      <c r="B57" s="63" t="s">
        <v>1400</v>
      </c>
      <c r="C57" s="60" t="s">
        <v>1401</v>
      </c>
      <c r="D57" s="60" t="s">
        <v>1402</v>
      </c>
      <c r="E57" s="60" t="s">
        <v>1403</v>
      </c>
    </row>
    <row r="58" customFormat="false" ht="66" hidden="false" customHeight="true" outlineLevel="0" collapsed="false">
      <c r="A58" s="60" t="s">
        <v>1404</v>
      </c>
      <c r="B58" s="60" t="s">
        <v>1405</v>
      </c>
      <c r="C58" s="60" t="s">
        <v>1406</v>
      </c>
      <c r="D58" s="60" t="s">
        <v>1407</v>
      </c>
      <c r="E58" s="64" t="s">
        <v>1408</v>
      </c>
    </row>
    <row r="59" customFormat="false" ht="66" hidden="false" customHeight="true" outlineLevel="0" collapsed="false">
      <c r="A59" s="60" t="s">
        <v>1409</v>
      </c>
      <c r="B59" s="65" t="s">
        <v>1410</v>
      </c>
      <c r="C59" s="65" t="s">
        <v>1411</v>
      </c>
      <c r="D59" s="63" t="s">
        <v>1412</v>
      </c>
      <c r="E59" s="63" t="s">
        <v>1413</v>
      </c>
    </row>
    <row r="60" customFormat="false" ht="66" hidden="false" customHeight="true" outlineLevel="0" collapsed="false">
      <c r="A60" s="60" t="s">
        <v>1414</v>
      </c>
      <c r="B60" s="60" t="s">
        <v>1415</v>
      </c>
      <c r="C60" s="62" t="s">
        <v>1416</v>
      </c>
      <c r="D60" s="63" t="s">
        <v>1417</v>
      </c>
      <c r="E60" s="63"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29</v>
      </c>
      <c r="B1" s="9" t="s">
        <v>2</v>
      </c>
      <c r="C1" s="9" t="s">
        <v>927</v>
      </c>
      <c r="D1" s="9" t="s">
        <v>1440</v>
      </c>
      <c r="E1" s="9" t="s">
        <v>1441</v>
      </c>
    </row>
    <row r="2" customFormat="false" ht="15" hidden="false" customHeight="false" outlineLevel="0" collapsed="false">
      <c r="A2" s="47" t="n">
        <v>3</v>
      </c>
      <c r="B2" s="5" t="s">
        <v>39</v>
      </c>
      <c r="C2" s="66" t="n">
        <v>46288</v>
      </c>
      <c r="D2" s="67" t="s">
        <v>1442</v>
      </c>
      <c r="E2" s="6" t="s">
        <v>1443</v>
      </c>
    </row>
    <row r="3" customFormat="false" ht="15" hidden="false" customHeight="false" outlineLevel="0" collapsed="false">
      <c r="A3" s="47" t="n">
        <v>3</v>
      </c>
      <c r="B3" s="5" t="s">
        <v>39</v>
      </c>
      <c r="C3" s="66" t="n">
        <v>46288</v>
      </c>
      <c r="D3" s="67" t="s">
        <v>1444</v>
      </c>
      <c r="E3" s="6" t="s">
        <v>1445</v>
      </c>
    </row>
    <row r="4" customFormat="false" ht="15" hidden="false" customHeight="false" outlineLevel="0" collapsed="false">
      <c r="A4" s="47" t="n">
        <v>3</v>
      </c>
      <c r="B4" s="5" t="s">
        <v>39</v>
      </c>
      <c r="C4" s="66" t="n">
        <v>46288</v>
      </c>
      <c r="D4" s="67" t="s">
        <v>1446</v>
      </c>
      <c r="E4" s="6" t="s">
        <v>1447</v>
      </c>
    </row>
    <row r="5" customFormat="false" ht="15" hidden="false" customHeight="false" outlineLevel="0" collapsed="false">
      <c r="A5" s="47" t="n">
        <v>3</v>
      </c>
      <c r="B5" s="5" t="s">
        <v>39</v>
      </c>
      <c r="C5" s="66" t="n">
        <v>46288</v>
      </c>
      <c r="D5" s="67" t="s">
        <v>1448</v>
      </c>
      <c r="E5" s="6" t="s">
        <v>1449</v>
      </c>
    </row>
    <row r="6" customFormat="false" ht="15" hidden="false" customHeight="false" outlineLevel="0" collapsed="false">
      <c r="A6" s="47" t="n">
        <v>3</v>
      </c>
      <c r="B6" s="5" t="s">
        <v>39</v>
      </c>
      <c r="C6" s="66" t="n">
        <v>46288</v>
      </c>
      <c r="D6" s="67" t="s">
        <v>1450</v>
      </c>
      <c r="E6" s="6" t="s">
        <v>1451</v>
      </c>
    </row>
    <row r="7" customFormat="false" ht="15" hidden="false" customHeight="false" outlineLevel="0" collapsed="false">
      <c r="A7" s="47" t="n">
        <v>3</v>
      </c>
      <c r="B7" s="5" t="s">
        <v>39</v>
      </c>
      <c r="C7" s="66" t="n">
        <v>46288</v>
      </c>
      <c r="D7" s="67" t="s">
        <v>1452</v>
      </c>
      <c r="E7" s="6" t="s">
        <v>1453</v>
      </c>
    </row>
    <row r="8" customFormat="false" ht="15" hidden="false" customHeight="false" outlineLevel="0" collapsed="false">
      <c r="A8" s="47" t="n">
        <v>3</v>
      </c>
      <c r="B8" s="5" t="s">
        <v>39</v>
      </c>
      <c r="C8" s="66" t="n">
        <v>46288</v>
      </c>
      <c r="D8" s="67" t="s">
        <v>1454</v>
      </c>
      <c r="E8" s="6" t="s">
        <v>1455</v>
      </c>
    </row>
    <row r="9" customFormat="false" ht="15" hidden="false" customHeight="false" outlineLevel="0" collapsed="false">
      <c r="A9" s="47" t="n">
        <v>3</v>
      </c>
      <c r="B9" s="5" t="s">
        <v>55</v>
      </c>
      <c r="C9" s="66" t="n">
        <v>46289</v>
      </c>
      <c r="D9" s="67" t="s">
        <v>1456</v>
      </c>
      <c r="E9" s="6" t="s">
        <v>1457</v>
      </c>
    </row>
    <row r="10" customFormat="false" ht="15" hidden="false" customHeight="false" outlineLevel="0" collapsed="false">
      <c r="A10" s="47" t="n">
        <v>3</v>
      </c>
      <c r="B10" s="5" t="s">
        <v>55</v>
      </c>
      <c r="C10" s="66" t="n">
        <v>46289</v>
      </c>
      <c r="D10" s="67" t="s">
        <v>1458</v>
      </c>
      <c r="E10" s="6" t="s">
        <v>1459</v>
      </c>
    </row>
    <row r="11" customFormat="false" ht="15" hidden="false" customHeight="false" outlineLevel="0" collapsed="false">
      <c r="A11" s="47" t="n">
        <v>3</v>
      </c>
      <c r="B11" s="5" t="s">
        <v>55</v>
      </c>
      <c r="C11" s="66" t="n">
        <v>46289</v>
      </c>
      <c r="D11" s="67" t="s">
        <v>1460</v>
      </c>
      <c r="E11" s="6" t="s">
        <v>1461</v>
      </c>
    </row>
    <row r="12" customFormat="false" ht="15" hidden="false" customHeight="false" outlineLevel="0" collapsed="false">
      <c r="A12" s="47" t="n">
        <v>3</v>
      </c>
      <c r="B12" s="5" t="s">
        <v>66</v>
      </c>
      <c r="C12" s="66" t="n">
        <v>46290</v>
      </c>
      <c r="D12" s="67" t="s">
        <v>1462</v>
      </c>
      <c r="E12" s="6" t="s">
        <v>1463</v>
      </c>
    </row>
    <row r="13" customFormat="false" ht="15" hidden="false" customHeight="false" outlineLevel="0" collapsed="false">
      <c r="A13" s="47" t="n">
        <v>3</v>
      </c>
      <c r="B13" s="5" t="s">
        <v>66</v>
      </c>
      <c r="C13" s="66" t="n">
        <v>46290</v>
      </c>
      <c r="D13" s="67" t="s">
        <v>1464</v>
      </c>
      <c r="E13" s="6" t="s">
        <v>1465</v>
      </c>
    </row>
    <row r="14" customFormat="false" ht="15" hidden="false" customHeight="false" outlineLevel="0" collapsed="false">
      <c r="A14" s="47" t="n">
        <v>3</v>
      </c>
      <c r="B14" s="5" t="s">
        <v>66</v>
      </c>
      <c r="C14" s="66" t="n">
        <v>46290</v>
      </c>
      <c r="D14" s="67" t="s">
        <v>1466</v>
      </c>
      <c r="E14" s="6" t="s">
        <v>1467</v>
      </c>
    </row>
    <row r="15" customFormat="false" ht="15" hidden="false" customHeight="false" outlineLevel="0" collapsed="false">
      <c r="A15" s="47" t="n">
        <v>3</v>
      </c>
      <c r="B15" s="5" t="s">
        <v>77</v>
      </c>
      <c r="C15" s="66" t="n">
        <v>46293</v>
      </c>
      <c r="D15" s="67" t="s">
        <v>1468</v>
      </c>
      <c r="E15" s="6" t="s">
        <v>1469</v>
      </c>
    </row>
    <row r="16" customFormat="false" ht="15" hidden="false" customHeight="false" outlineLevel="0" collapsed="false">
      <c r="A16" s="47" t="n">
        <v>3</v>
      </c>
      <c r="B16" s="5" t="s">
        <v>77</v>
      </c>
      <c r="C16" s="66" t="n">
        <v>46293</v>
      </c>
      <c r="D16" s="67" t="s">
        <v>1470</v>
      </c>
      <c r="E16" s="6" t="s">
        <v>1471</v>
      </c>
    </row>
    <row r="17" customFormat="false" ht="23.85" hidden="false" customHeight="false" outlineLevel="0" collapsed="false">
      <c r="A17" s="47" t="n">
        <v>3</v>
      </c>
      <c r="B17" s="5" t="s">
        <v>77</v>
      </c>
      <c r="C17" s="66" t="n">
        <v>46293</v>
      </c>
      <c r="D17" s="67" t="s">
        <v>1472</v>
      </c>
      <c r="E17" s="6" t="s">
        <v>1473</v>
      </c>
    </row>
    <row r="18" customFormat="false" ht="15" hidden="false" customHeight="false" outlineLevel="0" collapsed="false">
      <c r="A18" s="47" t="n">
        <v>3</v>
      </c>
      <c r="B18" s="5" t="s">
        <v>90</v>
      </c>
      <c r="C18" s="66" t="n">
        <v>46294</v>
      </c>
      <c r="D18" s="67" t="s">
        <v>1474</v>
      </c>
      <c r="E18" s="6" t="s">
        <v>1475</v>
      </c>
    </row>
    <row r="19" customFormat="false" ht="23.85" hidden="false" customHeight="false" outlineLevel="0" collapsed="false">
      <c r="A19" s="47" t="n">
        <v>3</v>
      </c>
      <c r="B19" s="5" t="s">
        <v>90</v>
      </c>
      <c r="C19" s="66" t="n">
        <v>46294</v>
      </c>
      <c r="D19" s="67" t="s">
        <v>1476</v>
      </c>
      <c r="E19" s="6" t="s">
        <v>1477</v>
      </c>
    </row>
    <row r="20" customFormat="false" ht="15" hidden="false" customHeight="false" outlineLevel="0" collapsed="false">
      <c r="A20" s="47" t="n">
        <v>3</v>
      </c>
      <c r="B20" s="5" t="s">
        <v>99</v>
      </c>
      <c r="C20" s="66" t="n">
        <v>46295</v>
      </c>
      <c r="D20" s="67" t="s">
        <v>1478</v>
      </c>
      <c r="E20" s="6" t="s">
        <v>1479</v>
      </c>
    </row>
    <row r="21" customFormat="false" ht="15" hidden="false" customHeight="false" outlineLevel="0" collapsed="false">
      <c r="A21" s="47" t="n">
        <v>3</v>
      </c>
      <c r="B21" s="5" t="s">
        <v>99</v>
      </c>
      <c r="C21" s="66" t="n">
        <v>46295</v>
      </c>
      <c r="D21" s="67" t="s">
        <v>1480</v>
      </c>
      <c r="E21" s="6" t="s">
        <v>1481</v>
      </c>
    </row>
    <row r="22" customFormat="false" ht="15" hidden="false" customHeight="false" outlineLevel="0" collapsed="false">
      <c r="A22" s="47" t="n">
        <v>3</v>
      </c>
      <c r="B22" s="5" t="s">
        <v>109</v>
      </c>
      <c r="C22" s="66" t="n">
        <v>46296</v>
      </c>
      <c r="D22" s="67" t="s">
        <v>1482</v>
      </c>
      <c r="E22" s="6" t="s">
        <v>1483</v>
      </c>
    </row>
    <row r="23" customFormat="false" ht="15" hidden="false" customHeight="false" outlineLevel="0" collapsed="false">
      <c r="A23" s="47" t="n">
        <v>3</v>
      </c>
      <c r="B23" s="5" t="s">
        <v>109</v>
      </c>
      <c r="C23" s="66" t="n">
        <v>46296</v>
      </c>
      <c r="D23" s="67" t="s">
        <v>1484</v>
      </c>
      <c r="E23" s="6" t="s">
        <v>1485</v>
      </c>
    </row>
    <row r="24" customFormat="false" ht="15" hidden="false" customHeight="false" outlineLevel="0" collapsed="false">
      <c r="A24" s="47" t="n">
        <v>3</v>
      </c>
      <c r="B24" s="5" t="s">
        <v>109</v>
      </c>
      <c r="C24" s="66" t="n">
        <v>46296</v>
      </c>
      <c r="D24" s="67" t="s">
        <v>1486</v>
      </c>
      <c r="E24" s="6" t="s">
        <v>1487</v>
      </c>
    </row>
    <row r="25" customFormat="false" ht="23.85" hidden="false" customHeight="false" outlineLevel="0" collapsed="false">
      <c r="A25" s="47" t="n">
        <v>3</v>
      </c>
      <c r="B25" s="5" t="s">
        <v>120</v>
      </c>
      <c r="C25" s="66" t="n">
        <v>46297</v>
      </c>
      <c r="D25" s="67" t="s">
        <v>1468</v>
      </c>
      <c r="E25" s="6" t="s">
        <v>1488</v>
      </c>
    </row>
    <row r="26" customFormat="false" ht="15" hidden="false" customHeight="false" outlineLevel="0" collapsed="false">
      <c r="A26" s="47" t="n">
        <v>3</v>
      </c>
      <c r="B26" s="5" t="s">
        <v>120</v>
      </c>
      <c r="C26" s="66" t="n">
        <v>46297</v>
      </c>
      <c r="D26" s="67" t="s">
        <v>1489</v>
      </c>
      <c r="E26" s="6" t="s">
        <v>1490</v>
      </c>
    </row>
    <row r="27" customFormat="false" ht="15" hidden="false" customHeight="false" outlineLevel="0" collapsed="false">
      <c r="A27" s="47" t="n">
        <v>3</v>
      </c>
      <c r="B27" s="5" t="s">
        <v>129</v>
      </c>
      <c r="C27" s="66" t="n">
        <v>46300</v>
      </c>
      <c r="D27" s="67" t="s">
        <v>1491</v>
      </c>
      <c r="E27" s="6" t="s">
        <v>1492</v>
      </c>
    </row>
    <row r="28" customFormat="false" ht="15" hidden="false" customHeight="false" outlineLevel="0" collapsed="false">
      <c r="A28" s="47" t="n">
        <v>3</v>
      </c>
      <c r="B28" s="5" t="s">
        <v>129</v>
      </c>
      <c r="C28" s="66" t="n">
        <v>46300</v>
      </c>
      <c r="D28" s="67" t="s">
        <v>1493</v>
      </c>
      <c r="E28" s="6" t="s">
        <v>1494</v>
      </c>
    </row>
    <row r="29" customFormat="false" ht="15" hidden="false" customHeight="false" outlineLevel="0" collapsed="false">
      <c r="A29" s="47" t="n">
        <v>3</v>
      </c>
      <c r="B29" s="5" t="s">
        <v>129</v>
      </c>
      <c r="C29" s="66" t="n">
        <v>46300</v>
      </c>
      <c r="D29" s="67" t="s">
        <v>1484</v>
      </c>
      <c r="E29" s="6" t="s">
        <v>1495</v>
      </c>
    </row>
    <row r="30" customFormat="false" ht="15" hidden="false" customHeight="false" outlineLevel="0" collapsed="false">
      <c r="A30" s="47" t="n">
        <v>3</v>
      </c>
      <c r="B30" s="5" t="s">
        <v>141</v>
      </c>
      <c r="C30" s="66" t="n">
        <v>46301</v>
      </c>
      <c r="D30" s="67" t="s">
        <v>1496</v>
      </c>
      <c r="E30" s="6" t="s">
        <v>1497</v>
      </c>
    </row>
    <row r="31" customFormat="false" ht="15" hidden="false" customHeight="false" outlineLevel="0" collapsed="false">
      <c r="A31" s="47" t="n">
        <v>3</v>
      </c>
      <c r="B31" s="5" t="s">
        <v>141</v>
      </c>
      <c r="C31" s="66" t="n">
        <v>46301</v>
      </c>
      <c r="D31" s="67" t="s">
        <v>1491</v>
      </c>
      <c r="E31" s="6" t="s">
        <v>1498</v>
      </c>
    </row>
    <row r="32" customFormat="false" ht="15" hidden="false" customHeight="false" outlineLevel="0" collapsed="false">
      <c r="A32" s="47" t="n">
        <v>4</v>
      </c>
      <c r="B32" s="5" t="s">
        <v>163</v>
      </c>
      <c r="C32" s="66" t="n">
        <v>46309</v>
      </c>
      <c r="D32" s="67" t="s">
        <v>1491</v>
      </c>
      <c r="E32" s="6" t="s">
        <v>1499</v>
      </c>
    </row>
    <row r="33" customFormat="false" ht="15" hidden="false" customHeight="false" outlineLevel="0" collapsed="false">
      <c r="A33" s="47" t="n">
        <v>4</v>
      </c>
      <c r="B33" s="5" t="s">
        <v>163</v>
      </c>
      <c r="C33" s="66" t="n">
        <v>46309</v>
      </c>
      <c r="D33" s="67" t="s">
        <v>1484</v>
      </c>
      <c r="E33" s="6" t="s">
        <v>1500</v>
      </c>
    </row>
    <row r="34" customFormat="false" ht="23.85" hidden="false" customHeight="false" outlineLevel="0" collapsed="false">
      <c r="A34" s="47" t="n">
        <v>4</v>
      </c>
      <c r="B34" s="5" t="s">
        <v>163</v>
      </c>
      <c r="C34" s="66" t="n">
        <v>46309</v>
      </c>
      <c r="D34" s="67" t="s">
        <v>1501</v>
      </c>
      <c r="E34" s="6" t="s">
        <v>1502</v>
      </c>
    </row>
    <row r="35" customFormat="false" ht="15" hidden="false" customHeight="false" outlineLevel="0" collapsed="false">
      <c r="A35" s="47" t="n">
        <v>4</v>
      </c>
      <c r="B35" s="5" t="s">
        <v>174</v>
      </c>
      <c r="C35" s="66" t="n">
        <v>46310</v>
      </c>
      <c r="D35" s="67" t="s">
        <v>1448</v>
      </c>
      <c r="E35" s="6" t="s">
        <v>1503</v>
      </c>
    </row>
    <row r="36" customFormat="false" ht="15" hidden="false" customHeight="false" outlineLevel="0" collapsed="false">
      <c r="A36" s="47" t="n">
        <v>4</v>
      </c>
      <c r="B36" s="5" t="s">
        <v>174</v>
      </c>
      <c r="C36" s="66" t="n">
        <v>46310</v>
      </c>
      <c r="D36" s="67" t="s">
        <v>1456</v>
      </c>
      <c r="E36" s="6" t="s">
        <v>1504</v>
      </c>
    </row>
    <row r="37" customFormat="false" ht="15" hidden="false" customHeight="false" outlineLevel="0" collapsed="false">
      <c r="A37" s="47" t="n">
        <v>4</v>
      </c>
      <c r="B37" s="5" t="s">
        <v>174</v>
      </c>
      <c r="C37" s="66" t="n">
        <v>46310</v>
      </c>
      <c r="D37" s="67" t="s">
        <v>1505</v>
      </c>
      <c r="E37" s="6" t="s">
        <v>1506</v>
      </c>
    </row>
    <row r="38" customFormat="false" ht="23.85" hidden="false" customHeight="false" outlineLevel="0" collapsed="false">
      <c r="A38" s="47" t="n">
        <v>4</v>
      </c>
      <c r="B38" s="5" t="s">
        <v>183</v>
      </c>
      <c r="C38" s="66" t="n">
        <v>46311</v>
      </c>
      <c r="D38" s="67" t="s">
        <v>1507</v>
      </c>
      <c r="E38" s="6" t="s">
        <v>1508</v>
      </c>
    </row>
    <row r="39" customFormat="false" ht="15" hidden="false" customHeight="false" outlineLevel="0" collapsed="false">
      <c r="A39" s="47" t="n">
        <v>4</v>
      </c>
      <c r="B39" s="5" t="s">
        <v>183</v>
      </c>
      <c r="C39" s="66" t="n">
        <v>46311</v>
      </c>
      <c r="D39" s="67" t="s">
        <v>1509</v>
      </c>
      <c r="E39" s="6" t="s">
        <v>1510</v>
      </c>
    </row>
    <row r="40" customFormat="false" ht="23.85" hidden="false" customHeight="false" outlineLevel="0" collapsed="false">
      <c r="A40" s="47" t="n">
        <v>4</v>
      </c>
      <c r="B40" s="5" t="s">
        <v>183</v>
      </c>
      <c r="C40" s="66" t="n">
        <v>46311</v>
      </c>
      <c r="D40" s="67" t="s">
        <v>1511</v>
      </c>
      <c r="E40" s="6" t="s">
        <v>1512</v>
      </c>
    </row>
    <row r="41" customFormat="false" ht="15" hidden="false" customHeight="false" outlineLevel="0" collapsed="false">
      <c r="A41" s="47" t="n">
        <v>4</v>
      </c>
      <c r="B41" s="5" t="s">
        <v>195</v>
      </c>
      <c r="C41" s="66" t="n">
        <v>46314</v>
      </c>
      <c r="D41" s="67" t="s">
        <v>1513</v>
      </c>
      <c r="E41" s="6" t="s">
        <v>1514</v>
      </c>
    </row>
    <row r="42" customFormat="false" ht="15" hidden="false" customHeight="false" outlineLevel="0" collapsed="false">
      <c r="A42" s="47" t="n">
        <v>4</v>
      </c>
      <c r="B42" s="5" t="s">
        <v>195</v>
      </c>
      <c r="C42" s="66" t="n">
        <v>46314</v>
      </c>
      <c r="D42" s="67" t="s">
        <v>1515</v>
      </c>
      <c r="E42" s="6" t="s">
        <v>1516</v>
      </c>
    </row>
    <row r="43" customFormat="false" ht="15" hidden="false" customHeight="false" outlineLevel="0" collapsed="false">
      <c r="A43" s="47" t="n">
        <v>4</v>
      </c>
      <c r="B43" s="5" t="s">
        <v>195</v>
      </c>
      <c r="C43" s="66" t="n">
        <v>46314</v>
      </c>
      <c r="D43" s="67" t="s">
        <v>1517</v>
      </c>
      <c r="E43" s="6" t="s">
        <v>1518</v>
      </c>
    </row>
    <row r="44" customFormat="false" ht="23.85" hidden="false" customHeight="false" outlineLevel="0" collapsed="false">
      <c r="A44" s="47" t="n">
        <v>4</v>
      </c>
      <c r="B44" s="5" t="s">
        <v>206</v>
      </c>
      <c r="C44" s="66" t="n">
        <v>46315</v>
      </c>
      <c r="D44" s="67" t="s">
        <v>1519</v>
      </c>
      <c r="E44" s="6" t="s">
        <v>1520</v>
      </c>
    </row>
    <row r="45" customFormat="false" ht="15" hidden="false" customHeight="false" outlineLevel="0" collapsed="false">
      <c r="A45" s="47" t="n">
        <v>4</v>
      </c>
      <c r="B45" s="5" t="s">
        <v>206</v>
      </c>
      <c r="C45" s="66" t="n">
        <v>46315</v>
      </c>
      <c r="D45" s="67" t="s">
        <v>1521</v>
      </c>
      <c r="E45" s="6" t="s">
        <v>1522</v>
      </c>
    </row>
    <row r="46" customFormat="false" ht="15" hidden="false" customHeight="false" outlineLevel="0" collapsed="false">
      <c r="A46" s="47" t="n">
        <v>4</v>
      </c>
      <c r="B46" s="5" t="s">
        <v>206</v>
      </c>
      <c r="C46" s="66" t="n">
        <v>46315</v>
      </c>
      <c r="D46" s="67" t="s">
        <v>1523</v>
      </c>
      <c r="E46" s="6" t="s">
        <v>1524</v>
      </c>
    </row>
    <row r="47" customFormat="false" ht="15" hidden="false" customHeight="false" outlineLevel="0" collapsed="false">
      <c r="A47" s="47" t="n">
        <v>4</v>
      </c>
      <c r="B47" s="5" t="s">
        <v>214</v>
      </c>
      <c r="C47" s="66" t="n">
        <v>46316</v>
      </c>
      <c r="D47" s="67" t="s">
        <v>1525</v>
      </c>
      <c r="E47" s="6" t="s">
        <v>1526</v>
      </c>
    </row>
    <row r="48" customFormat="false" ht="23.85" hidden="false" customHeight="false" outlineLevel="0" collapsed="false">
      <c r="A48" s="47" t="n">
        <v>4</v>
      </c>
      <c r="B48" s="5" t="s">
        <v>214</v>
      </c>
      <c r="C48" s="66" t="n">
        <v>46316</v>
      </c>
      <c r="D48" s="67" t="s">
        <v>1527</v>
      </c>
      <c r="E48" s="6" t="s">
        <v>1528</v>
      </c>
    </row>
    <row r="49" customFormat="false" ht="15" hidden="false" customHeight="false" outlineLevel="0" collapsed="false">
      <c r="A49" s="47" t="n">
        <v>4</v>
      </c>
      <c r="B49" s="5" t="s">
        <v>214</v>
      </c>
      <c r="C49" s="66" t="n">
        <v>46316</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8" display="#'Scope &amp; Sequence'.A8"/>
    <hyperlink ref="C23" location="'Scope &amp; Sequence'!A8" display="#'Scope &amp; Sequence'.A8"/>
    <hyperlink ref="C24" location="'Scope &amp; Sequence'!A8" display="#'Scope &amp; Sequence'.A8"/>
    <hyperlink ref="C25" location="'Scope &amp; Sequence'!A9" display="#'Scope &amp; Sequence'.A9"/>
    <hyperlink ref="C26" location="'Scope &amp; Sequence'!A9" display="#'Scope &amp; Sequence'.A9"/>
    <hyperlink ref="C27" location="'Scope &amp; Sequence'!A10" display="#'Scope &amp; Sequence'.A10"/>
    <hyperlink ref="C28" location="'Scope &amp; Sequence'!A10" display="#'Scope &amp; Sequence'.A10"/>
    <hyperlink ref="C29" location="'Scope &amp; Sequence'!A10" display="#'Scope &amp; Sequence'.A10"/>
    <hyperlink ref="C30" location="'Scope &amp; Sequence'!A11" display="#'Scope &amp; Sequence'.A11"/>
    <hyperlink ref="C31" location="'Scope &amp; Sequence'!A11" display="#'Scope &amp; Sequence'.A11"/>
    <hyperlink ref="C32" location="'Scope &amp; Sequence'!A16" display="#'Scope &amp; Sequence'.A16"/>
    <hyperlink ref="C33" location="'Scope &amp; Sequence'!A16" display="#'Scope &amp; Sequence'.A16"/>
    <hyperlink ref="C34" location="'Scope &amp; Sequence'!A16" display="#'Scope &amp; Sequence'.A16"/>
    <hyperlink ref="C35" location="'Scope &amp; Sequence'!A17" display="#'Scope &amp; Sequence'.A17"/>
    <hyperlink ref="C36" location="'Scope &amp; Sequence'!A17" display="#'Scope &amp; Sequence'.A17"/>
    <hyperlink ref="C37" location="'Scope &amp; Sequence'!A17" display="#'Scope &amp; Sequence'.A17"/>
    <hyperlink ref="C38" location="'Scope &amp; Sequence'!A18" display="#'Scope &amp; Sequence'.A18"/>
    <hyperlink ref="C39" location="'Scope &amp; Sequence'!A18" display="#'Scope &amp; Sequence'.A18"/>
    <hyperlink ref="C40" location="'Scope &amp; Sequence'!A18" display="#'Scope &amp; Sequence'.A18"/>
    <hyperlink ref="C41" location="'Scope &amp; Sequence'!A19" display="#'Scope &amp; Sequence'.A19"/>
    <hyperlink ref="C42" location="'Scope &amp; Sequence'!A19" display="#'Scope &amp; Sequence'.A19"/>
    <hyperlink ref="C43" location="'Scope &amp; Sequence'!A19" display="#'Scope &amp; Sequence'.A19"/>
    <hyperlink ref="C44" location="'Scope &amp; Sequence'!A20" display="#'Scope &amp; Sequence'.A20"/>
    <hyperlink ref="C45" location="'Scope &amp; Sequence'!A20" display="#'Scope &amp; Sequence'.A20"/>
    <hyperlink ref="C46" location="'Scope &amp; Sequence'!A20" display="#'Scope &amp; Sequence'.A20"/>
    <hyperlink ref="C47" location="'Scope &amp; Sequence'!A21" display="#'Scope &amp; Sequence'.A21"/>
    <hyperlink ref="C48" location="'Scope &amp; Sequence'!A21" display="#'Scope &amp; Sequence'.A21"/>
    <hyperlink ref="C49" location="'Scope &amp; Sequence'!A21" display="#'Scope &amp; Sequence'.A2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29</v>
      </c>
      <c r="B1" s="9" t="s">
        <v>1531</v>
      </c>
      <c r="C1" s="9" t="s">
        <v>927</v>
      </c>
      <c r="D1" s="9" t="s">
        <v>928</v>
      </c>
      <c r="E1" s="9" t="s">
        <v>1532</v>
      </c>
      <c r="F1" s="9" t="s">
        <v>674</v>
      </c>
      <c r="G1" s="9" t="s">
        <v>1533</v>
      </c>
      <c r="H1" s="9" t="s">
        <v>1534</v>
      </c>
      <c r="I1" s="9" t="s">
        <v>1213</v>
      </c>
      <c r="J1" s="9" t="s">
        <v>153</v>
      </c>
      <c r="K1" s="9" t="s">
        <v>154</v>
      </c>
      <c r="L1" s="9" t="s">
        <v>157</v>
      </c>
      <c r="M1" s="9" t="s">
        <v>158</v>
      </c>
      <c r="N1" s="9" t="s">
        <v>1535</v>
      </c>
    </row>
    <row r="2" customFormat="false" ht="23.85" hidden="false" customHeight="false" outlineLevel="0" collapsed="false">
      <c r="A2" s="56" t="n">
        <v>1</v>
      </c>
      <c r="B2" s="6" t="s">
        <v>1536</v>
      </c>
      <c r="C2" s="53" t="s">
        <v>1215</v>
      </c>
      <c r="D2" s="7"/>
      <c r="E2" s="7"/>
      <c r="F2" s="6" t="s">
        <v>1537</v>
      </c>
      <c r="G2" s="8" t="s">
        <v>43</v>
      </c>
      <c r="H2" s="8" t="s">
        <v>41</v>
      </c>
      <c r="I2" s="8" t="s">
        <v>41</v>
      </c>
      <c r="J2" s="8" t="s">
        <v>41</v>
      </c>
      <c r="K2" s="8" t="s">
        <v>41</v>
      </c>
      <c r="L2" s="8" t="s">
        <v>41</v>
      </c>
      <c r="M2" s="8" t="s">
        <v>41</v>
      </c>
      <c r="N2" s="8" t="s">
        <v>43</v>
      </c>
    </row>
    <row r="3" customFormat="false" ht="23.85" hidden="false" customHeight="false" outlineLevel="0" collapsed="false">
      <c r="A3" s="56" t="n">
        <v>2</v>
      </c>
      <c r="B3" s="6" t="s">
        <v>1538</v>
      </c>
      <c r="C3" s="53" t="s">
        <v>1215</v>
      </c>
      <c r="D3" s="7"/>
      <c r="E3" s="7"/>
      <c r="F3" s="6" t="s">
        <v>1537</v>
      </c>
      <c r="G3" s="8" t="s">
        <v>43</v>
      </c>
      <c r="H3" s="8" t="s">
        <v>41</v>
      </c>
      <c r="I3" s="8" t="s">
        <v>41</v>
      </c>
      <c r="J3" s="8" t="s">
        <v>41</v>
      </c>
      <c r="K3" s="8" t="s">
        <v>41</v>
      </c>
      <c r="L3" s="8" t="s">
        <v>41</v>
      </c>
      <c r="M3" s="8" t="s">
        <v>41</v>
      </c>
      <c r="N3" s="8" t="s">
        <v>43</v>
      </c>
    </row>
    <row r="4" customFormat="false" ht="15" hidden="false" customHeight="false" outlineLevel="0" collapsed="false">
      <c r="A4" s="56" t="n">
        <v>3</v>
      </c>
      <c r="B4" s="6" t="s">
        <v>1539</v>
      </c>
      <c r="C4" s="52" t="n">
        <v>46288</v>
      </c>
      <c r="D4" s="52" t="n">
        <v>46308</v>
      </c>
      <c r="E4" s="47" t="n">
        <f aca="false">COUNTIF('Scope &amp; Sequence'!$C$2:$C$132,A4)</f>
        <v>14</v>
      </c>
      <c r="F4" s="6" t="s">
        <v>1540</v>
      </c>
      <c r="G4" s="8" t="s">
        <v>43</v>
      </c>
      <c r="H4" s="8" t="s">
        <v>41</v>
      </c>
      <c r="I4" s="8" t="s">
        <v>41</v>
      </c>
      <c r="J4" s="8" t="s">
        <v>41</v>
      </c>
      <c r="K4" s="8" t="s">
        <v>41</v>
      </c>
      <c r="L4" s="8" t="s">
        <v>41</v>
      </c>
      <c r="M4" s="8" t="s">
        <v>41</v>
      </c>
      <c r="N4" s="8" t="s">
        <v>43</v>
      </c>
    </row>
    <row r="5" customFormat="false" ht="15" hidden="false" customHeight="false" outlineLevel="0" collapsed="false">
      <c r="A5" s="56" t="n">
        <v>4</v>
      </c>
      <c r="B5" s="6" t="s">
        <v>1541</v>
      </c>
      <c r="C5" s="52" t="n">
        <v>46309</v>
      </c>
      <c r="D5" s="52" t="n">
        <v>46321</v>
      </c>
      <c r="E5" s="47" t="n">
        <f aca="false">COUNTIF('Scope &amp; Sequence'!$C$2:$C$132,A5)</f>
        <v>9</v>
      </c>
      <c r="F5" s="6" t="s">
        <v>1540</v>
      </c>
      <c r="G5" s="8" t="s">
        <v>43</v>
      </c>
      <c r="H5" s="8" t="s">
        <v>41</v>
      </c>
      <c r="I5" s="8" t="s">
        <v>41</v>
      </c>
      <c r="J5" s="8" t="s">
        <v>41</v>
      </c>
      <c r="K5" s="8" t="s">
        <v>41</v>
      </c>
      <c r="L5" s="8" t="s">
        <v>41</v>
      </c>
      <c r="M5" s="8" t="s">
        <v>41</v>
      </c>
      <c r="N5" s="8" t="s">
        <v>43</v>
      </c>
    </row>
    <row r="6" customFormat="false" ht="23.85" hidden="false" customHeight="false" outlineLevel="0" collapsed="false">
      <c r="A6" s="56" t="n">
        <v>5</v>
      </c>
      <c r="B6" s="6" t="s">
        <v>1542</v>
      </c>
      <c r="C6" s="52" t="n">
        <v>46322</v>
      </c>
      <c r="D6" s="52" t="n">
        <v>46332</v>
      </c>
      <c r="E6" s="47" t="n">
        <f aca="false">COUNTIF('Scope &amp; Sequence'!$C$2:$C$132,A6)</f>
        <v>9</v>
      </c>
      <c r="F6" s="53" t="s">
        <v>230</v>
      </c>
      <c r="G6" s="7"/>
      <c r="H6" s="7"/>
      <c r="I6" s="7"/>
      <c r="J6" s="7"/>
      <c r="K6" s="7"/>
      <c r="L6" s="7"/>
      <c r="M6" s="7"/>
      <c r="N6" s="7"/>
    </row>
    <row r="7" customFormat="false" ht="15" hidden="false" customHeight="false" outlineLevel="0" collapsed="false">
      <c r="A7" s="56" t="n">
        <v>6</v>
      </c>
      <c r="B7" s="6" t="s">
        <v>1543</v>
      </c>
      <c r="C7" s="52" t="n">
        <v>46335</v>
      </c>
      <c r="D7" s="52" t="n">
        <v>46358</v>
      </c>
      <c r="E7" s="47" t="n">
        <f aca="false">COUNTIF('Scope &amp; Sequence'!$C$2:$C$132,A7)</f>
        <v>12</v>
      </c>
      <c r="F7" s="53" t="s">
        <v>230</v>
      </c>
      <c r="G7" s="7"/>
      <c r="H7" s="7"/>
      <c r="I7" s="7"/>
      <c r="J7" s="7"/>
      <c r="K7" s="7"/>
      <c r="L7" s="7"/>
      <c r="M7" s="7"/>
      <c r="N7" s="7"/>
    </row>
    <row r="8" customFormat="false" ht="15" hidden="false" customHeight="false" outlineLevel="0" collapsed="false">
      <c r="A8" s="56" t="n">
        <v>7</v>
      </c>
      <c r="B8" s="6" t="s">
        <v>1544</v>
      </c>
      <c r="C8" s="52" t="n">
        <v>46359</v>
      </c>
      <c r="D8" s="52" t="n">
        <v>46367</v>
      </c>
      <c r="E8" s="47" t="n">
        <f aca="false">COUNTIF('Scope &amp; Sequence'!$C$2:$C$132,A8)</f>
        <v>7</v>
      </c>
      <c r="F8" s="53" t="s">
        <v>230</v>
      </c>
      <c r="G8" s="7"/>
      <c r="H8" s="7"/>
      <c r="I8" s="7"/>
      <c r="J8" s="7"/>
      <c r="K8" s="7"/>
      <c r="L8" s="7"/>
      <c r="M8" s="7"/>
      <c r="N8" s="7"/>
    </row>
    <row r="9" customFormat="false" ht="15" hidden="false" customHeight="false" outlineLevel="0" collapsed="false">
      <c r="A9" s="56" t="n">
        <v>8</v>
      </c>
      <c r="B9" s="6" t="s">
        <v>1545</v>
      </c>
      <c r="C9" s="52" t="n">
        <v>46373</v>
      </c>
      <c r="D9" s="52" t="n">
        <v>46395</v>
      </c>
      <c r="E9" s="47" t="n">
        <f aca="false">COUNTIF('Scope &amp; Sequence'!$C$2:$C$132,A9)</f>
        <v>5</v>
      </c>
      <c r="F9" s="53" t="s">
        <v>230</v>
      </c>
      <c r="G9" s="7"/>
      <c r="H9" s="7"/>
      <c r="I9" s="7"/>
      <c r="J9" s="7"/>
      <c r="K9" s="7"/>
      <c r="L9" s="7"/>
      <c r="M9" s="7"/>
      <c r="N9" s="7"/>
    </row>
    <row r="10" customFormat="false" ht="15" hidden="false" customHeight="false" outlineLevel="0" collapsed="false">
      <c r="A10" s="56" t="n">
        <v>9</v>
      </c>
      <c r="B10" s="6" t="s">
        <v>1546</v>
      </c>
      <c r="C10" s="52" t="n">
        <v>46398</v>
      </c>
      <c r="D10" s="52" t="n">
        <v>46406</v>
      </c>
      <c r="E10" s="47" t="n">
        <f aca="false">COUNTIF('Scope &amp; Sequence'!$C$2:$C$132,A10)</f>
        <v>6</v>
      </c>
      <c r="F10" s="53" t="s">
        <v>230</v>
      </c>
      <c r="G10" s="7"/>
      <c r="H10" s="7"/>
      <c r="I10" s="7"/>
      <c r="J10" s="7"/>
      <c r="K10" s="7"/>
      <c r="L10" s="7"/>
      <c r="M10" s="7"/>
      <c r="N10" s="7"/>
    </row>
    <row r="11" customFormat="false" ht="15" hidden="false" customHeight="false" outlineLevel="0" collapsed="false">
      <c r="A11" s="56" t="n">
        <v>10</v>
      </c>
      <c r="B11" s="6" t="s">
        <v>1547</v>
      </c>
      <c r="C11" s="52" t="n">
        <v>46407</v>
      </c>
      <c r="D11" s="52" t="n">
        <v>46421</v>
      </c>
      <c r="E11" s="47" t="n">
        <f aca="false">COUNTIF('Scope &amp; Sequence'!$C$2:$C$132,A11)</f>
        <v>11</v>
      </c>
      <c r="F11" s="53" t="s">
        <v>230</v>
      </c>
      <c r="G11" s="7"/>
      <c r="H11" s="7"/>
      <c r="I11" s="7"/>
      <c r="J11" s="7"/>
      <c r="K11" s="7"/>
      <c r="L11" s="7"/>
      <c r="M11" s="7"/>
      <c r="N11" s="7"/>
    </row>
    <row r="12" customFormat="false" ht="15" hidden="false" customHeight="false" outlineLevel="0" collapsed="false">
      <c r="A12" s="56" t="n">
        <v>11</v>
      </c>
      <c r="B12" s="6" t="s">
        <v>1548</v>
      </c>
      <c r="C12" s="52" t="n">
        <v>46422</v>
      </c>
      <c r="D12" s="52" t="n">
        <v>46440</v>
      </c>
      <c r="E12" s="47" t="n">
        <f aca="false">COUNTIF('Scope &amp; Sequence'!$C$2:$C$132,A12)</f>
        <v>12</v>
      </c>
      <c r="F12" s="53" t="s">
        <v>230</v>
      </c>
      <c r="G12" s="7"/>
      <c r="H12" s="7"/>
      <c r="I12" s="7"/>
      <c r="J12" s="7"/>
      <c r="K12" s="7"/>
      <c r="L12" s="7"/>
      <c r="M12" s="7"/>
      <c r="N12" s="7"/>
    </row>
    <row r="13" customFormat="false" ht="15" hidden="false" customHeight="false" outlineLevel="0" collapsed="false">
      <c r="A13" s="56" t="n">
        <v>12</v>
      </c>
      <c r="B13" s="6" t="s">
        <v>1549</v>
      </c>
      <c r="C13" s="52" t="n">
        <v>46441</v>
      </c>
      <c r="D13" s="52" t="n">
        <v>46456</v>
      </c>
      <c r="E13" s="47" t="n">
        <f aca="false">COUNTIF('Scope &amp; Sequence'!$C$2:$C$132,A13)</f>
        <v>11</v>
      </c>
      <c r="F13" s="53" t="s">
        <v>230</v>
      </c>
      <c r="G13" s="7"/>
      <c r="H13" s="7"/>
      <c r="I13" s="7"/>
      <c r="J13" s="7"/>
      <c r="K13" s="7"/>
      <c r="L13" s="7"/>
      <c r="M13" s="7"/>
      <c r="N13" s="7"/>
    </row>
    <row r="14" customFormat="false" ht="15" hidden="false" customHeight="false" outlineLevel="0" collapsed="false">
      <c r="A14" s="56" t="n">
        <v>13</v>
      </c>
      <c r="B14" s="6" t="s">
        <v>1550</v>
      </c>
      <c r="C14" s="52" t="n">
        <v>46457</v>
      </c>
      <c r="D14" s="52" t="n">
        <v>46476</v>
      </c>
      <c r="E14" s="47" t="n">
        <f aca="false">COUNTIF('Scope &amp; Sequence'!$C$2:$C$132,A14)</f>
        <v>9</v>
      </c>
      <c r="F14" s="53" t="s">
        <v>230</v>
      </c>
      <c r="G14" s="7"/>
      <c r="H14" s="7"/>
      <c r="I14" s="7"/>
      <c r="J14" s="7"/>
      <c r="K14" s="7"/>
      <c r="L14" s="7"/>
      <c r="M14" s="7"/>
      <c r="N14" s="7"/>
    </row>
    <row r="15" customFormat="false" ht="15" hidden="false" customHeight="false" outlineLevel="0" collapsed="false">
      <c r="A15" s="56" t="n">
        <v>14</v>
      </c>
      <c r="B15" s="6" t="s">
        <v>1551</v>
      </c>
      <c r="C15" s="52" t="n">
        <v>46477</v>
      </c>
      <c r="D15" s="52" t="n">
        <v>46483</v>
      </c>
      <c r="E15" s="47" t="n">
        <f aca="false">COUNTIF('Scope &amp; Sequence'!$C$2:$C$132,A15)</f>
        <v>5</v>
      </c>
      <c r="F15" s="53" t="s">
        <v>230</v>
      </c>
      <c r="G15" s="7"/>
      <c r="H15" s="7"/>
      <c r="I15" s="7"/>
      <c r="J15" s="7"/>
      <c r="K15" s="7"/>
      <c r="L15" s="7"/>
      <c r="M15" s="7"/>
      <c r="N15" s="7"/>
    </row>
    <row r="16" customFormat="false" ht="15" hidden="false" customHeight="false" outlineLevel="0" collapsed="false">
      <c r="A16" s="56" t="n">
        <v>15</v>
      </c>
      <c r="B16" s="6" t="s">
        <v>1552</v>
      </c>
      <c r="C16" s="52" t="n">
        <v>46484</v>
      </c>
      <c r="D16" s="52" t="n">
        <v>46496</v>
      </c>
      <c r="E16" s="47" t="n">
        <f aca="false">COUNTIF('Scope &amp; Sequence'!$C$2:$C$132,A16)</f>
        <v>8</v>
      </c>
      <c r="F16" s="53" t="s">
        <v>230</v>
      </c>
      <c r="G16" s="7"/>
      <c r="H16" s="7"/>
      <c r="I16" s="7"/>
      <c r="J16" s="7"/>
      <c r="K16" s="7"/>
      <c r="L16" s="7"/>
      <c r="M16" s="7"/>
      <c r="N16" s="7"/>
    </row>
    <row r="17" customFormat="false" ht="15" hidden="false" customHeight="false" outlineLevel="0" collapsed="false">
      <c r="A17" s="56" t="n">
        <v>16</v>
      </c>
      <c r="B17" s="6" t="s">
        <v>1553</v>
      </c>
      <c r="C17" s="52" t="n">
        <v>46497</v>
      </c>
      <c r="D17" s="52" t="n">
        <v>46500</v>
      </c>
      <c r="E17" s="47" t="n">
        <f aca="false">COUNTIF('Scope &amp; Sequence'!$C$2:$C$132,A17)</f>
        <v>4</v>
      </c>
      <c r="F17" s="53" t="s">
        <v>230</v>
      </c>
      <c r="G17" s="7"/>
      <c r="H17" s="7"/>
      <c r="I17" s="7"/>
      <c r="J17" s="7"/>
      <c r="K17" s="7"/>
      <c r="L17" s="7"/>
      <c r="M17" s="7"/>
      <c r="N17" s="7"/>
    </row>
    <row r="18" customFormat="false" ht="15" hidden="false" customHeight="false" outlineLevel="0" collapsed="false">
      <c r="A18" s="56" t="n">
        <v>17</v>
      </c>
      <c r="B18" s="6" t="s">
        <v>1554</v>
      </c>
      <c r="C18" s="52" t="n">
        <v>46503</v>
      </c>
      <c r="D18" s="52" t="n">
        <v>46507</v>
      </c>
      <c r="E18" s="47" t="n">
        <f aca="false">COUNTIF('Scope &amp; Sequence'!$C$2:$C$132,A18)</f>
        <v>5</v>
      </c>
      <c r="F18" s="53" t="s">
        <v>230</v>
      </c>
      <c r="G18" s="7"/>
      <c r="H18" s="7"/>
      <c r="I18" s="7"/>
      <c r="J18" s="7"/>
      <c r="K18" s="7"/>
      <c r="L18" s="7"/>
      <c r="M18" s="7"/>
      <c r="N18" s="7"/>
    </row>
    <row r="20" customFormat="false" ht="15" hidden="false" customHeight="false" outlineLevel="0" collapsed="false">
      <c r="A20" s="12" t="s">
        <v>1555</v>
      </c>
    </row>
  </sheetData>
  <hyperlinks>
    <hyperlink ref="G2" r:id="rId1" display="folder"/>
    <hyperlink ref="H2" r:id="rId2" display="open"/>
    <hyperlink ref="I2" r:id="rId3" display="open"/>
    <hyperlink ref="J2" r:id="rId4" display="open"/>
    <hyperlink ref="K2" r:id="rId5" display="open"/>
    <hyperlink ref="L2" r:id="rId6" display="open"/>
    <hyperlink ref="M2" r:id="rId7" display="open"/>
    <hyperlink ref="N2" r:id="rId8" display="folder"/>
    <hyperlink ref="G3" r:id="rId9" display="folder"/>
    <hyperlink ref="H3" r:id="rId10" display="open"/>
    <hyperlink ref="I3" r:id="rId11" display="open"/>
    <hyperlink ref="J3" r:id="rId12" display="open"/>
    <hyperlink ref="K3" r:id="rId13" display="open"/>
    <hyperlink ref="L3" r:id="rId14" display="open"/>
    <hyperlink ref="M3" r:id="rId15" display="open"/>
    <hyperlink ref="N3" r:id="rId16" display="folder"/>
    <hyperlink ref="G4" r:id="rId17" display="folder"/>
    <hyperlink ref="H4" r:id="rId18" display="open"/>
    <hyperlink ref="I4" r:id="rId19" display="open"/>
    <hyperlink ref="J4" r:id="rId20" display="open"/>
    <hyperlink ref="K4" r:id="rId21" display="open"/>
    <hyperlink ref="L4" r:id="rId22" display="open"/>
    <hyperlink ref="M4" r:id="rId23" display="open"/>
    <hyperlink ref="N4" r:id="rId24" display="folder"/>
    <hyperlink ref="G5" r:id="rId25" display="folder"/>
    <hyperlink ref="H5" r:id="rId26" display="open"/>
    <hyperlink ref="I5" r:id="rId27" display="open"/>
    <hyperlink ref="J5" r:id="rId28" display="open"/>
    <hyperlink ref="K5" r:id="rId29" display="open"/>
    <hyperlink ref="L5" r:id="rId30" display="open"/>
    <hyperlink ref="M5" r:id="rId31" display="open"/>
    <hyperlink ref="N5" r:id="rId32"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6"/>
  </cols>
  <sheetData>
    <row r="1" customFormat="false" ht="30" hidden="false" customHeight="true" outlineLevel="0" collapsed="false">
      <c r="A1" s="9" t="s">
        <v>29</v>
      </c>
      <c r="B1" s="9" t="s">
        <v>2</v>
      </c>
      <c r="C1" s="9" t="s">
        <v>11</v>
      </c>
      <c r="D1" s="9" t="s">
        <v>13</v>
      </c>
      <c r="E1" s="9" t="s">
        <v>15</v>
      </c>
      <c r="F1" s="9" t="s">
        <v>1556</v>
      </c>
      <c r="G1" s="9" t="s">
        <v>1557</v>
      </c>
    </row>
    <row r="2" customFormat="false" ht="15" hidden="false" customHeight="false" outlineLevel="0" collapsed="false">
      <c r="A2" s="56" t="n">
        <v>1</v>
      </c>
      <c r="B2" s="5" t="s">
        <v>1558</v>
      </c>
      <c r="C2" s="8" t="s">
        <v>41</v>
      </c>
      <c r="D2" s="8" t="s">
        <v>41</v>
      </c>
      <c r="E2" s="8" t="s">
        <v>41</v>
      </c>
      <c r="F2" s="8" t="s">
        <v>41</v>
      </c>
      <c r="G2" s="8" t="s">
        <v>43</v>
      </c>
    </row>
    <row r="3" customFormat="false" ht="15" hidden="false" customHeight="false" outlineLevel="0" collapsed="false">
      <c r="A3" s="56" t="n">
        <v>1</v>
      </c>
      <c r="B3" s="5" t="s">
        <v>1559</v>
      </c>
      <c r="C3" s="8" t="s">
        <v>41</v>
      </c>
      <c r="D3" s="8" t="s">
        <v>41</v>
      </c>
      <c r="E3" s="8" t="s">
        <v>41</v>
      </c>
      <c r="F3" s="8" t="s">
        <v>41</v>
      </c>
      <c r="G3" s="8" t="s">
        <v>43</v>
      </c>
    </row>
    <row r="4" customFormat="false" ht="15" hidden="false" customHeight="false" outlineLevel="0" collapsed="false">
      <c r="A4" s="56" t="n">
        <v>1</v>
      </c>
      <c r="B4" s="5" t="s">
        <v>1560</v>
      </c>
      <c r="C4" s="8" t="s">
        <v>41</v>
      </c>
      <c r="D4" s="8" t="s">
        <v>41</v>
      </c>
      <c r="E4" s="8" t="s">
        <v>41</v>
      </c>
      <c r="F4" s="8" t="s">
        <v>41</v>
      </c>
      <c r="G4" s="8" t="s">
        <v>43</v>
      </c>
    </row>
    <row r="5" customFormat="false" ht="15" hidden="false" customHeight="false" outlineLevel="0" collapsed="false">
      <c r="A5" s="56" t="n">
        <v>1</v>
      </c>
      <c r="B5" s="5" t="s">
        <v>1561</v>
      </c>
      <c r="C5" s="8" t="s">
        <v>41</v>
      </c>
      <c r="D5" s="8" t="s">
        <v>41</v>
      </c>
      <c r="E5" s="8" t="s">
        <v>41</v>
      </c>
      <c r="F5" s="8" t="s">
        <v>41</v>
      </c>
      <c r="G5" s="8" t="s">
        <v>43</v>
      </c>
    </row>
    <row r="6" customFormat="false" ht="15" hidden="false" customHeight="false" outlineLevel="0" collapsed="false">
      <c r="A6" s="56" t="n">
        <v>1</v>
      </c>
      <c r="B6" s="5" t="s">
        <v>1562</v>
      </c>
      <c r="C6" s="8" t="s">
        <v>41</v>
      </c>
      <c r="D6" s="8" t="s">
        <v>41</v>
      </c>
      <c r="E6" s="8" t="s">
        <v>41</v>
      </c>
      <c r="F6" s="8" t="s">
        <v>41</v>
      </c>
      <c r="G6" s="8" t="s">
        <v>43</v>
      </c>
    </row>
    <row r="7" customFormat="false" ht="15" hidden="false" customHeight="false" outlineLevel="0" collapsed="false">
      <c r="A7" s="56" t="n">
        <v>1</v>
      </c>
      <c r="B7" s="5" t="s">
        <v>1563</v>
      </c>
      <c r="C7" s="8" t="s">
        <v>41</v>
      </c>
      <c r="D7" s="8" t="s">
        <v>41</v>
      </c>
      <c r="E7" s="8" t="s">
        <v>41</v>
      </c>
      <c r="F7" s="8" t="s">
        <v>41</v>
      </c>
      <c r="G7" s="8" t="s">
        <v>43</v>
      </c>
    </row>
    <row r="8" customFormat="false" ht="15" hidden="false" customHeight="false" outlineLevel="0" collapsed="false">
      <c r="A8" s="56" t="n">
        <v>1</v>
      </c>
      <c r="B8" s="5" t="s">
        <v>1564</v>
      </c>
      <c r="C8" s="8" t="s">
        <v>41</v>
      </c>
      <c r="D8" s="8" t="s">
        <v>41</v>
      </c>
      <c r="E8" s="8" t="s">
        <v>41</v>
      </c>
      <c r="F8" s="8" t="s">
        <v>41</v>
      </c>
      <c r="G8" s="8" t="s">
        <v>43</v>
      </c>
    </row>
    <row r="9" customFormat="false" ht="15" hidden="false" customHeight="false" outlineLevel="0" collapsed="false">
      <c r="A9" s="56" t="n">
        <v>1</v>
      </c>
      <c r="B9" s="5" t="s">
        <v>1565</v>
      </c>
      <c r="C9" s="8" t="s">
        <v>41</v>
      </c>
      <c r="D9" s="8" t="s">
        <v>41</v>
      </c>
      <c r="E9" s="8" t="s">
        <v>41</v>
      </c>
      <c r="F9" s="8" t="s">
        <v>41</v>
      </c>
      <c r="G9" s="8" t="s">
        <v>43</v>
      </c>
    </row>
    <row r="10" customFormat="false" ht="15" hidden="false" customHeight="false" outlineLevel="0" collapsed="false">
      <c r="A10" s="56" t="n">
        <v>1</v>
      </c>
      <c r="B10" s="5" t="s">
        <v>1566</v>
      </c>
      <c r="C10" s="8" t="s">
        <v>41</v>
      </c>
      <c r="D10" s="8" t="s">
        <v>41</v>
      </c>
      <c r="E10" s="8" t="s">
        <v>41</v>
      </c>
      <c r="F10" s="8" t="s">
        <v>41</v>
      </c>
      <c r="G10" s="8" t="s">
        <v>43</v>
      </c>
    </row>
    <row r="11" customFormat="false" ht="15" hidden="false" customHeight="false" outlineLevel="0" collapsed="false">
      <c r="A11" s="56" t="n">
        <v>1</v>
      </c>
      <c r="B11" s="5" t="s">
        <v>1567</v>
      </c>
      <c r="C11" s="8" t="s">
        <v>41</v>
      </c>
      <c r="D11" s="8" t="s">
        <v>41</v>
      </c>
      <c r="E11" s="8" t="s">
        <v>41</v>
      </c>
      <c r="F11" s="8" t="s">
        <v>41</v>
      </c>
      <c r="G11" s="8" t="s">
        <v>43</v>
      </c>
    </row>
    <row r="12" customFormat="false" ht="15" hidden="false" customHeight="false" outlineLevel="0" collapsed="false">
      <c r="A12" s="56" t="n">
        <v>2</v>
      </c>
      <c r="B12" s="5" t="s">
        <v>1568</v>
      </c>
      <c r="C12" s="8" t="s">
        <v>41</v>
      </c>
      <c r="D12" s="8" t="s">
        <v>41</v>
      </c>
      <c r="E12" s="8" t="s">
        <v>41</v>
      </c>
      <c r="F12" s="8" t="s">
        <v>41</v>
      </c>
      <c r="G12" s="8" t="s">
        <v>43</v>
      </c>
    </row>
    <row r="13" customFormat="false" ht="15" hidden="false" customHeight="false" outlineLevel="0" collapsed="false">
      <c r="A13" s="56" t="n">
        <v>2</v>
      </c>
      <c r="B13" s="5" t="s">
        <v>1569</v>
      </c>
      <c r="C13" s="8" t="s">
        <v>41</v>
      </c>
      <c r="D13" s="8" t="s">
        <v>41</v>
      </c>
      <c r="E13" s="8" t="s">
        <v>41</v>
      </c>
      <c r="F13" s="8" t="s">
        <v>41</v>
      </c>
      <c r="G13" s="8" t="s">
        <v>43</v>
      </c>
    </row>
    <row r="14" customFormat="false" ht="15" hidden="false" customHeight="false" outlineLevel="0" collapsed="false">
      <c r="A14" s="56" t="n">
        <v>2</v>
      </c>
      <c r="B14" s="5" t="s">
        <v>1570</v>
      </c>
      <c r="C14" s="8" t="s">
        <v>41</v>
      </c>
      <c r="D14" s="8" t="s">
        <v>41</v>
      </c>
      <c r="E14" s="8" t="s">
        <v>41</v>
      </c>
      <c r="F14" s="8" t="s">
        <v>41</v>
      </c>
      <c r="G14" s="8" t="s">
        <v>43</v>
      </c>
    </row>
    <row r="15" customFormat="false" ht="15" hidden="false" customHeight="false" outlineLevel="0" collapsed="false">
      <c r="A15" s="56" t="n">
        <v>2</v>
      </c>
      <c r="B15" s="5" t="s">
        <v>1571</v>
      </c>
      <c r="C15" s="8" t="s">
        <v>41</v>
      </c>
      <c r="D15" s="8" t="s">
        <v>41</v>
      </c>
      <c r="E15" s="8" t="s">
        <v>41</v>
      </c>
      <c r="F15" s="8" t="s">
        <v>41</v>
      </c>
      <c r="G15" s="8" t="s">
        <v>43</v>
      </c>
    </row>
    <row r="16" customFormat="false" ht="15" hidden="false" customHeight="false" outlineLevel="0" collapsed="false">
      <c r="A16" s="56" t="n">
        <v>2</v>
      </c>
      <c r="B16" s="5" t="s">
        <v>1572</v>
      </c>
      <c r="C16" s="8" t="s">
        <v>41</v>
      </c>
      <c r="D16" s="8" t="s">
        <v>41</v>
      </c>
      <c r="E16" s="8" t="s">
        <v>41</v>
      </c>
      <c r="F16" s="8" t="s">
        <v>41</v>
      </c>
      <c r="G16" s="8" t="s">
        <v>43</v>
      </c>
    </row>
    <row r="17" customFormat="false" ht="15" hidden="false" customHeight="false" outlineLevel="0" collapsed="false">
      <c r="A17" s="56" t="n">
        <v>2</v>
      </c>
      <c r="B17" s="5" t="s">
        <v>1573</v>
      </c>
      <c r="C17" s="8" t="s">
        <v>41</v>
      </c>
      <c r="D17" s="8" t="s">
        <v>41</v>
      </c>
      <c r="E17" s="7"/>
      <c r="F17" s="8" t="s">
        <v>41</v>
      </c>
      <c r="G17" s="8" t="s">
        <v>43</v>
      </c>
    </row>
  </sheetData>
  <hyperlinks>
    <hyperlink ref="C2" r:id="rId1" display="open"/>
    <hyperlink ref="D2" r:id="rId2" display="open"/>
    <hyperlink ref="E2" r:id="rId3" display="open"/>
    <hyperlink ref="F2" r:id="rId4" display="open"/>
    <hyperlink ref="G2" r:id="rId5" display="folder"/>
    <hyperlink ref="C3" r:id="rId6" display="open"/>
    <hyperlink ref="D3" r:id="rId7" display="open"/>
    <hyperlink ref="E3" r:id="rId8" display="open"/>
    <hyperlink ref="F3" r:id="rId9" display="open"/>
    <hyperlink ref="G3" r:id="rId10" display="folder"/>
    <hyperlink ref="C4" r:id="rId11" display="open"/>
    <hyperlink ref="D4" r:id="rId12" display="open"/>
    <hyperlink ref="E4" r:id="rId13" display="open"/>
    <hyperlink ref="F4" r:id="rId14" display="open"/>
    <hyperlink ref="G4" r:id="rId15" display="folder"/>
    <hyperlink ref="C5" r:id="rId16" display="open"/>
    <hyperlink ref="D5" r:id="rId17" display="open"/>
    <hyperlink ref="E5" r:id="rId18" display="open"/>
    <hyperlink ref="F5" r:id="rId19" display="open"/>
    <hyperlink ref="G5" r:id="rId20" display="folder"/>
    <hyperlink ref="C6" r:id="rId21" display="open"/>
    <hyperlink ref="D6" r:id="rId22" display="open"/>
    <hyperlink ref="E6" r:id="rId23" display="open"/>
    <hyperlink ref="F6" r:id="rId24" display="open"/>
    <hyperlink ref="G6" r:id="rId25" display="folder"/>
    <hyperlink ref="C7" r:id="rId26" display="open"/>
    <hyperlink ref="D7" r:id="rId27" display="open"/>
    <hyperlink ref="E7" r:id="rId28" display="open"/>
    <hyperlink ref="F7" r:id="rId29" display="open"/>
    <hyperlink ref="G7" r:id="rId30" display="folder"/>
    <hyperlink ref="C8" r:id="rId31" display="open"/>
    <hyperlink ref="D8" r:id="rId32" display="open"/>
    <hyperlink ref="E8" r:id="rId33" display="open"/>
    <hyperlink ref="F8" r:id="rId34" display="open"/>
    <hyperlink ref="G8" r:id="rId35" display="folder"/>
    <hyperlink ref="C9" r:id="rId36" display="open"/>
    <hyperlink ref="D9" r:id="rId37" display="open"/>
    <hyperlink ref="E9" r:id="rId38" display="open"/>
    <hyperlink ref="F9" r:id="rId39" display="open"/>
    <hyperlink ref="G9" r:id="rId40" display="folder"/>
    <hyperlink ref="C10" r:id="rId41" display="open"/>
    <hyperlink ref="D10" r:id="rId42" display="open"/>
    <hyperlink ref="E10" r:id="rId43" display="open"/>
    <hyperlink ref="F10" r:id="rId44" display="open"/>
    <hyperlink ref="G10" r:id="rId45" display="folder"/>
    <hyperlink ref="C11" r:id="rId46" display="open"/>
    <hyperlink ref="D11" r:id="rId47" display="open"/>
    <hyperlink ref="E11" r:id="rId48" display="open"/>
    <hyperlink ref="F11" r:id="rId49" display="open"/>
    <hyperlink ref="G11" r:id="rId50" display="folder"/>
    <hyperlink ref="C12" r:id="rId51" display="open"/>
    <hyperlink ref="D12" r:id="rId52" display="open"/>
    <hyperlink ref="E12" r:id="rId53" display="open"/>
    <hyperlink ref="F12" r:id="rId54" display="open"/>
    <hyperlink ref="G12" r:id="rId55" display="folder"/>
    <hyperlink ref="C13" r:id="rId56" display="open"/>
    <hyperlink ref="D13" r:id="rId57" display="open"/>
    <hyperlink ref="E13" r:id="rId58" display="open"/>
    <hyperlink ref="F13" r:id="rId59" display="open"/>
    <hyperlink ref="G13" r:id="rId60" display="folder"/>
    <hyperlink ref="C14" r:id="rId61" display="open"/>
    <hyperlink ref="D14" r:id="rId62" display="open"/>
    <hyperlink ref="E14" r:id="rId63" display="open"/>
    <hyperlink ref="F14" r:id="rId64" display="open"/>
    <hyperlink ref="G14" r:id="rId65" display="folder"/>
    <hyperlink ref="C15" r:id="rId66" display="open"/>
    <hyperlink ref="D15" r:id="rId67" display="open"/>
    <hyperlink ref="E15" r:id="rId68" display="open"/>
    <hyperlink ref="F15" r:id="rId69" display="open"/>
    <hyperlink ref="G15" r:id="rId70" display="folder"/>
    <hyperlink ref="C16" r:id="rId71" display="open"/>
    <hyperlink ref="D16" r:id="rId72" display="open"/>
    <hyperlink ref="E16" r:id="rId73" display="open"/>
    <hyperlink ref="F16" r:id="rId74" display="open"/>
    <hyperlink ref="G16" r:id="rId75" display="folder"/>
    <hyperlink ref="C17" r:id="rId76" display="open"/>
    <hyperlink ref="D17" r:id="rId77" display="open"/>
    <hyperlink ref="F17" r:id="rId78" display="open"/>
    <hyperlink ref="G17" r:id="rId79"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1574</v>
      </c>
    </row>
    <row r="2" customFormat="false" ht="23.85" hidden="false" customHeight="false" outlineLevel="0" collapsed="false">
      <c r="A2" s="69" t="s">
        <v>1575</v>
      </c>
    </row>
    <row r="3" customFormat="false" ht="15" hidden="false" customHeight="false" outlineLevel="0" collapsed="false">
      <c r="A3" s="69"/>
    </row>
    <row r="4" customFormat="false" ht="15" hidden="false" customHeight="false" outlineLevel="0" collapsed="false">
      <c r="A4" s="68" t="s">
        <v>1576</v>
      </c>
    </row>
    <row r="5" customFormat="false" ht="23.85" hidden="false" customHeight="false" outlineLevel="0" collapsed="false">
      <c r="A5" s="69" t="s">
        <v>1577</v>
      </c>
    </row>
    <row r="6" customFormat="false" ht="35.05" hidden="false" customHeight="false" outlineLevel="0" collapsed="false">
      <c r="A6" s="69" t="s">
        <v>1578</v>
      </c>
    </row>
    <row r="7" customFormat="false" ht="23.85" hidden="false" customHeight="false" outlineLevel="0" collapsed="false">
      <c r="A7" s="69" t="s">
        <v>1579</v>
      </c>
    </row>
    <row r="8" customFormat="false" ht="15" hidden="false" customHeight="false" outlineLevel="0" collapsed="false">
      <c r="A8" s="69" t="s">
        <v>1580</v>
      </c>
    </row>
    <row r="9" customFormat="false" ht="15" hidden="false" customHeight="false" outlineLevel="0" collapsed="false">
      <c r="A9" s="69" t="s">
        <v>1581</v>
      </c>
    </row>
    <row r="10" customFormat="false" ht="15" hidden="false" customHeight="false" outlineLevel="0" collapsed="false">
      <c r="A10" s="69" t="s">
        <v>1582</v>
      </c>
    </row>
    <row r="11" customFormat="false" ht="15" hidden="false" customHeight="false" outlineLevel="0" collapsed="false">
      <c r="A11" s="69" t="s">
        <v>1583</v>
      </c>
    </row>
    <row r="12" customFormat="false" ht="15" hidden="false" customHeight="false" outlineLevel="0" collapsed="false">
      <c r="A12" s="69" t="s">
        <v>1584</v>
      </c>
    </row>
    <row r="13" customFormat="false" ht="15" hidden="false" customHeight="false" outlineLevel="0" collapsed="false">
      <c r="A13" s="69" t="s">
        <v>1585</v>
      </c>
    </row>
    <row r="14" customFormat="false" ht="15" hidden="false" customHeight="false" outlineLevel="0" collapsed="false">
      <c r="A14" s="69"/>
    </row>
    <row r="15" customFormat="false" ht="15" hidden="false" customHeight="false" outlineLevel="0" collapsed="false">
      <c r="A15" s="68" t="s">
        <v>1586</v>
      </c>
    </row>
    <row r="16" customFormat="false" ht="23.85" hidden="false" customHeight="false" outlineLevel="0" collapsed="false">
      <c r="A16" s="69" t="s">
        <v>1587</v>
      </c>
    </row>
    <row r="17" customFormat="false" ht="15" hidden="false" customHeight="false" outlineLevel="0" collapsed="false">
      <c r="A17" s="69" t="s">
        <v>1588</v>
      </c>
    </row>
    <row r="18" customFormat="false" ht="23.85" hidden="false" customHeight="false" outlineLevel="0" collapsed="false">
      <c r="A18" s="69" t="s">
        <v>1589</v>
      </c>
    </row>
    <row r="19" customFormat="false" ht="23.85" hidden="false" customHeight="false" outlineLevel="0" collapsed="false">
      <c r="A19" s="69" t="s">
        <v>1590</v>
      </c>
    </row>
    <row r="20" customFormat="false" ht="15" hidden="false" customHeight="false" outlineLevel="0" collapsed="false">
      <c r="A20" s="69"/>
    </row>
    <row r="21" customFormat="false" ht="15" hidden="false" customHeight="false" outlineLevel="0" collapsed="false">
      <c r="A21" s="68" t="s">
        <v>1591</v>
      </c>
    </row>
    <row r="22" customFormat="false" ht="35.05" hidden="false" customHeight="false" outlineLevel="0" collapsed="false">
      <c r="A22" s="69" t="s">
        <v>1592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23</v>
      </c>
      <c r="B1" s="70" t="s">
        <v>11</v>
      </c>
      <c r="C1" s="70" t="s">
        <v>12</v>
      </c>
      <c r="D1" s="70" t="s">
        <v>13</v>
      </c>
      <c r="E1" s="70" t="s">
        <v>14</v>
      </c>
      <c r="F1" s="70" t="s">
        <v>15</v>
      </c>
      <c r="G1" s="70" t="s">
        <v>16</v>
      </c>
      <c r="H1" s="70" t="s">
        <v>17</v>
      </c>
      <c r="I1" s="70" t="s">
        <v>18</v>
      </c>
      <c r="J1" s="70" t="s">
        <v>19</v>
      </c>
      <c r="K1" s="70" t="s">
        <v>20</v>
      </c>
      <c r="L1" s="70" t="s">
        <v>21</v>
      </c>
    </row>
    <row r="2" customFormat="false" ht="15" hidden="false" customHeight="false" outlineLevel="0" collapsed="false">
      <c r="A2" s="71" t="n">
        <v>46288</v>
      </c>
      <c r="B2" s="70" t="s">
        <v>1593</v>
      </c>
      <c r="C2" s="70" t="s">
        <v>1594</v>
      </c>
      <c r="D2" s="70" t="s">
        <v>1595</v>
      </c>
      <c r="E2" s="70" t="s">
        <v>1596</v>
      </c>
      <c r="F2" s="70" t="s">
        <v>1597</v>
      </c>
      <c r="G2" s="70" t="s">
        <v>1598</v>
      </c>
      <c r="H2" s="70" t="s">
        <v>1599</v>
      </c>
      <c r="I2" s="70" t="s">
        <v>1600</v>
      </c>
      <c r="J2" s="70" t="s">
        <v>1601</v>
      </c>
      <c r="K2" s="70" t="s">
        <v>1602</v>
      </c>
      <c r="L2" s="70" t="s">
        <v>1603</v>
      </c>
    </row>
    <row r="3" customFormat="false" ht="15" hidden="false" customHeight="false" outlineLevel="0" collapsed="false">
      <c r="A3" s="71" t="n">
        <v>46289</v>
      </c>
      <c r="B3" s="70" t="s">
        <v>1604</v>
      </c>
      <c r="C3" s="70" t="s">
        <v>1605</v>
      </c>
      <c r="D3" s="70" t="s">
        <v>1606</v>
      </c>
      <c r="E3" s="70" t="s">
        <v>1607</v>
      </c>
      <c r="F3" s="70" t="s">
        <v>1608</v>
      </c>
      <c r="G3" s="70" t="s">
        <v>1609</v>
      </c>
      <c r="H3" s="70" t="s">
        <v>1610</v>
      </c>
      <c r="I3" s="70" t="s">
        <v>1611</v>
      </c>
      <c r="J3" s="70" t="s">
        <v>1612</v>
      </c>
      <c r="K3" s="70" t="s">
        <v>1613</v>
      </c>
      <c r="L3" s="70" t="s">
        <v>1603</v>
      </c>
    </row>
    <row r="4" customFormat="false" ht="15" hidden="false" customHeight="false" outlineLevel="0" collapsed="false">
      <c r="A4" s="71" t="n">
        <v>46290</v>
      </c>
      <c r="B4" s="70" t="s">
        <v>1614</v>
      </c>
      <c r="C4" s="70" t="s">
        <v>1615</v>
      </c>
      <c r="D4" s="70" t="s">
        <v>1616</v>
      </c>
      <c r="E4" s="70" t="s">
        <v>1617</v>
      </c>
      <c r="F4" s="70" t="s">
        <v>1618</v>
      </c>
      <c r="G4" s="70" t="s">
        <v>1619</v>
      </c>
      <c r="H4" s="70" t="s">
        <v>1620</v>
      </c>
      <c r="I4" s="70" t="s">
        <v>1621</v>
      </c>
      <c r="J4" s="70" t="s">
        <v>1622</v>
      </c>
      <c r="K4" s="70" t="s">
        <v>1623</v>
      </c>
      <c r="L4" s="70" t="s">
        <v>1603</v>
      </c>
    </row>
    <row r="5" customFormat="false" ht="15" hidden="false" customHeight="false" outlineLevel="0" collapsed="false">
      <c r="A5" s="71" t="n">
        <v>46293</v>
      </c>
      <c r="B5" s="70" t="s">
        <v>1624</v>
      </c>
      <c r="C5" s="70" t="s">
        <v>1625</v>
      </c>
      <c r="D5" s="70" t="s">
        <v>1626</v>
      </c>
      <c r="E5" s="70" t="s">
        <v>1627</v>
      </c>
      <c r="F5" s="70" t="s">
        <v>1628</v>
      </c>
      <c r="G5" s="70" t="s">
        <v>1629</v>
      </c>
      <c r="H5" s="70" t="s">
        <v>1630</v>
      </c>
      <c r="I5" s="70" t="s">
        <v>1631</v>
      </c>
      <c r="J5" s="70" t="s">
        <v>1632</v>
      </c>
      <c r="K5" s="70" t="s">
        <v>1633</v>
      </c>
      <c r="L5" s="70" t="s">
        <v>1603</v>
      </c>
    </row>
    <row r="6" customFormat="false" ht="15" hidden="false" customHeight="false" outlineLevel="0" collapsed="false">
      <c r="A6" s="71" t="n">
        <v>46294</v>
      </c>
      <c r="B6" s="70" t="s">
        <v>1634</v>
      </c>
      <c r="C6" s="70" t="s">
        <v>1635</v>
      </c>
      <c r="D6" s="70" t="s">
        <v>1636</v>
      </c>
      <c r="E6" s="70" t="s">
        <v>1637</v>
      </c>
      <c r="F6" s="70" t="s">
        <v>1638</v>
      </c>
      <c r="G6" s="70" t="s">
        <v>1639</v>
      </c>
      <c r="H6" s="70" t="s">
        <v>1640</v>
      </c>
      <c r="I6" s="70" t="s">
        <v>1641</v>
      </c>
      <c r="J6" s="70" t="s">
        <v>1642</v>
      </c>
      <c r="K6" s="70" t="s">
        <v>1643</v>
      </c>
      <c r="L6" s="70" t="s">
        <v>1603</v>
      </c>
    </row>
    <row r="7" customFormat="false" ht="15" hidden="false" customHeight="false" outlineLevel="0" collapsed="false">
      <c r="A7" s="71" t="n">
        <v>46295</v>
      </c>
      <c r="B7" s="70" t="s">
        <v>1644</v>
      </c>
      <c r="C7" s="70" t="s">
        <v>1645</v>
      </c>
      <c r="D7" s="70" t="s">
        <v>1646</v>
      </c>
      <c r="E7" s="70" t="s">
        <v>1647</v>
      </c>
      <c r="F7" s="70" t="s">
        <v>1648</v>
      </c>
      <c r="G7" s="70" t="s">
        <v>1649</v>
      </c>
      <c r="H7" s="70" t="s">
        <v>1650</v>
      </c>
      <c r="I7" s="70" t="s">
        <v>1651</v>
      </c>
      <c r="J7" s="70" t="s">
        <v>1652</v>
      </c>
      <c r="K7" s="70" t="s">
        <v>1653</v>
      </c>
      <c r="L7" s="70" t="s">
        <v>1603</v>
      </c>
    </row>
    <row r="8" customFormat="false" ht="15" hidden="false" customHeight="false" outlineLevel="0" collapsed="false">
      <c r="A8" s="71" t="n">
        <v>46296</v>
      </c>
      <c r="B8" s="70" t="s">
        <v>1654</v>
      </c>
      <c r="C8" s="70" t="s">
        <v>1655</v>
      </c>
      <c r="D8" s="70" t="s">
        <v>1656</v>
      </c>
      <c r="E8" s="70" t="s">
        <v>1657</v>
      </c>
      <c r="F8" s="70" t="s">
        <v>1658</v>
      </c>
      <c r="G8" s="70" t="s">
        <v>1659</v>
      </c>
      <c r="H8" s="70" t="s">
        <v>1660</v>
      </c>
      <c r="I8" s="70" t="s">
        <v>1661</v>
      </c>
      <c r="J8" s="70" t="s">
        <v>1662</v>
      </c>
      <c r="K8" s="70" t="s">
        <v>1663</v>
      </c>
      <c r="L8" s="70" t="s">
        <v>1603</v>
      </c>
    </row>
    <row r="9" customFormat="false" ht="15" hidden="false" customHeight="false" outlineLevel="0" collapsed="false">
      <c r="A9" s="71" t="n">
        <v>46297</v>
      </c>
      <c r="B9" s="70" t="s">
        <v>1664</v>
      </c>
      <c r="C9" s="70" t="s">
        <v>1665</v>
      </c>
      <c r="D9" s="70" t="s">
        <v>1666</v>
      </c>
      <c r="E9" s="70" t="s">
        <v>1667</v>
      </c>
      <c r="F9" s="70" t="s">
        <v>1668</v>
      </c>
      <c r="G9" s="70" t="s">
        <v>1669</v>
      </c>
      <c r="H9" s="70" t="s">
        <v>1670</v>
      </c>
      <c r="I9" s="70" t="s">
        <v>1671</v>
      </c>
      <c r="J9" s="70" t="s">
        <v>1672</v>
      </c>
      <c r="K9" s="70" t="s">
        <v>1673</v>
      </c>
      <c r="L9" s="70" t="s">
        <v>1603</v>
      </c>
    </row>
    <row r="10" customFormat="false" ht="15" hidden="false" customHeight="false" outlineLevel="0" collapsed="false">
      <c r="A10" s="71" t="n">
        <v>46300</v>
      </c>
      <c r="B10" s="70" t="s">
        <v>1674</v>
      </c>
      <c r="C10" s="70" t="s">
        <v>1675</v>
      </c>
      <c r="D10" s="70" t="s">
        <v>1676</v>
      </c>
      <c r="E10" s="70" t="s">
        <v>1677</v>
      </c>
      <c r="F10" s="70" t="s">
        <v>1678</v>
      </c>
      <c r="G10" s="70" t="s">
        <v>1679</v>
      </c>
      <c r="H10" s="70" t="s">
        <v>1680</v>
      </c>
      <c r="I10" s="70" t="s">
        <v>1681</v>
      </c>
      <c r="J10" s="70" t="s">
        <v>1682</v>
      </c>
      <c r="K10" s="70" t="s">
        <v>1683</v>
      </c>
      <c r="L10" s="70" t="s">
        <v>1603</v>
      </c>
    </row>
    <row r="11" customFormat="false" ht="15" hidden="false" customHeight="false" outlineLevel="0" collapsed="false">
      <c r="A11" s="71" t="n">
        <v>46301</v>
      </c>
      <c r="B11" s="70" t="s">
        <v>1684</v>
      </c>
      <c r="C11" s="70" t="s">
        <v>1685</v>
      </c>
      <c r="D11" s="70" t="s">
        <v>1686</v>
      </c>
      <c r="E11" s="70" t="s">
        <v>1687</v>
      </c>
      <c r="F11" s="70" t="s">
        <v>1688</v>
      </c>
      <c r="G11" s="70" t="s">
        <v>1689</v>
      </c>
      <c r="H11" s="70" t="s">
        <v>1690</v>
      </c>
      <c r="I11" s="70" t="s">
        <v>1691</v>
      </c>
      <c r="J11" s="70" t="s">
        <v>1692</v>
      </c>
      <c r="K11" s="70" t="s">
        <v>1693</v>
      </c>
      <c r="L11" s="70" t="s">
        <v>1603</v>
      </c>
    </row>
    <row r="12" customFormat="false" ht="15" hidden="false" customHeight="false" outlineLevel="0" collapsed="false">
      <c r="A12" s="71" t="n">
        <v>46302</v>
      </c>
      <c r="B12" s="70" t="s">
        <v>1694</v>
      </c>
      <c r="C12" s="70"/>
      <c r="D12" s="70"/>
      <c r="E12" s="70"/>
      <c r="F12" s="70"/>
      <c r="G12" s="70" t="s">
        <v>1695</v>
      </c>
      <c r="H12" s="70"/>
      <c r="I12" s="70"/>
      <c r="J12" s="70"/>
      <c r="K12" s="70"/>
      <c r="L12" s="70" t="s">
        <v>1603</v>
      </c>
    </row>
    <row r="13" customFormat="false" ht="15" hidden="false" customHeight="false" outlineLevel="0" collapsed="false">
      <c r="A13" s="71" t="n">
        <v>46303</v>
      </c>
      <c r="B13" s="70" t="s">
        <v>1696</v>
      </c>
      <c r="C13" s="70"/>
      <c r="D13" s="70"/>
      <c r="E13" s="70"/>
      <c r="F13" s="70"/>
      <c r="G13" s="70" t="s">
        <v>1697</v>
      </c>
      <c r="H13" s="70"/>
      <c r="I13" s="70"/>
      <c r="J13" s="70"/>
      <c r="K13" s="70"/>
      <c r="L13" s="70" t="s">
        <v>1603</v>
      </c>
    </row>
    <row r="14" customFormat="false" ht="15" hidden="false" customHeight="false" outlineLevel="0" collapsed="false">
      <c r="A14" s="71" t="n">
        <v>46304</v>
      </c>
      <c r="B14" s="70" t="s">
        <v>1696</v>
      </c>
      <c r="C14" s="70"/>
      <c r="D14" s="70"/>
      <c r="E14" s="70"/>
      <c r="F14" s="70"/>
      <c r="G14" s="70" t="s">
        <v>1697</v>
      </c>
      <c r="H14" s="70"/>
      <c r="I14" s="70"/>
      <c r="J14" s="70"/>
      <c r="K14" s="70"/>
      <c r="L14" s="70" t="s">
        <v>1603</v>
      </c>
    </row>
    <row r="15" customFormat="false" ht="15" hidden="false" customHeight="false" outlineLevel="0" collapsed="false">
      <c r="A15" s="71" t="n">
        <v>46308</v>
      </c>
      <c r="B15" s="70"/>
      <c r="C15" s="70"/>
      <c r="D15" s="70"/>
      <c r="E15" s="70"/>
      <c r="F15" s="70"/>
      <c r="G15" s="70"/>
      <c r="H15" s="70"/>
      <c r="I15" s="70"/>
      <c r="J15" s="70"/>
      <c r="K15" s="70"/>
      <c r="L15" s="70" t="s">
        <v>1603</v>
      </c>
    </row>
    <row r="16" customFormat="false" ht="15" hidden="false" customHeight="false" outlineLevel="0" collapsed="false">
      <c r="A16" s="71" t="n">
        <v>46309</v>
      </c>
      <c r="B16" s="70" t="s">
        <v>1698</v>
      </c>
      <c r="C16" s="70" t="s">
        <v>1699</v>
      </c>
      <c r="D16" s="70" t="s">
        <v>1700</v>
      </c>
      <c r="E16" s="70" t="s">
        <v>1701</v>
      </c>
      <c r="F16" s="70" t="s">
        <v>1702</v>
      </c>
      <c r="G16" s="70" t="s">
        <v>1703</v>
      </c>
      <c r="H16" s="70" t="s">
        <v>1704</v>
      </c>
      <c r="I16" s="70" t="s">
        <v>1705</v>
      </c>
      <c r="J16" s="70" t="s">
        <v>1706</v>
      </c>
      <c r="K16" s="70" t="s">
        <v>1707</v>
      </c>
      <c r="L16" s="70" t="s">
        <v>1708</v>
      </c>
    </row>
    <row r="17" customFormat="false" ht="15" hidden="false" customHeight="false" outlineLevel="0" collapsed="false">
      <c r="A17" s="71" t="n">
        <v>46310</v>
      </c>
      <c r="B17" s="70" t="s">
        <v>1709</v>
      </c>
      <c r="C17" s="70" t="s">
        <v>1710</v>
      </c>
      <c r="D17" s="70" t="s">
        <v>1711</v>
      </c>
      <c r="E17" s="70" t="s">
        <v>1712</v>
      </c>
      <c r="F17" s="70" t="s">
        <v>1713</v>
      </c>
      <c r="G17" s="70" t="s">
        <v>1714</v>
      </c>
      <c r="H17" s="70" t="s">
        <v>1715</v>
      </c>
      <c r="I17" s="70" t="s">
        <v>1716</v>
      </c>
      <c r="J17" s="70" t="s">
        <v>1717</v>
      </c>
      <c r="K17" s="70" t="s">
        <v>1718</v>
      </c>
      <c r="L17" s="70" t="s">
        <v>1708</v>
      </c>
    </row>
    <row r="18" customFormat="false" ht="15" hidden="false" customHeight="false" outlineLevel="0" collapsed="false">
      <c r="A18" s="71" t="n">
        <v>46311</v>
      </c>
      <c r="B18" s="70" t="s">
        <v>1719</v>
      </c>
      <c r="C18" s="70" t="s">
        <v>1720</v>
      </c>
      <c r="D18" s="70" t="s">
        <v>1721</v>
      </c>
      <c r="E18" s="70" t="s">
        <v>1722</v>
      </c>
      <c r="F18" s="70" t="s">
        <v>1723</v>
      </c>
      <c r="G18" s="70" t="s">
        <v>1724</v>
      </c>
      <c r="H18" s="70" t="s">
        <v>1725</v>
      </c>
      <c r="I18" s="70" t="s">
        <v>1726</v>
      </c>
      <c r="J18" s="70" t="s">
        <v>1727</v>
      </c>
      <c r="K18" s="70" t="s">
        <v>1728</v>
      </c>
      <c r="L18" s="70" t="s">
        <v>1708</v>
      </c>
    </row>
    <row r="19" customFormat="false" ht="15" hidden="false" customHeight="false" outlineLevel="0" collapsed="false">
      <c r="A19" s="71" t="n">
        <v>46314</v>
      </c>
      <c r="B19" s="70" t="s">
        <v>1729</v>
      </c>
      <c r="C19" s="70" t="s">
        <v>1730</v>
      </c>
      <c r="D19" s="70" t="s">
        <v>1731</v>
      </c>
      <c r="E19" s="70" t="s">
        <v>1732</v>
      </c>
      <c r="F19" s="70" t="s">
        <v>1733</v>
      </c>
      <c r="G19" s="70" t="s">
        <v>1734</v>
      </c>
      <c r="H19" s="70" t="s">
        <v>1735</v>
      </c>
      <c r="I19" s="70" t="s">
        <v>1736</v>
      </c>
      <c r="J19" s="70" t="s">
        <v>1737</v>
      </c>
      <c r="K19" s="70" t="s">
        <v>1738</v>
      </c>
      <c r="L19" s="70" t="s">
        <v>1708</v>
      </c>
    </row>
    <row r="20" customFormat="false" ht="15" hidden="false" customHeight="false" outlineLevel="0" collapsed="false">
      <c r="A20" s="71" t="n">
        <v>46315</v>
      </c>
      <c r="B20" s="70" t="s">
        <v>1739</v>
      </c>
      <c r="C20" s="70" t="s">
        <v>1740</v>
      </c>
      <c r="D20" s="70" t="s">
        <v>1741</v>
      </c>
      <c r="E20" s="70" t="s">
        <v>1742</v>
      </c>
      <c r="F20" s="70" t="s">
        <v>1743</v>
      </c>
      <c r="G20" s="70" t="s">
        <v>1744</v>
      </c>
      <c r="H20" s="70" t="s">
        <v>1745</v>
      </c>
      <c r="I20" s="70" t="s">
        <v>1746</v>
      </c>
      <c r="J20" s="70" t="s">
        <v>1747</v>
      </c>
      <c r="K20" s="70" t="s">
        <v>1748</v>
      </c>
      <c r="L20" s="70" t="s">
        <v>1708</v>
      </c>
    </row>
    <row r="21" customFormat="false" ht="15" hidden="false" customHeight="false" outlineLevel="0" collapsed="false">
      <c r="A21" s="71" t="n">
        <v>46316</v>
      </c>
      <c r="B21" s="70" t="s">
        <v>1749</v>
      </c>
      <c r="C21" s="70" t="s">
        <v>1750</v>
      </c>
      <c r="D21" s="70" t="s">
        <v>1751</v>
      </c>
      <c r="E21" s="70" t="s">
        <v>1752</v>
      </c>
      <c r="F21" s="70" t="s">
        <v>1753</v>
      </c>
      <c r="G21" s="70" t="s">
        <v>1754</v>
      </c>
      <c r="H21" s="70" t="s">
        <v>1755</v>
      </c>
      <c r="I21" s="70" t="s">
        <v>1756</v>
      </c>
      <c r="J21" s="70" t="s">
        <v>1757</v>
      </c>
      <c r="K21" s="70" t="s">
        <v>1758</v>
      </c>
      <c r="L21" s="70" t="s">
        <v>1708</v>
      </c>
    </row>
    <row r="22" customFormat="false" ht="15" hidden="false" customHeight="false" outlineLevel="0" collapsed="false">
      <c r="A22" s="71" t="n">
        <v>46317</v>
      </c>
      <c r="B22" s="70" t="s">
        <v>1759</v>
      </c>
      <c r="C22" s="70"/>
      <c r="D22" s="70"/>
      <c r="E22" s="70"/>
      <c r="F22" s="70"/>
      <c r="G22" s="70" t="s">
        <v>1760</v>
      </c>
      <c r="H22" s="70"/>
      <c r="I22" s="70"/>
      <c r="J22" s="70"/>
      <c r="K22" s="70"/>
      <c r="L22" s="70" t="s">
        <v>1708</v>
      </c>
    </row>
    <row r="23" customFormat="false" ht="15" hidden="false" customHeight="false" outlineLevel="0" collapsed="false">
      <c r="A23" s="71" t="n">
        <v>46318</v>
      </c>
      <c r="B23" s="70" t="s">
        <v>1759</v>
      </c>
      <c r="C23" s="70"/>
      <c r="D23" s="70"/>
      <c r="E23" s="70"/>
      <c r="F23" s="70"/>
      <c r="G23" s="70" t="s">
        <v>1760</v>
      </c>
      <c r="H23" s="70"/>
      <c r="I23" s="70"/>
      <c r="J23" s="70"/>
      <c r="K23" s="70"/>
      <c r="L23" s="70" t="s">
        <v>1708</v>
      </c>
    </row>
    <row r="24" customFormat="false" ht="15" hidden="false" customHeight="false" outlineLevel="0" collapsed="false">
      <c r="A24" s="71" t="n">
        <v>46321</v>
      </c>
      <c r="B24" s="70"/>
      <c r="C24" s="70"/>
      <c r="D24" s="70"/>
      <c r="E24" s="70"/>
      <c r="F24" s="70"/>
      <c r="G24" s="70"/>
      <c r="H24" s="70"/>
      <c r="I24" s="70"/>
      <c r="J24" s="70"/>
      <c r="K24" s="70"/>
      <c r="L24" s="70" t="s">
        <v>1708</v>
      </c>
    </row>
    <row r="25" customFormat="false" ht="15" hidden="false" customHeight="false" outlineLevel="0" collapsed="false">
      <c r="A25" s="71" t="n">
        <v>46322</v>
      </c>
      <c r="B25" s="70"/>
      <c r="C25" s="70"/>
      <c r="D25" s="70"/>
      <c r="E25" s="70"/>
      <c r="F25" s="70"/>
      <c r="G25" s="70"/>
      <c r="H25" s="70"/>
      <c r="I25" s="70"/>
      <c r="J25" s="70"/>
      <c r="K25" s="70"/>
      <c r="L25" s="70"/>
    </row>
    <row r="26" customFormat="false" ht="15" hidden="false" customHeight="false" outlineLevel="0" collapsed="false">
      <c r="A26" s="71" t="n">
        <v>46323</v>
      </c>
      <c r="B26" s="70"/>
      <c r="C26" s="70"/>
      <c r="D26" s="70"/>
      <c r="E26" s="70"/>
      <c r="F26" s="70"/>
      <c r="G26" s="70"/>
      <c r="H26" s="70"/>
      <c r="I26" s="70"/>
      <c r="J26" s="70"/>
      <c r="K26" s="70"/>
      <c r="L26" s="70"/>
    </row>
    <row r="27" customFormat="false" ht="15" hidden="false" customHeight="false" outlineLevel="0" collapsed="false">
      <c r="A27" s="71" t="n">
        <v>46324</v>
      </c>
      <c r="B27" s="70"/>
      <c r="C27" s="70"/>
      <c r="D27" s="70"/>
      <c r="E27" s="70"/>
      <c r="F27" s="70"/>
      <c r="G27" s="70"/>
      <c r="H27" s="70"/>
      <c r="I27" s="70"/>
      <c r="J27" s="70"/>
      <c r="K27" s="70"/>
      <c r="L27" s="70"/>
    </row>
    <row r="28" customFormat="false" ht="15" hidden="false" customHeight="false" outlineLevel="0" collapsed="false">
      <c r="A28" s="71" t="n">
        <v>46325</v>
      </c>
      <c r="B28" s="70"/>
      <c r="C28" s="70"/>
      <c r="D28" s="70"/>
      <c r="E28" s="70"/>
      <c r="F28" s="70"/>
      <c r="G28" s="70"/>
      <c r="H28" s="70"/>
      <c r="I28" s="70"/>
      <c r="J28" s="70"/>
      <c r="K28" s="70"/>
      <c r="L28" s="70"/>
    </row>
    <row r="29" customFormat="false" ht="15" hidden="false" customHeight="false" outlineLevel="0" collapsed="false">
      <c r="A29" s="71" t="n">
        <v>46328</v>
      </c>
      <c r="B29" s="70"/>
      <c r="C29" s="70"/>
      <c r="D29" s="70"/>
      <c r="E29" s="70"/>
      <c r="F29" s="70"/>
      <c r="G29" s="70"/>
      <c r="H29" s="70"/>
      <c r="I29" s="70"/>
      <c r="J29" s="70"/>
      <c r="K29" s="70"/>
      <c r="L29" s="70"/>
    </row>
    <row r="30" customFormat="false" ht="15" hidden="false" customHeight="false" outlineLevel="0" collapsed="false">
      <c r="A30" s="71" t="n">
        <v>46329</v>
      </c>
      <c r="B30" s="70"/>
      <c r="C30" s="70"/>
      <c r="D30" s="70"/>
      <c r="E30" s="70"/>
      <c r="F30" s="70"/>
      <c r="G30" s="70"/>
      <c r="H30" s="70"/>
      <c r="I30" s="70"/>
      <c r="J30" s="70"/>
      <c r="K30" s="70"/>
      <c r="L30" s="70"/>
    </row>
    <row r="31" customFormat="false" ht="15" hidden="false" customHeight="false" outlineLevel="0" collapsed="false">
      <c r="A31" s="71" t="n">
        <v>46330</v>
      </c>
      <c r="B31" s="70"/>
      <c r="C31" s="70"/>
      <c r="D31" s="70"/>
      <c r="E31" s="70"/>
      <c r="F31" s="70"/>
      <c r="G31" s="70"/>
      <c r="H31" s="70"/>
      <c r="I31" s="70"/>
      <c r="J31" s="70"/>
      <c r="K31" s="70"/>
      <c r="L31" s="70"/>
    </row>
    <row r="32" customFormat="false" ht="15" hidden="false" customHeight="false" outlineLevel="0" collapsed="false">
      <c r="A32" s="71" t="n">
        <v>46331</v>
      </c>
      <c r="B32" s="70"/>
      <c r="C32" s="70"/>
      <c r="D32" s="70"/>
      <c r="E32" s="70"/>
      <c r="F32" s="70"/>
      <c r="G32" s="70"/>
      <c r="H32" s="70"/>
      <c r="I32" s="70"/>
      <c r="J32" s="70"/>
      <c r="K32" s="70"/>
      <c r="L32" s="70"/>
    </row>
    <row r="33" customFormat="false" ht="15" hidden="false" customHeight="false" outlineLevel="0" collapsed="false">
      <c r="A33" s="71" t="n">
        <v>46332</v>
      </c>
      <c r="B33" s="70"/>
      <c r="C33" s="70"/>
      <c r="D33" s="70"/>
      <c r="E33" s="70"/>
      <c r="F33" s="70"/>
      <c r="G33" s="70"/>
      <c r="H33" s="70"/>
      <c r="I33" s="70"/>
      <c r="J33" s="70"/>
      <c r="K33" s="70"/>
      <c r="L33" s="70"/>
    </row>
    <row r="34" customFormat="false" ht="15" hidden="false" customHeight="false" outlineLevel="0" collapsed="false">
      <c r="A34" s="71" t="n">
        <v>46335</v>
      </c>
      <c r="B34" s="70"/>
      <c r="C34" s="70"/>
      <c r="D34" s="70"/>
      <c r="E34" s="70"/>
      <c r="F34" s="70"/>
      <c r="G34" s="70"/>
      <c r="H34" s="70"/>
      <c r="I34" s="70"/>
      <c r="J34" s="70"/>
      <c r="K34" s="70"/>
      <c r="L34" s="70"/>
    </row>
    <row r="35" customFormat="false" ht="15" hidden="false" customHeight="false" outlineLevel="0" collapsed="false">
      <c r="A35" s="71" t="n">
        <v>46336</v>
      </c>
      <c r="B35" s="70"/>
      <c r="C35" s="70"/>
      <c r="D35" s="70"/>
      <c r="E35" s="70"/>
      <c r="F35" s="70"/>
      <c r="G35" s="70"/>
      <c r="H35" s="70"/>
      <c r="I35" s="70"/>
      <c r="J35" s="70"/>
      <c r="K35" s="70"/>
      <c r="L35" s="70"/>
    </row>
    <row r="36" customFormat="false" ht="15" hidden="false" customHeight="false" outlineLevel="0" collapsed="false">
      <c r="A36" s="71" t="n">
        <v>46338</v>
      </c>
      <c r="B36" s="70"/>
      <c r="C36" s="70"/>
      <c r="D36" s="70"/>
      <c r="E36" s="70"/>
      <c r="F36" s="70"/>
      <c r="G36" s="70"/>
      <c r="H36" s="70"/>
      <c r="I36" s="70"/>
      <c r="J36" s="70"/>
      <c r="K36" s="70"/>
      <c r="L36" s="70"/>
    </row>
    <row r="37" customFormat="false" ht="15" hidden="false" customHeight="false" outlineLevel="0" collapsed="false">
      <c r="A37" s="71" t="n">
        <v>46339</v>
      </c>
      <c r="B37" s="70"/>
      <c r="C37" s="70"/>
      <c r="D37" s="70"/>
      <c r="E37" s="70"/>
      <c r="F37" s="70"/>
      <c r="G37" s="70"/>
      <c r="H37" s="70"/>
      <c r="I37" s="70"/>
      <c r="J37" s="70"/>
      <c r="K37" s="70"/>
      <c r="L37" s="70"/>
    </row>
    <row r="38" customFormat="false" ht="15" hidden="false" customHeight="false" outlineLevel="0" collapsed="false">
      <c r="A38" s="71" t="n">
        <v>46342</v>
      </c>
      <c r="B38" s="70"/>
      <c r="C38" s="70"/>
      <c r="D38" s="70"/>
      <c r="E38" s="70"/>
      <c r="F38" s="70"/>
      <c r="G38" s="70"/>
      <c r="H38" s="70"/>
      <c r="I38" s="70"/>
      <c r="J38" s="70"/>
      <c r="K38" s="70"/>
      <c r="L38" s="70"/>
    </row>
    <row r="39" customFormat="false" ht="15" hidden="false" customHeight="false" outlineLevel="0" collapsed="false">
      <c r="A39" s="71" t="n">
        <v>46343</v>
      </c>
      <c r="B39" s="70"/>
      <c r="C39" s="70"/>
      <c r="D39" s="70"/>
      <c r="E39" s="70"/>
      <c r="F39" s="70"/>
      <c r="G39" s="70"/>
      <c r="H39" s="70"/>
      <c r="I39" s="70"/>
      <c r="J39" s="70"/>
      <c r="K39" s="70"/>
      <c r="L39" s="70"/>
    </row>
    <row r="40" customFormat="false" ht="15" hidden="false" customHeight="false" outlineLevel="0" collapsed="false">
      <c r="A40" s="71" t="n">
        <v>46344</v>
      </c>
      <c r="B40" s="70"/>
      <c r="C40" s="70"/>
      <c r="D40" s="70"/>
      <c r="E40" s="70"/>
      <c r="F40" s="70"/>
      <c r="G40" s="70"/>
      <c r="H40" s="70"/>
      <c r="I40" s="70"/>
      <c r="J40" s="70"/>
      <c r="K40" s="70"/>
      <c r="L40" s="70"/>
    </row>
    <row r="41" customFormat="false" ht="15" hidden="false" customHeight="false" outlineLevel="0" collapsed="false">
      <c r="A41" s="71" t="n">
        <v>46345</v>
      </c>
      <c r="B41" s="70"/>
      <c r="C41" s="70"/>
      <c r="D41" s="70"/>
      <c r="E41" s="70"/>
      <c r="F41" s="70"/>
      <c r="G41" s="70"/>
      <c r="H41" s="70"/>
      <c r="I41" s="70"/>
      <c r="J41" s="70"/>
      <c r="K41" s="70"/>
      <c r="L41" s="70"/>
    </row>
    <row r="42" customFormat="false" ht="15" hidden="false" customHeight="false" outlineLevel="0" collapsed="false">
      <c r="A42" s="71" t="n">
        <v>46346</v>
      </c>
      <c r="B42" s="70"/>
      <c r="C42" s="70"/>
      <c r="D42" s="70"/>
      <c r="E42" s="70"/>
      <c r="F42" s="70"/>
      <c r="G42" s="70"/>
      <c r="H42" s="70"/>
      <c r="I42" s="70"/>
      <c r="J42" s="70"/>
      <c r="K42" s="70"/>
      <c r="L42" s="70"/>
    </row>
    <row r="43" customFormat="false" ht="15" hidden="false" customHeight="false" outlineLevel="0" collapsed="false">
      <c r="A43" s="71" t="n">
        <v>46356</v>
      </c>
      <c r="B43" s="70"/>
      <c r="C43" s="70"/>
      <c r="D43" s="70"/>
      <c r="E43" s="70"/>
      <c r="F43" s="70"/>
      <c r="G43" s="70"/>
      <c r="H43" s="70"/>
      <c r="I43" s="70"/>
      <c r="J43" s="70"/>
      <c r="K43" s="70"/>
      <c r="L43" s="70"/>
    </row>
    <row r="44" customFormat="false" ht="15" hidden="false" customHeight="false" outlineLevel="0" collapsed="false">
      <c r="A44" s="71" t="n">
        <v>46357</v>
      </c>
      <c r="B44" s="70"/>
      <c r="C44" s="70"/>
      <c r="D44" s="70"/>
      <c r="E44" s="70"/>
      <c r="F44" s="70"/>
      <c r="G44" s="70"/>
      <c r="H44" s="70"/>
      <c r="I44" s="70"/>
      <c r="J44" s="70"/>
      <c r="K44" s="70"/>
      <c r="L44" s="70"/>
    </row>
    <row r="45" customFormat="false" ht="15" hidden="false" customHeight="false" outlineLevel="0" collapsed="false">
      <c r="A45" s="71" t="n">
        <v>46358</v>
      </c>
      <c r="B45" s="70"/>
      <c r="C45" s="70"/>
      <c r="D45" s="70"/>
      <c r="E45" s="70"/>
      <c r="F45" s="70"/>
      <c r="G45" s="70"/>
      <c r="H45" s="70"/>
      <c r="I45" s="70"/>
      <c r="J45" s="70"/>
      <c r="K45" s="70"/>
      <c r="L45" s="70"/>
    </row>
    <row r="46" customFormat="false" ht="15" hidden="false" customHeight="false" outlineLevel="0" collapsed="false">
      <c r="A46" s="71" t="n">
        <v>46359</v>
      </c>
      <c r="B46" s="70"/>
      <c r="C46" s="70"/>
      <c r="D46" s="70"/>
      <c r="E46" s="70"/>
      <c r="F46" s="70"/>
      <c r="G46" s="70"/>
      <c r="H46" s="70"/>
      <c r="I46" s="70"/>
      <c r="J46" s="70"/>
      <c r="K46" s="70"/>
      <c r="L46" s="70"/>
    </row>
    <row r="47" customFormat="false" ht="15" hidden="false" customHeight="false" outlineLevel="0" collapsed="false">
      <c r="A47" s="71" t="n">
        <v>46360</v>
      </c>
      <c r="B47" s="70"/>
      <c r="C47" s="70"/>
      <c r="D47" s="70"/>
      <c r="E47" s="70"/>
      <c r="F47" s="70"/>
      <c r="G47" s="70"/>
      <c r="H47" s="70"/>
      <c r="I47" s="70"/>
      <c r="J47" s="70"/>
      <c r="K47" s="70"/>
      <c r="L47" s="70"/>
    </row>
    <row r="48" customFormat="false" ht="15" hidden="false" customHeight="false" outlineLevel="0" collapsed="false">
      <c r="A48" s="71" t="n">
        <v>46363</v>
      </c>
      <c r="B48" s="70"/>
      <c r="C48" s="70"/>
      <c r="D48" s="70"/>
      <c r="E48" s="70"/>
      <c r="F48" s="70"/>
      <c r="G48" s="70"/>
      <c r="H48" s="70"/>
      <c r="I48" s="70"/>
      <c r="J48" s="70"/>
      <c r="K48" s="70"/>
      <c r="L48" s="70"/>
    </row>
    <row r="49" customFormat="false" ht="15" hidden="false" customHeight="false" outlineLevel="0" collapsed="false">
      <c r="A49" s="71" t="n">
        <v>46364</v>
      </c>
      <c r="B49" s="70"/>
      <c r="C49" s="70"/>
      <c r="D49" s="70"/>
      <c r="E49" s="70"/>
      <c r="F49" s="70"/>
      <c r="G49" s="70"/>
      <c r="H49" s="70"/>
      <c r="I49" s="70"/>
      <c r="J49" s="70"/>
      <c r="K49" s="70"/>
      <c r="L49" s="70"/>
    </row>
    <row r="50" customFormat="false" ht="15" hidden="false" customHeight="false" outlineLevel="0" collapsed="false">
      <c r="A50" s="71" t="n">
        <v>46365</v>
      </c>
      <c r="B50" s="70"/>
      <c r="C50" s="70"/>
      <c r="D50" s="70"/>
      <c r="E50" s="70"/>
      <c r="F50" s="70"/>
      <c r="G50" s="70"/>
      <c r="H50" s="70"/>
      <c r="I50" s="70"/>
      <c r="J50" s="70"/>
      <c r="K50" s="70"/>
      <c r="L50" s="70"/>
    </row>
    <row r="51" customFormat="false" ht="15" hidden="false" customHeight="false" outlineLevel="0" collapsed="false">
      <c r="A51" s="71" t="n">
        <v>46366</v>
      </c>
      <c r="B51" s="70"/>
      <c r="C51" s="70"/>
      <c r="D51" s="70"/>
      <c r="E51" s="70"/>
      <c r="F51" s="70"/>
      <c r="G51" s="70"/>
      <c r="H51" s="70"/>
      <c r="I51" s="70"/>
      <c r="J51" s="70"/>
      <c r="K51" s="70"/>
      <c r="L51" s="70"/>
    </row>
    <row r="52" customFormat="false" ht="15" hidden="false" customHeight="false" outlineLevel="0" collapsed="false">
      <c r="A52" s="71" t="n">
        <v>46367</v>
      </c>
      <c r="B52" s="70"/>
      <c r="C52" s="70"/>
      <c r="D52" s="70"/>
      <c r="E52" s="70"/>
      <c r="F52" s="70"/>
      <c r="G52" s="70"/>
      <c r="H52" s="70"/>
      <c r="I52" s="70"/>
      <c r="J52" s="70"/>
      <c r="K52" s="70"/>
      <c r="L52" s="70"/>
    </row>
    <row r="53" customFormat="false" ht="15" hidden="false" customHeight="false" outlineLevel="0" collapsed="false">
      <c r="A53" s="71" t="n">
        <v>46370</v>
      </c>
      <c r="B53" s="70"/>
      <c r="C53" s="70"/>
      <c r="D53" s="70"/>
      <c r="E53" s="70"/>
      <c r="F53" s="70"/>
      <c r="G53" s="70"/>
      <c r="H53" s="70"/>
      <c r="I53" s="70"/>
      <c r="J53" s="70"/>
      <c r="K53" s="70"/>
      <c r="L53" s="70"/>
    </row>
    <row r="54" customFormat="false" ht="15" hidden="false" customHeight="false" outlineLevel="0" collapsed="false">
      <c r="A54" s="71" t="n">
        <v>46371</v>
      </c>
      <c r="B54" s="70"/>
      <c r="C54" s="70"/>
      <c r="D54" s="70"/>
      <c r="E54" s="70"/>
      <c r="F54" s="70"/>
      <c r="G54" s="70"/>
      <c r="H54" s="70"/>
      <c r="I54" s="70"/>
      <c r="J54" s="70"/>
      <c r="K54" s="70"/>
      <c r="L54" s="70"/>
    </row>
    <row r="55" customFormat="false" ht="15" hidden="false" customHeight="false" outlineLevel="0" collapsed="false">
      <c r="A55" s="71" t="n">
        <v>46372</v>
      </c>
      <c r="B55" s="70"/>
      <c r="C55" s="70"/>
      <c r="D55" s="70"/>
      <c r="E55" s="70"/>
      <c r="F55" s="70"/>
      <c r="G55" s="70"/>
      <c r="H55" s="70"/>
      <c r="I55" s="70"/>
      <c r="J55" s="70"/>
      <c r="K55" s="70"/>
      <c r="L55" s="70"/>
    </row>
    <row r="56" customFormat="false" ht="15" hidden="false" customHeight="false" outlineLevel="0" collapsed="false">
      <c r="A56" s="71" t="n">
        <v>46373</v>
      </c>
      <c r="B56" s="70"/>
      <c r="C56" s="70"/>
      <c r="D56" s="70"/>
      <c r="E56" s="70"/>
      <c r="F56" s="70"/>
      <c r="G56" s="70"/>
      <c r="H56" s="70"/>
      <c r="I56" s="70"/>
      <c r="J56" s="70"/>
      <c r="K56" s="70"/>
      <c r="L56" s="70"/>
    </row>
    <row r="57" customFormat="false" ht="15" hidden="false" customHeight="false" outlineLevel="0" collapsed="false">
      <c r="A57" s="71" t="n">
        <v>46374</v>
      </c>
      <c r="B57" s="70"/>
      <c r="C57" s="70"/>
      <c r="D57" s="70"/>
      <c r="E57" s="70"/>
      <c r="F57" s="70"/>
      <c r="G57" s="70"/>
      <c r="H57" s="70"/>
      <c r="I57" s="70"/>
      <c r="J57" s="70"/>
      <c r="K57" s="70"/>
      <c r="L57" s="70"/>
    </row>
    <row r="58" customFormat="false" ht="15" hidden="false" customHeight="false" outlineLevel="0" collapsed="false">
      <c r="A58" s="71" t="n">
        <v>46393</v>
      </c>
      <c r="B58" s="70"/>
      <c r="C58" s="70"/>
      <c r="D58" s="70"/>
      <c r="E58" s="70"/>
      <c r="F58" s="70"/>
      <c r="G58" s="70"/>
      <c r="H58" s="70"/>
      <c r="I58" s="70"/>
      <c r="J58" s="70"/>
      <c r="K58" s="70"/>
      <c r="L58" s="70"/>
    </row>
    <row r="59" customFormat="false" ht="15" hidden="false" customHeight="false" outlineLevel="0" collapsed="false">
      <c r="A59" s="71" t="n">
        <v>46394</v>
      </c>
      <c r="B59" s="70"/>
      <c r="C59" s="70"/>
      <c r="D59" s="70"/>
      <c r="E59" s="70"/>
      <c r="F59" s="70"/>
      <c r="G59" s="70"/>
      <c r="H59" s="70"/>
      <c r="I59" s="70"/>
      <c r="J59" s="70"/>
      <c r="K59" s="70"/>
      <c r="L59" s="70"/>
    </row>
    <row r="60" customFormat="false" ht="15" hidden="false" customHeight="false" outlineLevel="0" collapsed="false">
      <c r="A60" s="71" t="n">
        <v>46395</v>
      </c>
      <c r="B60" s="70"/>
      <c r="C60" s="70"/>
      <c r="D60" s="70"/>
      <c r="E60" s="70"/>
      <c r="F60" s="70"/>
      <c r="G60" s="70"/>
      <c r="H60" s="70"/>
      <c r="I60" s="70"/>
      <c r="J60" s="70"/>
      <c r="K60" s="70"/>
      <c r="L60" s="70"/>
    </row>
    <row r="61" customFormat="false" ht="15" hidden="false" customHeight="false" outlineLevel="0" collapsed="false">
      <c r="A61" s="71" t="n">
        <v>46398</v>
      </c>
      <c r="B61" s="70"/>
      <c r="C61" s="70"/>
      <c r="D61" s="70"/>
      <c r="E61" s="70"/>
      <c r="F61" s="70"/>
      <c r="G61" s="70"/>
      <c r="H61" s="70"/>
      <c r="I61" s="70"/>
      <c r="J61" s="70"/>
      <c r="K61" s="70"/>
      <c r="L61" s="70"/>
    </row>
    <row r="62" customFormat="false" ht="15" hidden="false" customHeight="false" outlineLevel="0" collapsed="false">
      <c r="A62" s="71" t="n">
        <v>46399</v>
      </c>
      <c r="B62" s="70"/>
      <c r="C62" s="70"/>
      <c r="D62" s="70"/>
      <c r="E62" s="70"/>
      <c r="F62" s="70"/>
      <c r="G62" s="70"/>
      <c r="H62" s="70"/>
      <c r="I62" s="70"/>
      <c r="J62" s="70"/>
      <c r="K62" s="70"/>
      <c r="L62" s="70"/>
    </row>
    <row r="63" customFormat="false" ht="15" hidden="false" customHeight="false" outlineLevel="0" collapsed="false">
      <c r="A63" s="71" t="n">
        <v>46400</v>
      </c>
      <c r="B63" s="70"/>
      <c r="C63" s="70"/>
      <c r="D63" s="70"/>
      <c r="E63" s="70"/>
      <c r="F63" s="70"/>
      <c r="G63" s="70"/>
      <c r="H63" s="70"/>
      <c r="I63" s="70"/>
      <c r="J63" s="70"/>
      <c r="K63" s="70"/>
      <c r="L63" s="70"/>
    </row>
    <row r="64" customFormat="false" ht="15" hidden="false" customHeight="false" outlineLevel="0" collapsed="false">
      <c r="A64" s="71" t="n">
        <v>46401</v>
      </c>
      <c r="B64" s="70"/>
      <c r="C64" s="70"/>
      <c r="D64" s="70"/>
      <c r="E64" s="70"/>
      <c r="F64" s="70"/>
      <c r="G64" s="70"/>
      <c r="H64" s="70"/>
      <c r="I64" s="70"/>
      <c r="J64" s="70"/>
      <c r="K64" s="70"/>
      <c r="L64" s="70"/>
    </row>
    <row r="65" customFormat="false" ht="15" hidden="false" customHeight="false" outlineLevel="0" collapsed="false">
      <c r="A65" s="71" t="n">
        <v>46402</v>
      </c>
      <c r="B65" s="70"/>
      <c r="C65" s="70"/>
      <c r="D65" s="70"/>
      <c r="E65" s="70"/>
      <c r="F65" s="70"/>
      <c r="G65" s="70"/>
      <c r="H65" s="70"/>
      <c r="I65" s="70"/>
      <c r="J65" s="70"/>
      <c r="K65" s="70"/>
      <c r="L65" s="70"/>
    </row>
    <row r="66" customFormat="false" ht="15" hidden="false" customHeight="false" outlineLevel="0" collapsed="false">
      <c r="A66" s="71" t="n">
        <v>46406</v>
      </c>
      <c r="B66" s="70"/>
      <c r="C66" s="70"/>
      <c r="D66" s="70"/>
      <c r="E66" s="70"/>
      <c r="F66" s="70"/>
      <c r="G66" s="70"/>
      <c r="H66" s="70"/>
      <c r="I66" s="70"/>
      <c r="J66" s="70"/>
      <c r="K66" s="70"/>
      <c r="L66" s="70"/>
    </row>
    <row r="67" customFormat="false" ht="15" hidden="false" customHeight="false" outlineLevel="0" collapsed="false">
      <c r="A67" s="71" t="n">
        <v>46407</v>
      </c>
      <c r="B67" s="70"/>
      <c r="C67" s="70"/>
      <c r="D67" s="70"/>
      <c r="E67" s="70"/>
      <c r="F67" s="70"/>
      <c r="G67" s="70"/>
      <c r="H67" s="70"/>
      <c r="I67" s="70"/>
      <c r="J67" s="70"/>
      <c r="K67" s="70"/>
      <c r="L67" s="70"/>
    </row>
    <row r="68" customFormat="false" ht="15" hidden="false" customHeight="false" outlineLevel="0" collapsed="false">
      <c r="A68" s="71" t="n">
        <v>46408</v>
      </c>
      <c r="B68" s="70"/>
      <c r="C68" s="70"/>
      <c r="D68" s="70"/>
      <c r="E68" s="70"/>
      <c r="F68" s="70"/>
      <c r="G68" s="70"/>
      <c r="H68" s="70"/>
      <c r="I68" s="70"/>
      <c r="J68" s="70"/>
      <c r="K68" s="70"/>
      <c r="L68" s="70"/>
    </row>
    <row r="69" customFormat="false" ht="15" hidden="false" customHeight="false" outlineLevel="0" collapsed="false">
      <c r="A69" s="71" t="n">
        <v>46409</v>
      </c>
      <c r="B69" s="70"/>
      <c r="C69" s="70"/>
      <c r="D69" s="70"/>
      <c r="E69" s="70"/>
      <c r="F69" s="70"/>
      <c r="G69" s="70"/>
      <c r="H69" s="70"/>
      <c r="I69" s="70"/>
      <c r="J69" s="70"/>
      <c r="K69" s="70"/>
      <c r="L69" s="70"/>
    </row>
    <row r="70" customFormat="false" ht="15" hidden="false" customHeight="false" outlineLevel="0" collapsed="false">
      <c r="A70" s="71" t="n">
        <v>46412</v>
      </c>
      <c r="B70" s="70"/>
      <c r="C70" s="70"/>
      <c r="D70" s="70"/>
      <c r="E70" s="70"/>
      <c r="F70" s="70"/>
      <c r="G70" s="70"/>
      <c r="H70" s="70"/>
      <c r="I70" s="70"/>
      <c r="J70" s="70"/>
      <c r="K70" s="70"/>
      <c r="L70" s="70"/>
    </row>
    <row r="71" customFormat="false" ht="15" hidden="false" customHeight="false" outlineLevel="0" collapsed="false">
      <c r="A71" s="71" t="n">
        <v>46413</v>
      </c>
      <c r="B71" s="70"/>
      <c r="C71" s="70"/>
      <c r="D71" s="70"/>
      <c r="E71" s="70"/>
      <c r="F71" s="70"/>
      <c r="G71" s="70"/>
      <c r="H71" s="70"/>
      <c r="I71" s="70"/>
      <c r="J71" s="70"/>
      <c r="K71" s="70"/>
      <c r="L71" s="70"/>
    </row>
    <row r="72" customFormat="false" ht="15" hidden="false" customHeight="false" outlineLevel="0" collapsed="false">
      <c r="A72" s="71" t="n">
        <v>46414</v>
      </c>
      <c r="B72" s="70"/>
      <c r="C72" s="70"/>
      <c r="D72" s="70"/>
      <c r="E72" s="70"/>
      <c r="F72" s="70"/>
      <c r="G72" s="70"/>
      <c r="H72" s="70"/>
      <c r="I72" s="70"/>
      <c r="J72" s="70"/>
      <c r="K72" s="70"/>
      <c r="L72" s="70"/>
    </row>
    <row r="73" customFormat="false" ht="15" hidden="false" customHeight="false" outlineLevel="0" collapsed="false">
      <c r="A73" s="71" t="n">
        <v>46415</v>
      </c>
      <c r="B73" s="70"/>
      <c r="C73" s="70"/>
      <c r="D73" s="70"/>
      <c r="E73" s="70"/>
      <c r="F73" s="70"/>
      <c r="G73" s="70"/>
      <c r="H73" s="70"/>
      <c r="I73" s="70"/>
      <c r="J73" s="70"/>
      <c r="K73" s="70"/>
      <c r="L73" s="70"/>
    </row>
    <row r="74" customFormat="false" ht="15" hidden="false" customHeight="false" outlineLevel="0" collapsed="false">
      <c r="A74" s="71" t="n">
        <v>46416</v>
      </c>
      <c r="B74" s="70"/>
      <c r="C74" s="70"/>
      <c r="D74" s="70"/>
      <c r="E74" s="70"/>
      <c r="F74" s="70"/>
      <c r="G74" s="70"/>
      <c r="H74" s="70"/>
      <c r="I74" s="70"/>
      <c r="J74" s="70"/>
      <c r="K74" s="70"/>
      <c r="L74" s="70"/>
    </row>
    <row r="75" customFormat="false" ht="15" hidden="false" customHeight="false" outlineLevel="0" collapsed="false">
      <c r="A75" s="71" t="n">
        <v>46419</v>
      </c>
      <c r="B75" s="70"/>
      <c r="C75" s="70"/>
      <c r="D75" s="70"/>
      <c r="E75" s="70"/>
      <c r="F75" s="70"/>
      <c r="G75" s="70"/>
      <c r="H75" s="70"/>
      <c r="I75" s="70"/>
      <c r="J75" s="70"/>
      <c r="K75" s="70"/>
      <c r="L75" s="70"/>
    </row>
    <row r="76" customFormat="false" ht="15" hidden="false" customHeight="false" outlineLevel="0" collapsed="false">
      <c r="A76" s="71" t="n">
        <v>46420</v>
      </c>
      <c r="B76" s="70"/>
      <c r="C76" s="70"/>
      <c r="D76" s="70"/>
      <c r="E76" s="70"/>
      <c r="F76" s="70"/>
      <c r="G76" s="70"/>
      <c r="H76" s="70"/>
      <c r="I76" s="70"/>
      <c r="J76" s="70"/>
      <c r="K76" s="70"/>
      <c r="L76" s="70"/>
    </row>
    <row r="77" customFormat="false" ht="15" hidden="false" customHeight="false" outlineLevel="0" collapsed="false">
      <c r="A77" s="71" t="n">
        <v>46421</v>
      </c>
      <c r="B77" s="70"/>
      <c r="C77" s="70"/>
      <c r="D77" s="70"/>
      <c r="E77" s="70"/>
      <c r="F77" s="70"/>
      <c r="G77" s="70"/>
      <c r="H77" s="70"/>
      <c r="I77" s="70"/>
      <c r="J77" s="70"/>
      <c r="K77" s="70"/>
      <c r="L77" s="70"/>
    </row>
    <row r="78" customFormat="false" ht="15" hidden="false" customHeight="false" outlineLevel="0" collapsed="false">
      <c r="A78" s="71" t="n">
        <v>46422</v>
      </c>
      <c r="B78" s="70"/>
      <c r="C78" s="70"/>
      <c r="D78" s="70"/>
      <c r="E78" s="70"/>
      <c r="F78" s="70"/>
      <c r="G78" s="70"/>
      <c r="H78" s="70"/>
      <c r="I78" s="70"/>
      <c r="J78" s="70"/>
      <c r="K78" s="70"/>
      <c r="L78" s="70"/>
    </row>
    <row r="79" customFormat="false" ht="15" hidden="false" customHeight="false" outlineLevel="0" collapsed="false">
      <c r="A79" s="71" t="n">
        <v>46423</v>
      </c>
      <c r="B79" s="70"/>
      <c r="C79" s="70"/>
      <c r="D79" s="70"/>
      <c r="E79" s="70"/>
      <c r="F79" s="70"/>
      <c r="G79" s="70"/>
      <c r="H79" s="70"/>
      <c r="I79" s="70"/>
      <c r="J79" s="70"/>
      <c r="K79" s="70"/>
      <c r="L79" s="70"/>
    </row>
    <row r="80" customFormat="false" ht="15" hidden="false" customHeight="false" outlineLevel="0" collapsed="false">
      <c r="A80" s="71" t="n">
        <v>46426</v>
      </c>
      <c r="B80" s="70"/>
      <c r="C80" s="70"/>
      <c r="D80" s="70"/>
      <c r="E80" s="70"/>
      <c r="F80" s="70"/>
      <c r="G80" s="70"/>
      <c r="H80" s="70"/>
      <c r="I80" s="70"/>
      <c r="J80" s="70"/>
      <c r="K80" s="70"/>
      <c r="L80" s="70"/>
    </row>
    <row r="81" customFormat="false" ht="15" hidden="false" customHeight="false" outlineLevel="0" collapsed="false">
      <c r="A81" s="71" t="n">
        <v>46427</v>
      </c>
      <c r="B81" s="70"/>
      <c r="C81" s="70"/>
      <c r="D81" s="70"/>
      <c r="E81" s="70"/>
      <c r="F81" s="70"/>
      <c r="G81" s="70"/>
      <c r="H81" s="70"/>
      <c r="I81" s="70"/>
      <c r="J81" s="70"/>
      <c r="K81" s="70"/>
      <c r="L81" s="70"/>
    </row>
    <row r="82" customFormat="false" ht="15" hidden="false" customHeight="false" outlineLevel="0" collapsed="false">
      <c r="A82" s="71" t="n">
        <v>46428</v>
      </c>
      <c r="B82" s="70"/>
      <c r="C82" s="70"/>
      <c r="D82" s="70"/>
      <c r="E82" s="70"/>
      <c r="F82" s="70"/>
      <c r="G82" s="70"/>
      <c r="H82" s="70"/>
      <c r="I82" s="70"/>
      <c r="J82" s="70"/>
      <c r="K82" s="70"/>
      <c r="L82" s="70"/>
    </row>
    <row r="83" customFormat="false" ht="15" hidden="false" customHeight="false" outlineLevel="0" collapsed="false">
      <c r="A83" s="71" t="n">
        <v>46429</v>
      </c>
      <c r="B83" s="70"/>
      <c r="C83" s="70"/>
      <c r="D83" s="70"/>
      <c r="E83" s="70"/>
      <c r="F83" s="70"/>
      <c r="G83" s="70"/>
      <c r="H83" s="70"/>
      <c r="I83" s="70"/>
      <c r="J83" s="70"/>
      <c r="K83" s="70"/>
      <c r="L83" s="70"/>
    </row>
    <row r="84" customFormat="false" ht="15" hidden="false" customHeight="false" outlineLevel="0" collapsed="false">
      <c r="A84" s="71" t="n">
        <v>46430</v>
      </c>
      <c r="B84" s="70"/>
      <c r="C84" s="70"/>
      <c r="D84" s="70"/>
      <c r="E84" s="70"/>
      <c r="F84" s="70"/>
      <c r="G84" s="70"/>
      <c r="H84" s="70"/>
      <c r="I84" s="70"/>
      <c r="J84" s="70"/>
      <c r="K84" s="70"/>
      <c r="L84" s="70"/>
    </row>
    <row r="85" customFormat="false" ht="15" hidden="false" customHeight="false" outlineLevel="0" collapsed="false">
      <c r="A85" s="71" t="n">
        <v>46434</v>
      </c>
      <c r="B85" s="70"/>
      <c r="C85" s="70"/>
      <c r="D85" s="70"/>
      <c r="E85" s="70"/>
      <c r="F85" s="70"/>
      <c r="G85" s="70"/>
      <c r="H85" s="70"/>
      <c r="I85" s="70"/>
      <c r="J85" s="70"/>
      <c r="K85" s="70"/>
      <c r="L85" s="70"/>
    </row>
    <row r="86" customFormat="false" ht="15" hidden="false" customHeight="false" outlineLevel="0" collapsed="false">
      <c r="A86" s="71" t="n">
        <v>46435</v>
      </c>
      <c r="B86" s="70"/>
      <c r="C86" s="70"/>
      <c r="D86" s="70"/>
      <c r="E86" s="70"/>
      <c r="F86" s="70"/>
      <c r="G86" s="70"/>
      <c r="H86" s="70"/>
      <c r="I86" s="70"/>
      <c r="J86" s="70"/>
      <c r="K86" s="70"/>
      <c r="L86" s="70"/>
    </row>
    <row r="87" customFormat="false" ht="15" hidden="false" customHeight="false" outlineLevel="0" collapsed="false">
      <c r="A87" s="71" t="n">
        <v>46436</v>
      </c>
      <c r="B87" s="70"/>
      <c r="C87" s="70"/>
      <c r="D87" s="70"/>
      <c r="E87" s="70"/>
      <c r="F87" s="70"/>
      <c r="G87" s="70"/>
      <c r="H87" s="70"/>
      <c r="I87" s="70"/>
      <c r="J87" s="70"/>
      <c r="K87" s="70"/>
      <c r="L87" s="70"/>
    </row>
    <row r="88" customFormat="false" ht="15" hidden="false" customHeight="false" outlineLevel="0" collapsed="false">
      <c r="A88" s="71" t="n">
        <v>46437</v>
      </c>
      <c r="B88" s="70"/>
      <c r="C88" s="70"/>
      <c r="D88" s="70"/>
      <c r="E88" s="70"/>
      <c r="F88" s="70"/>
      <c r="G88" s="70"/>
      <c r="H88" s="70"/>
      <c r="I88" s="70"/>
      <c r="J88" s="70"/>
      <c r="K88" s="70"/>
      <c r="L88" s="70"/>
    </row>
    <row r="89" customFormat="false" ht="15" hidden="false" customHeight="false" outlineLevel="0" collapsed="false">
      <c r="A89" s="71" t="n">
        <v>46440</v>
      </c>
      <c r="B89" s="70"/>
      <c r="C89" s="70"/>
      <c r="D89" s="70"/>
      <c r="E89" s="70"/>
      <c r="F89" s="70"/>
      <c r="G89" s="70"/>
      <c r="H89" s="70"/>
      <c r="I89" s="70"/>
      <c r="J89" s="70"/>
      <c r="K89" s="70"/>
      <c r="L89" s="70"/>
    </row>
    <row r="90" customFormat="false" ht="15" hidden="false" customHeight="false" outlineLevel="0" collapsed="false">
      <c r="A90" s="71" t="n">
        <v>46441</v>
      </c>
      <c r="B90" s="70"/>
      <c r="C90" s="70"/>
      <c r="D90" s="70"/>
      <c r="E90" s="70"/>
      <c r="F90" s="70"/>
      <c r="G90" s="70"/>
      <c r="H90" s="70"/>
      <c r="I90" s="70"/>
      <c r="J90" s="70"/>
      <c r="K90" s="70"/>
      <c r="L90" s="70"/>
    </row>
    <row r="91" customFormat="false" ht="15" hidden="false" customHeight="false" outlineLevel="0" collapsed="false">
      <c r="A91" s="71" t="n">
        <v>46442</v>
      </c>
      <c r="B91" s="70"/>
      <c r="C91" s="70"/>
      <c r="D91" s="70"/>
      <c r="E91" s="70"/>
      <c r="F91" s="70"/>
      <c r="G91" s="70"/>
      <c r="H91" s="70"/>
      <c r="I91" s="70"/>
      <c r="J91" s="70"/>
      <c r="K91" s="70"/>
      <c r="L91" s="70"/>
    </row>
    <row r="92" customFormat="false" ht="15" hidden="false" customHeight="false" outlineLevel="0" collapsed="false">
      <c r="A92" s="71" t="n">
        <v>46443</v>
      </c>
      <c r="B92" s="70"/>
      <c r="C92" s="70"/>
      <c r="D92" s="70"/>
      <c r="E92" s="70"/>
      <c r="F92" s="70"/>
      <c r="G92" s="70"/>
      <c r="H92" s="70"/>
      <c r="I92" s="70"/>
      <c r="J92" s="70"/>
      <c r="K92" s="70"/>
      <c r="L92" s="70"/>
    </row>
    <row r="93" customFormat="false" ht="15" hidden="false" customHeight="false" outlineLevel="0" collapsed="false">
      <c r="A93" s="71" t="n">
        <v>46444</v>
      </c>
      <c r="B93" s="70"/>
      <c r="C93" s="70"/>
      <c r="D93" s="70"/>
      <c r="E93" s="70"/>
      <c r="F93" s="70"/>
      <c r="G93" s="70"/>
      <c r="H93" s="70"/>
      <c r="I93" s="70"/>
      <c r="J93" s="70"/>
      <c r="K93" s="70"/>
      <c r="L93" s="70"/>
    </row>
    <row r="94" customFormat="false" ht="15" hidden="false" customHeight="false" outlineLevel="0" collapsed="false">
      <c r="A94" s="71" t="n">
        <v>46447</v>
      </c>
      <c r="B94" s="70"/>
      <c r="C94" s="70"/>
      <c r="D94" s="70"/>
      <c r="E94" s="70"/>
      <c r="F94" s="70"/>
      <c r="G94" s="70"/>
      <c r="H94" s="70"/>
      <c r="I94" s="70"/>
      <c r="J94" s="70"/>
      <c r="K94" s="70"/>
      <c r="L94" s="70"/>
    </row>
    <row r="95" customFormat="false" ht="15" hidden="false" customHeight="false" outlineLevel="0" collapsed="false">
      <c r="A95" s="71" t="n">
        <v>46448</v>
      </c>
      <c r="B95" s="70"/>
      <c r="C95" s="70"/>
      <c r="D95" s="70"/>
      <c r="E95" s="70"/>
      <c r="F95" s="70"/>
      <c r="G95" s="70"/>
      <c r="H95" s="70"/>
      <c r="I95" s="70"/>
      <c r="J95" s="70"/>
      <c r="K95" s="70"/>
      <c r="L95" s="70"/>
    </row>
    <row r="96" customFormat="false" ht="15" hidden="false" customHeight="false" outlineLevel="0" collapsed="false">
      <c r="A96" s="71" t="n">
        <v>46449</v>
      </c>
      <c r="B96" s="70"/>
      <c r="C96" s="70"/>
      <c r="D96" s="70"/>
      <c r="E96" s="70"/>
      <c r="F96" s="70"/>
      <c r="G96" s="70"/>
      <c r="H96" s="70"/>
      <c r="I96" s="70"/>
      <c r="J96" s="70"/>
      <c r="K96" s="70"/>
      <c r="L96" s="70"/>
    </row>
    <row r="97" customFormat="false" ht="15" hidden="false" customHeight="false" outlineLevel="0" collapsed="false">
      <c r="A97" s="71" t="n">
        <v>46450</v>
      </c>
      <c r="B97" s="70"/>
      <c r="C97" s="70"/>
      <c r="D97" s="70"/>
      <c r="E97" s="70"/>
      <c r="F97" s="70"/>
      <c r="G97" s="70"/>
      <c r="H97" s="70"/>
      <c r="I97" s="70"/>
      <c r="J97" s="70"/>
      <c r="K97" s="70"/>
      <c r="L97" s="70"/>
    </row>
    <row r="98" customFormat="false" ht="15" hidden="false" customHeight="false" outlineLevel="0" collapsed="false">
      <c r="A98" s="71" t="n">
        <v>46454</v>
      </c>
      <c r="B98" s="70"/>
      <c r="C98" s="70"/>
      <c r="D98" s="70"/>
      <c r="E98" s="70"/>
      <c r="F98" s="70"/>
      <c r="G98" s="70"/>
      <c r="H98" s="70"/>
      <c r="I98" s="70"/>
      <c r="J98" s="70"/>
      <c r="K98" s="70"/>
      <c r="L98" s="70"/>
    </row>
    <row r="99" customFormat="false" ht="15" hidden="false" customHeight="false" outlineLevel="0" collapsed="false">
      <c r="A99" s="71" t="n">
        <v>46455</v>
      </c>
      <c r="B99" s="70"/>
      <c r="C99" s="70"/>
      <c r="D99" s="70"/>
      <c r="E99" s="70"/>
      <c r="F99" s="70"/>
      <c r="G99" s="70"/>
      <c r="H99" s="70"/>
      <c r="I99" s="70"/>
      <c r="J99" s="70"/>
      <c r="K99" s="70"/>
      <c r="L99" s="70"/>
    </row>
    <row r="100" customFormat="false" ht="15" hidden="false" customHeight="false" outlineLevel="0" collapsed="false">
      <c r="A100" s="71" t="n">
        <v>46456</v>
      </c>
      <c r="B100" s="70"/>
      <c r="C100" s="70"/>
      <c r="D100" s="70"/>
      <c r="E100" s="70"/>
      <c r="F100" s="70"/>
      <c r="G100" s="70"/>
      <c r="H100" s="70"/>
      <c r="I100" s="70"/>
      <c r="J100" s="70"/>
      <c r="K100" s="70"/>
      <c r="L100" s="70"/>
    </row>
    <row r="101" customFormat="false" ht="15" hidden="false" customHeight="false" outlineLevel="0" collapsed="false">
      <c r="A101" s="71" t="n">
        <v>46457</v>
      </c>
      <c r="B101" s="70"/>
      <c r="C101" s="70"/>
      <c r="D101" s="70"/>
      <c r="E101" s="70"/>
      <c r="F101" s="70"/>
      <c r="G101" s="70"/>
      <c r="H101" s="70"/>
      <c r="I101" s="70"/>
      <c r="J101" s="70"/>
      <c r="K101" s="70"/>
      <c r="L101" s="70"/>
    </row>
    <row r="102" customFormat="false" ht="15" hidden="false" customHeight="false" outlineLevel="0" collapsed="false">
      <c r="A102" s="71" t="n">
        <v>46458</v>
      </c>
      <c r="B102" s="70"/>
      <c r="C102" s="70"/>
      <c r="D102" s="70"/>
      <c r="E102" s="70"/>
      <c r="F102" s="70"/>
      <c r="G102" s="70"/>
      <c r="H102" s="70"/>
      <c r="I102" s="70"/>
      <c r="J102" s="70"/>
      <c r="K102" s="70"/>
      <c r="L102" s="70"/>
    </row>
    <row r="103" customFormat="false" ht="15" hidden="false" customHeight="false" outlineLevel="0" collapsed="false">
      <c r="A103" s="71" t="n">
        <v>46461</v>
      </c>
      <c r="B103" s="70"/>
      <c r="C103" s="70"/>
      <c r="D103" s="70"/>
      <c r="E103" s="70"/>
      <c r="F103" s="70"/>
      <c r="G103" s="70"/>
      <c r="H103" s="70"/>
      <c r="I103" s="70"/>
      <c r="J103" s="70"/>
      <c r="K103" s="70"/>
      <c r="L103" s="70"/>
    </row>
    <row r="104" customFormat="false" ht="15" hidden="false" customHeight="false" outlineLevel="0" collapsed="false">
      <c r="A104" s="71" t="n">
        <v>46462</v>
      </c>
      <c r="B104" s="70"/>
      <c r="C104" s="70"/>
      <c r="D104" s="70"/>
      <c r="E104" s="70"/>
      <c r="F104" s="70"/>
      <c r="G104" s="70"/>
      <c r="H104" s="70"/>
      <c r="I104" s="70"/>
      <c r="J104" s="70"/>
      <c r="K104" s="70"/>
      <c r="L104" s="70"/>
    </row>
    <row r="105" customFormat="false" ht="15" hidden="false" customHeight="false" outlineLevel="0" collapsed="false">
      <c r="A105" s="71" t="n">
        <v>46463</v>
      </c>
      <c r="B105" s="70"/>
      <c r="C105" s="70"/>
      <c r="D105" s="70"/>
      <c r="E105" s="70"/>
      <c r="F105" s="70"/>
      <c r="G105" s="70"/>
      <c r="H105" s="70"/>
      <c r="I105" s="70"/>
      <c r="J105" s="70"/>
      <c r="K105" s="70"/>
      <c r="L105" s="70"/>
    </row>
    <row r="106" customFormat="false" ht="15" hidden="false" customHeight="false" outlineLevel="0" collapsed="false">
      <c r="A106" s="71" t="n">
        <v>46464</v>
      </c>
      <c r="B106" s="70"/>
      <c r="C106" s="70"/>
      <c r="D106" s="70"/>
      <c r="E106" s="70"/>
      <c r="F106" s="70"/>
      <c r="G106" s="70"/>
      <c r="H106" s="70"/>
      <c r="I106" s="70"/>
      <c r="J106" s="70"/>
      <c r="K106" s="70"/>
      <c r="L106" s="70"/>
    </row>
    <row r="107" customFormat="false" ht="15" hidden="false" customHeight="false" outlineLevel="0" collapsed="false">
      <c r="A107" s="71" t="n">
        <v>46465</v>
      </c>
      <c r="B107" s="70"/>
      <c r="C107" s="70"/>
      <c r="D107" s="70"/>
      <c r="E107" s="70"/>
      <c r="F107" s="70"/>
      <c r="G107" s="70"/>
      <c r="H107" s="70"/>
      <c r="I107" s="70"/>
      <c r="J107" s="70"/>
      <c r="K107" s="70"/>
      <c r="L107" s="70"/>
    </row>
    <row r="108" customFormat="false" ht="15" hidden="false" customHeight="false" outlineLevel="0" collapsed="false">
      <c r="A108" s="71" t="n">
        <v>46475</v>
      </c>
      <c r="B108" s="70"/>
      <c r="C108" s="70"/>
      <c r="D108" s="70"/>
      <c r="E108" s="70"/>
      <c r="F108" s="70"/>
      <c r="G108" s="70"/>
      <c r="H108" s="70"/>
      <c r="I108" s="70"/>
      <c r="J108" s="70"/>
      <c r="K108" s="70"/>
      <c r="L108" s="70"/>
    </row>
    <row r="109" customFormat="false" ht="15" hidden="false" customHeight="false" outlineLevel="0" collapsed="false">
      <c r="A109" s="71" t="n">
        <v>46476</v>
      </c>
      <c r="B109" s="70"/>
      <c r="C109" s="70"/>
      <c r="D109" s="70"/>
      <c r="E109" s="70"/>
      <c r="F109" s="70"/>
      <c r="G109" s="70"/>
      <c r="H109" s="70"/>
      <c r="I109" s="70"/>
      <c r="J109" s="70"/>
      <c r="K109" s="70"/>
      <c r="L109" s="70"/>
    </row>
    <row r="110" customFormat="false" ht="15" hidden="false" customHeight="false" outlineLevel="0" collapsed="false">
      <c r="A110" s="71" t="n">
        <v>46477</v>
      </c>
      <c r="B110" s="70"/>
      <c r="C110" s="70"/>
      <c r="D110" s="70"/>
      <c r="E110" s="70"/>
      <c r="F110" s="70"/>
      <c r="G110" s="70"/>
      <c r="H110" s="70"/>
      <c r="I110" s="70"/>
      <c r="J110" s="70"/>
      <c r="K110" s="70"/>
      <c r="L110" s="70"/>
    </row>
    <row r="111" customFormat="false" ht="15" hidden="false" customHeight="false" outlineLevel="0" collapsed="false">
      <c r="A111" s="71" t="n">
        <v>46478</v>
      </c>
      <c r="B111" s="70"/>
      <c r="C111" s="70"/>
      <c r="D111" s="70"/>
      <c r="E111" s="70"/>
      <c r="F111" s="70"/>
      <c r="G111" s="70"/>
      <c r="H111" s="70"/>
      <c r="I111" s="70"/>
      <c r="J111" s="70"/>
      <c r="K111" s="70"/>
      <c r="L111" s="70"/>
    </row>
    <row r="112" customFormat="false" ht="15" hidden="false" customHeight="false" outlineLevel="0" collapsed="false">
      <c r="A112" s="71" t="n">
        <v>46479</v>
      </c>
      <c r="B112" s="70"/>
      <c r="C112" s="70"/>
      <c r="D112" s="70"/>
      <c r="E112" s="70"/>
      <c r="F112" s="70"/>
      <c r="G112" s="70"/>
      <c r="H112" s="70"/>
      <c r="I112" s="70"/>
      <c r="J112" s="70"/>
      <c r="K112" s="70"/>
      <c r="L112" s="70"/>
    </row>
    <row r="113" customFormat="false" ht="15" hidden="false" customHeight="false" outlineLevel="0" collapsed="false">
      <c r="A113" s="71" t="n">
        <v>46482</v>
      </c>
      <c r="B113" s="70"/>
      <c r="C113" s="70"/>
      <c r="D113" s="70"/>
      <c r="E113" s="70"/>
      <c r="F113" s="70"/>
      <c r="G113" s="70"/>
      <c r="H113" s="70"/>
      <c r="I113" s="70"/>
      <c r="J113" s="70"/>
      <c r="K113" s="70"/>
      <c r="L113" s="70"/>
    </row>
    <row r="114" customFormat="false" ht="15" hidden="false" customHeight="false" outlineLevel="0" collapsed="false">
      <c r="A114" s="71" t="n">
        <v>46483</v>
      </c>
      <c r="B114" s="70"/>
      <c r="C114" s="70"/>
      <c r="D114" s="70"/>
      <c r="E114" s="70"/>
      <c r="F114" s="70"/>
      <c r="G114" s="70"/>
      <c r="H114" s="70"/>
      <c r="I114" s="70"/>
      <c r="J114" s="70"/>
      <c r="K114" s="70"/>
      <c r="L114" s="70"/>
    </row>
    <row r="115" customFormat="false" ht="15" hidden="false" customHeight="false" outlineLevel="0" collapsed="false">
      <c r="A115" s="71" t="n">
        <v>46484</v>
      </c>
      <c r="B115" s="70"/>
      <c r="C115" s="70"/>
      <c r="D115" s="70"/>
      <c r="E115" s="70"/>
      <c r="F115" s="70"/>
      <c r="G115" s="70"/>
      <c r="H115" s="70"/>
      <c r="I115" s="70"/>
      <c r="J115" s="70"/>
      <c r="K115" s="70"/>
      <c r="L115" s="70"/>
    </row>
    <row r="116" customFormat="false" ht="15" hidden="false" customHeight="false" outlineLevel="0" collapsed="false">
      <c r="A116" s="71" t="n">
        <v>46485</v>
      </c>
      <c r="B116" s="70"/>
      <c r="C116" s="70"/>
      <c r="D116" s="70"/>
      <c r="E116" s="70"/>
      <c r="F116" s="70"/>
      <c r="G116" s="70"/>
      <c r="H116" s="70"/>
      <c r="I116" s="70"/>
      <c r="J116" s="70"/>
      <c r="K116" s="70"/>
      <c r="L116" s="70"/>
    </row>
    <row r="117" customFormat="false" ht="15" hidden="false" customHeight="false" outlineLevel="0" collapsed="false">
      <c r="A117" s="71" t="n">
        <v>46486</v>
      </c>
      <c r="B117" s="70"/>
      <c r="C117" s="70"/>
      <c r="D117" s="70"/>
      <c r="E117" s="70"/>
      <c r="F117" s="70"/>
      <c r="G117" s="70"/>
      <c r="H117" s="70"/>
      <c r="I117" s="70"/>
      <c r="J117" s="70"/>
      <c r="K117" s="70"/>
      <c r="L117" s="70"/>
    </row>
    <row r="118" customFormat="false" ht="15" hidden="false" customHeight="false" outlineLevel="0" collapsed="false">
      <c r="A118" s="71" t="n">
        <v>46489</v>
      </c>
      <c r="B118" s="70"/>
      <c r="C118" s="70"/>
      <c r="D118" s="70"/>
      <c r="E118" s="70"/>
      <c r="F118" s="70"/>
      <c r="G118" s="70"/>
      <c r="H118" s="70"/>
      <c r="I118" s="70"/>
      <c r="J118" s="70"/>
      <c r="K118" s="70"/>
      <c r="L118" s="70"/>
    </row>
    <row r="119" customFormat="false" ht="15" hidden="false" customHeight="false" outlineLevel="0" collapsed="false">
      <c r="A119" s="71" t="n">
        <v>46490</v>
      </c>
      <c r="B119" s="70"/>
      <c r="C119" s="70"/>
      <c r="D119" s="70"/>
      <c r="E119" s="70"/>
      <c r="F119" s="70"/>
      <c r="G119" s="70"/>
      <c r="H119" s="70"/>
      <c r="I119" s="70"/>
      <c r="J119" s="70"/>
      <c r="K119" s="70"/>
      <c r="L119" s="70"/>
    </row>
    <row r="120" customFormat="false" ht="15" hidden="false" customHeight="false" outlineLevel="0" collapsed="false">
      <c r="A120" s="71" t="n">
        <v>46491</v>
      </c>
      <c r="B120" s="70"/>
      <c r="C120" s="70"/>
      <c r="D120" s="70"/>
      <c r="E120" s="70"/>
      <c r="F120" s="70"/>
      <c r="G120" s="70"/>
      <c r="H120" s="70"/>
      <c r="I120" s="70"/>
      <c r="J120" s="70"/>
      <c r="K120" s="70"/>
      <c r="L120" s="70"/>
    </row>
    <row r="121" customFormat="false" ht="15" hidden="false" customHeight="false" outlineLevel="0" collapsed="false">
      <c r="A121" s="71" t="n">
        <v>46492</v>
      </c>
      <c r="B121" s="70"/>
      <c r="C121" s="70"/>
      <c r="D121" s="70"/>
      <c r="E121" s="70"/>
      <c r="F121" s="70"/>
      <c r="G121" s="70"/>
      <c r="H121" s="70"/>
      <c r="I121" s="70"/>
      <c r="J121" s="70"/>
      <c r="K121" s="70"/>
      <c r="L121" s="70"/>
    </row>
    <row r="122" customFormat="false" ht="15" hidden="false" customHeight="false" outlineLevel="0" collapsed="false">
      <c r="A122" s="71" t="n">
        <v>46496</v>
      </c>
      <c r="B122" s="70"/>
      <c r="C122" s="70"/>
      <c r="D122" s="70"/>
      <c r="E122" s="70"/>
      <c r="F122" s="70"/>
      <c r="G122" s="70"/>
      <c r="H122" s="70"/>
      <c r="I122" s="70"/>
      <c r="J122" s="70"/>
      <c r="K122" s="70"/>
      <c r="L122" s="70"/>
    </row>
    <row r="123" customFormat="false" ht="15" hidden="false" customHeight="false" outlineLevel="0" collapsed="false">
      <c r="A123" s="71" t="n">
        <v>46497</v>
      </c>
      <c r="B123" s="70"/>
      <c r="C123" s="70"/>
      <c r="D123" s="70"/>
      <c r="E123" s="70"/>
      <c r="F123" s="70"/>
      <c r="G123" s="70"/>
      <c r="H123" s="70"/>
      <c r="I123" s="70"/>
      <c r="J123" s="70"/>
      <c r="K123" s="70"/>
      <c r="L123" s="70"/>
    </row>
    <row r="124" customFormat="false" ht="15" hidden="false" customHeight="false" outlineLevel="0" collapsed="false">
      <c r="A124" s="71" t="n">
        <v>46498</v>
      </c>
      <c r="B124" s="70"/>
      <c r="C124" s="70"/>
      <c r="D124" s="70"/>
      <c r="E124" s="70"/>
      <c r="F124" s="70"/>
      <c r="G124" s="70"/>
      <c r="H124" s="70"/>
      <c r="I124" s="70"/>
      <c r="J124" s="70"/>
      <c r="K124" s="70"/>
      <c r="L124" s="70"/>
    </row>
    <row r="125" customFormat="false" ht="15" hidden="false" customHeight="false" outlineLevel="0" collapsed="false">
      <c r="A125" s="71" t="n">
        <v>46499</v>
      </c>
      <c r="B125" s="70"/>
      <c r="C125" s="70"/>
      <c r="D125" s="70"/>
      <c r="E125" s="70"/>
      <c r="F125" s="70"/>
      <c r="G125" s="70"/>
      <c r="H125" s="70"/>
      <c r="I125" s="70"/>
      <c r="J125" s="70"/>
      <c r="K125" s="70"/>
      <c r="L125" s="70"/>
    </row>
    <row r="126" customFormat="false" ht="15" hidden="false" customHeight="false" outlineLevel="0" collapsed="false">
      <c r="A126" s="71" t="n">
        <v>46500</v>
      </c>
      <c r="B126" s="70"/>
      <c r="C126" s="70"/>
      <c r="D126" s="70"/>
      <c r="E126" s="70"/>
      <c r="F126" s="70"/>
      <c r="G126" s="70"/>
      <c r="H126" s="70"/>
      <c r="I126" s="70"/>
      <c r="J126" s="70"/>
      <c r="K126" s="70"/>
      <c r="L126" s="70"/>
    </row>
    <row r="127" customFormat="false" ht="15" hidden="false" customHeight="false" outlineLevel="0" collapsed="false">
      <c r="A127" s="71" t="n">
        <v>46503</v>
      </c>
      <c r="B127" s="70"/>
      <c r="C127" s="70"/>
      <c r="D127" s="70"/>
      <c r="E127" s="70"/>
      <c r="F127" s="70"/>
      <c r="G127" s="70"/>
      <c r="H127" s="70"/>
      <c r="I127" s="70"/>
      <c r="J127" s="70"/>
      <c r="K127" s="70"/>
      <c r="L127" s="70"/>
    </row>
    <row r="128" customFormat="false" ht="15" hidden="false" customHeight="false" outlineLevel="0" collapsed="false">
      <c r="A128" s="71" t="n">
        <v>46504</v>
      </c>
      <c r="B128" s="70"/>
      <c r="C128" s="70"/>
      <c r="D128" s="70"/>
      <c r="E128" s="70"/>
      <c r="F128" s="70"/>
      <c r="G128" s="70"/>
      <c r="H128" s="70"/>
      <c r="I128" s="70"/>
      <c r="J128" s="70"/>
      <c r="K128" s="70"/>
      <c r="L128" s="70"/>
    </row>
    <row r="129" customFormat="false" ht="15" hidden="false" customHeight="false" outlineLevel="0" collapsed="false">
      <c r="A129" s="71" t="n">
        <v>46505</v>
      </c>
      <c r="B129" s="70"/>
      <c r="C129" s="70"/>
      <c r="D129" s="70"/>
      <c r="E129" s="70"/>
      <c r="F129" s="70"/>
      <c r="G129" s="70"/>
      <c r="H129" s="70"/>
      <c r="I129" s="70"/>
      <c r="J129" s="70"/>
      <c r="K129" s="70"/>
      <c r="L129" s="70"/>
    </row>
    <row r="130" customFormat="false" ht="15" hidden="false" customHeight="false" outlineLevel="0" collapsed="false">
      <c r="A130" s="71" t="n">
        <v>46506</v>
      </c>
      <c r="B130" s="70"/>
      <c r="C130" s="70"/>
      <c r="D130" s="70"/>
      <c r="E130" s="70"/>
      <c r="F130" s="70"/>
      <c r="G130" s="70"/>
      <c r="H130" s="70"/>
      <c r="I130" s="70"/>
      <c r="J130" s="70"/>
      <c r="K130" s="70"/>
      <c r="L130" s="70"/>
    </row>
    <row r="131" customFormat="false" ht="15" hidden="false" customHeight="false" outlineLevel="0" collapsed="false">
      <c r="A131" s="71" t="n">
        <v>46507</v>
      </c>
      <c r="B131" s="70"/>
      <c r="C131" s="70"/>
      <c r="D131" s="70"/>
      <c r="E131" s="70"/>
      <c r="F131" s="70"/>
      <c r="G131" s="70"/>
      <c r="H131" s="70"/>
      <c r="I131" s="70"/>
      <c r="J131" s="70"/>
      <c r="K131" s="70"/>
      <c r="L131" s="70"/>
    </row>
    <row r="132" customFormat="false" ht="15" hidden="false" customHeight="false" outlineLevel="0" collapsed="false">
      <c r="A132" s="71" t="n">
        <v>46510</v>
      </c>
      <c r="B132" s="70"/>
      <c r="C132" s="70"/>
      <c r="D132" s="70"/>
      <c r="E132" s="70"/>
      <c r="F132" s="70"/>
      <c r="G132" s="70"/>
      <c r="H132" s="70"/>
      <c r="I132" s="70"/>
      <c r="J132" s="70"/>
      <c r="K132" s="70"/>
      <c r="L132" s="7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2026-10-03T06:10:10Z</dcterms:created>
  <dc:creator>openpyxl</dc:creator>
  <dc:description/>
  <dc:language>en-US</dc:language>
  <cp:lastModifiedBy/>
  <dcterms:modified xsi:type="dcterms:W3CDTF">2026-10-03T06:10:10Z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