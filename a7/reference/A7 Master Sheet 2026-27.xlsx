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<sst xmlns="http://schemas.openxmlformats.org/spreadsheetml/2006/main" count="2896" uniqueCount="1934">
  <si>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</si>
  <si>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</si>
  <si>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</si>
  <si>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</si>
  <si>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</si>
  <si>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</si>
  <si>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</si>
  <si>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</si>
  <si>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</si>
  <si>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</si>
  <si>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</si>
  <si>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</si>
  <si>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</si>
  <si>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</si>
  <si>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</si>
  <si>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</si>
  <si>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</si>
  <si>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</si>
  <si>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</si>
  <si>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</si>
  <si>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</si>
  <si>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</si>
  <si>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</si>
  <si>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</si>
  <si>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</si>
  <si>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</si>
  <si>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</si>
  <si>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</si>
  <si>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</si>
  <si>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</si>
  <si>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</si>
  <si>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</si>
  <si>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</si>
  <si>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</si>
  <si>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</si>
  <si>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</si>
  <si>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</si>
  <si>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</si>
  <si>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</si>
  <si>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</si>
  <si>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</si>
  <si>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</si>
  <si>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</si>
  <si>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</si>
  <si>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</si>
  <si>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</si>
  <si>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</si>
  <si>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</si>
  <si>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</si>
  <si>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</si>
  <si>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</si>
  <si>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</si>
  <si>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</si>
  <si>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</si>
  <si>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</si>
  <si>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</si>
  <si>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</si>
  <si>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</si>
  <si>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</si>
  <si>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</si>
  <si>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</si>
  <si>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</si>
  <si>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</si>
  <si>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</si>
  <si>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</si>
  <si>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</si>
  <si>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</si>
  <si>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</si>
  <si>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</si>
  <si>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</si>
  <si>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</si>
  <si>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</si>
  <si>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</si>
  <si>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</si>
  <si>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</si>
  <si>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</si>
  <si>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</si>
  <si>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</si>
  <si>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</si>
  <si>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</si>
  <si>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</si>
  <si>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</si>
  <si>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</si>
  <si>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</si>
  <si>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</si>
  <si>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</si>
  <si>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</si>
  <si>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</si>
  <si>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</si>
  <si>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</si>
  <si>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</si>
  <si>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</si>
  <si>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</si>
  <si>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</si>
  <si>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</si>
  <si>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</si>
  <si>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</si>
  <si>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</si>
  <si>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</si>
  <si>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</si>
  <si>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</si>
  <si>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</si>
  <si>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</si>
  <si>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</si>
  <si>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</si>
  <si>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</si>
  <si>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</si>
  <si>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</si>
  <si>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</si>
  <si>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</si>
  <si>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</si>
  <si>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</si>
  <si>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</si>
  <si>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</si>
  <si>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</si>
  <si>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</si>
  <si>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</si>
  <si>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</si>
  <si>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</si>
  <si>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</si>
  <si>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</si>
  <si>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</si>
  <si>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</si>
  <si>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</si>
  <si>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</si>
  <si>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</si>
  <si>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</si>
  <si>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</si>
  <si>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</si>
  <si>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</si>
  <si>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</si>
  <si>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</si>
  <si>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</si>
  <si>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</si>
  <si>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</si>
  <si>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</si>
  <si>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</si>
  <si>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</si>
  <si>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</si>
  <si>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</si>
  <si>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</si>
  <si>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</si>
  <si>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</si>
  <si>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</si>
  <si>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</si>
  <si>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</si>
  <si>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</si>
  <si>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</si>
  <si>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</si>
  <si>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</si>
  <si>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</si>
  <si>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</si>
  <si>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</si>
  <si>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</si>
  <si>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</si>
  <si>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</si>
  <si>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</si>
  <si>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</si>
  <si>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</si>
  <si>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</si>
  <si>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</si>
  <si>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</si>
  <si>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</si>
  <si>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</si>
  <si>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</si>
  <si>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</si>
  <si>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</si>
  <si>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</si>
  <si>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</si>
  <si>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</si>
  <si>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</si>
  <si>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</si>
  <si>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</si>
  <si>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</si>
  <si>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</si>
  <si>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</si>
  <si>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</si>
  <si>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</si>
  <si>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</si>
  <si>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</si>
  <si>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</si>
  <si>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</si>
  <si>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</si>
  <si>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</si>
  <si>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</si>
  <si>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</si>
  <si>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</si>
  <si>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</si>
  <si>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</si>
  <si>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</si>
  <si>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</si>
  <si>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</si>
  <si>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</si>
  <si>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</si>
  <si>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</si>
  <si>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</si>
  <si>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</si>
  <si>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</si>
  <si>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</si>
  <si>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</si>
  <si>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</si>
  <si>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</si>
  <si>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</si>
  <si>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</si>
  <si>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</si>
  <si>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</si>
  <si>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</si>
  <si>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</si>
  <si>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</si>
  <si>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</si>
  <si>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</si>
  <si>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</si>
  <si>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</si>
  <si>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</si>
  <si>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</si>
  <si>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</si>
  <si>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</si>
  <si>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</si>
  <si>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</si>
  <si>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</si>
  <si>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</si>
  <si>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</si>
  <si>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</si>
  <si>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</si>
  <si>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</si>
  <si>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</si>
  <si>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</si>
  <si>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</si>
  <si>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</si>
  <si>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</si>
  <si>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</si>
  <si>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</si>
  <si>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</si>
  <si>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</si>
  <si>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</si>
  <si>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</si>
  <si>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</si>
  <si>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</si>
  <si>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</si>
  <si>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</si>
  <si>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</si>
  <si>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</si>
  <si>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</si>
  <si>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</si>
  <si>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</si>
  <si>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</si>
  <si>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</si>
  <si>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</si>
  <si>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</si>
  <si>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</si>
  <si>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</si>
  <si>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</si>
  <si>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</si>
  <si>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</si>
  <si>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</si>
  <si>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</si>
  <si>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</si>
  <si>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</si>
  <si>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</si>
  <si>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</si>
  <si>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</si>
  <si>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</si>
  <si>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</si>
  <si>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</si>
  <si>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</si>
  <si>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</si>
  <si>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</si>
  <si>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</si>
  <si>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</si>
  <si>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</si>
  <si>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</si>
  <si>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</si>
  <si>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</si>
  <si>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</si>
  <si>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</si>
  <si>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</si>
  <si>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</si>
  <si>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</si>
  <si>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</si>
  <si>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</si>
  <si>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</si>
  <si>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</si>
  <si>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</si>
  <si>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</si>
  <si>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</si>
  <si>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</si>
  <si>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</si>
  <si>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</si>
  <si>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</si>
  <si>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</si>
  <si>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</si>
  <si>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</si>
  <si>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</si>
  <si>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</si>
  <si>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</si>
  <si>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</si>
  <si>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</si>
  <si>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</si>
  <si>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</si>
  <si>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</si>
  <si>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</si>
  <si>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</si>
  <si>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</si>
  <si>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</si>
  <si>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</si>
  <si>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</si>
  <si>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</si>
  <si>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</si>
  <si>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</si>
  <si>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</si>
  <si>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</si>
  <si>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</si>
  <si>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</si>
  <si>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</si>
  <si>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</si>
  <si>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</si>
  <si>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</si>
  <si>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</si>
  <si>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</si>
  <si>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</si>
  <si>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</si>
  <si>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</si>
  <si>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</si>
  <si>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</si>
  <si>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</si>
  <si>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</si>
  <si>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</si>
  <si>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</si>
  <si>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</si>
  <si>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</si>
  <si>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</si>
  <si>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</si>
  <si>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</si>
  <si>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</si>
  <si>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</si>
  <si>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</si>
  <si>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</si>
  <si>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</si>
  <si>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</si>
  <si>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</si>
  <si>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</si>
  <si>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</si>
  <si>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</si>
  <si>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</si>
  <si>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</si>
  <si>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</si>
  <si>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</si>
  <si>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</si>
  <si>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</si>
  <si>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</si>
  <si>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</si>
  <si>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</si>
  <si>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</si>
  <si>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</si>
  <si>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</si>
  <si>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</si>
  <si>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</si>
  <si>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</si>
  <si>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</si>
  <si>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</si>
  <si>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</si>
  <si>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</si>
  <si>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</si>
  <si>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</si>
  <si>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</si>
  <si>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</si>
  <si>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</si>
  <si>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</si>
  <si>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</si>
  <si>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</si>
  <si>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</si>
  <si>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</si>
  <si>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</si>
  <si>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</si>
  <si>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</si>
  <si>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</si>
  <si>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</si>
  <si>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</si>
  <si>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</si>
  <si>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</si>
  <si>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</si>
  <si>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</si>
  <si>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</si>
  <si>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</si>
  <si>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</si>
  <si>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</si>
  <si>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</si>
  <si>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</si>
  <si>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</si>
  <si>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</si>
  <si>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</si>
  <si>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</si>
  <si>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</si>
  <si>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</si>
  <si>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</si>
  <si>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</si>
  <si>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</si>
  <si>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</si>
  <si>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</si>
  <si>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</si>
  <si>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</si>
  <si>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</si>
  <si>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</si>
  <si>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</si>
  <si>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</si>
  <si>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</si>
  <si>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</si>
  <si>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</si>
  <si>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</si>
  <si>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</si>
  <si>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</si>
  <si>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</si>
  <si>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</si>
  <si>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</si>
  <si>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</si>
  <si>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</si>
  <si>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</si>
  <si>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</si>
  <si>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</si>
  <si>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</si>
  <si>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</si>
  <si>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</si>
  <si>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</si>
  <si>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</si>
  <si>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</si>
  <si>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</si>
  <si>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</si>
  <si>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</si>
  <si>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</si>
  <si>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</si>
  <si>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</si>
  <si>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</si>
  <si>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</si>
  <si>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</si>
  <si>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</si>
  <si>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</si>
  <si>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</si>
  <si>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</si>
  <si>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</si>
  <si>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</si>
  <si>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</si>
  <si>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</si>
  <si>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</si>
  <si>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</si>
  <si>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</si>
  <si>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</si>
  <si>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</si>
  <si>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</si>
  <si>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</si>
  <si>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</si>
  <si>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</si>
  <si>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</si>
  <si>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</si>
  <si>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</si>
  <si>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</si>
  <si>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</si>
  <si>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</si>
  <si>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</si>
  <si>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</si>
  <si>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</si>
  <si>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</si>
  <si>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</si>
  <si>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</si>
  <si>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</si>
  <si>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</si>
  <si>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</si>
  <si>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</si>
  <si>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</si>
  <si>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</si>
  <si>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</si>
  <si>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</si>
  <si>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</si>
  <si>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</si>
  <si>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</si>
  <si>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</si>
  <si>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</si>
  <si>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</si>
  <si>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</si>
  <si>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</si>
  <si>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</si>
  <si>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</si>
  <si>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</si>
  <si>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</si>
  <si>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</si>
  <si>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</si>
  <si>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</si>
  <si>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</si>
  <si>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</si>
  <si>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</si>
  <si>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</si>
  <si>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</si>
  <si>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</si>
  <si>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</si>
  <si>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</si>
  <si>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</si>
  <si>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</si>
  <si>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</si>
  <si>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</si>
  <si>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</si>
  <si>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</si>
  <si>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</si>
  <si>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</si>
  <si>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</si>
  <si>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</si>
  <si>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</si>
  <si>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</si>
  <si>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</si>
  <si>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</si>
  <si>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</si>
  <si>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</si>
  <si>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</si>
  <si>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</si>
  <si>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</si>
  <si>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</si>
  <si>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</si>
  <si>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</si>
  <si>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</si>
  <si>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</si>
  <si>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</si>
  <si>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</si>
  <si>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</si>
  <si>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</si>
  <si>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</si>
  <si>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</si>
  <si>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</si>
  <si>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</si>
  <si>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</si>
  <si>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</si>
  <si>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</si>
  <si>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</si>
  <si>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</si>
  <si>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</si>
  <si>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</si>
  <si>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</si>
  <si>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</si>
  <si>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</si>
  <si>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</si>
  <si>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</si>
  <si>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</si>
  <si>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</si>
  <si>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</si>
  <si>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</si>
  <si>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</si>
  <si>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</si>
  <si>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</si>
  <si>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</si>
  <si>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</si>
  <si>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</si>
  <si>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</si>
  <si>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</si>
  <si>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</si>
  <si>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</si>
  <si>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</si>
  <si>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</si>
  <si>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</si>
  <si>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</si>
  <si>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</si>
  <si>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</si>
  <si>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</si>
  <si>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</si>
  <si>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</si>
  <si>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</si>
  <si>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</si>
  <si>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</si>
  <si>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</si>
  <si>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</si>
  <si>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</si>
  <si>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</si>
  <si>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</si>
  <si>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</si>
  <si>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</si>
  <si>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</si>
  <si>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</si>
  <si>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</si>
  <si>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</si>
  <si>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</si>
  <si>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</si>
  <si>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</si>
  <si>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</si>
  <si>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</si>
  <si>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</si>
  <si>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</si>
  <si>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</si>
  <si>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</si>
  <si>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</si>
  <si>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</si>
  <si>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</si>
  <si>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</si>
  <si>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</si>
  <si>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</si>
  <si>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</si>
  <si>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</si>
  <si>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</si>
  <si>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</si>
  <si>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</si>
  <si>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</si>
  <si>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</si>
  <si>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</si>
  <si>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</si>
  <si>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</si>
  <si>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</si>
  <si>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</si>
  <si>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</si>
  <si>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</si>
  <si>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</si>
  <si>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</si>
  <si>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</si>
  <si>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</si>
  <si>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</si>
  <si>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</si>
  <si>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</si>
  <si>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</si>
  <si>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</si>
  <si>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</si>
  <si>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</si>
  <si>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</si>
  <si>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</si>
  <si>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</si>
  <si>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</si>
  <si>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</si>
  <si>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</si>
  <si>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</si>
  <si>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</si>
  <si>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</si>
  <si>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</si>
  <si>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</si>
  <si>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</si>
  <si>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</si>
  <si>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</si>
  <si>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</si>
  <si>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</si>
  <si>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</si>
  <si>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</si>
  <si>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</si>
  <si>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</si>
  <si>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</si>
  <si>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</si>
  <si>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</si>
  <si>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</si>
  <si>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</si>
  <si>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</si>
  <si>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</si>
  <si>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</si>
  <si>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</si>
  <si>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</si>
  <si>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</si>
  <si>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</si>
  <si>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</si>
  <si>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</si>
  <si>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</si>
  <si>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</si>
  <si>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</si>
  <si>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</si>
  <si>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</si>
  <si>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</si>
  <si>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</si>
  <si>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</si>
  <si>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</si>
  <si>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</si>
  <si>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</si>
  <si>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</si>
  <si>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</si>
  <si>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</si>
  <si>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</si>
  <si>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</si>
  <si>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</si>
  <si>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</si>
  <si>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</si>
  <si>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</si>
  <si>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</si>
  <si>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</si>
  <si>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</si>
  <si>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</si>
  <si>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</si>
  <si>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</si>
  <si>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</si>
  <si>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</si>
  <si>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</si>
  <si>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</si>
  <si>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</si>
  <si>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</si>
  <si>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</si>
  <si>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</si>
  <si>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</si>
  <si>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</si>
  <si>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</si>
  <si>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</si>
  <si>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</si>
  <si>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</si>
  <si>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</si>
  <si>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</si>
  <si>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</si>
  <si>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</si>
  <si>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</si>
  <si>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</si>
  <si>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</si>
  <si>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</si>
  <si>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</si>
  <si>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</si>
  <si>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</si>
  <si>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</si>
  <si>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</si>
  <si>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</si>
  <si>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</si>
  <si>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</si>
  <si>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</si>
  <si>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</si>
  <si>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</si>
  <si>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</si>
  <si>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</si>
  <si>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</si>
  <si>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</si>
  <si>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</si>
  <si>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</si>
  <si>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</si>
  <si>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</si>
  <si>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</si>
  <si>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</si>
  <si>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</si>
  <si>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</si>
  <si>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</si>
  <si>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</si>
  <si>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</si>
  <si>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</si>
  <si>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</si>
  <si>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</si>
  <si>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</si>
  <si>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</si>
  <si>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</si>
  <si>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</si>
  <si>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</si>
  <si>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</si>
  <si>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</si>
  <si>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</si>
  <si>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</si>
  <si>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</si>
  <si>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</si>
  <si>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</si>
  <si>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</si>
  <si>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</si>
  <si>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</si>
  <si>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</si>
  <si>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</si>
  <si>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</si>
  <si>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</si>
  <si>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</si>
  <si>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</si>
  <si>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</si>
  <si>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</si>
  <si>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</si>
  <si>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</si>
  <si>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</si>
  <si>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</si>
  <si>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</si>
  <si>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</si>
  <si>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</si>
  <si>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</si>
  <si>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</si>
  <si>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</si>
  <si>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</si>
  <si>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</si>
  <si>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</si>
  <si>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</si>
  <si>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</si>
  <si>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</si>
  <si>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</si>
  <si>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</si>
  <si>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</si>
  <si>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</si>
  <si>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</si>
  <si>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</si>
  <si>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</si>
  <si>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</si>
  <si>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</si>
  <si>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</si>
  <si>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</si>
  <si>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</si>
  <si>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</si>
  <si>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</si>
  <si>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</si>
  <si>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</si>
  <si>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</si>
  <si>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</si>
  <si>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</si>
  <si>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</si>
  <si>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</si>
  <si>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</si>
  <si>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</si>
  <si>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</si>
  <si>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</si>
  <si>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</si>
  <si>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</si>
  <si>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</si>
  <si>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</si>
  <si>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</si>
  <si>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</si>
  <si>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</si>
  <si>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</si>
  <si>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</si>
  <si>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</si>
  <si>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</si>
  <si>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</si>
  <si>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</si>
  <si>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</si>
  <si>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</si>
  <si>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</si>
  <si>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</si>
  <si>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</si>
  <si>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</si>
  <si>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</si>
  <si>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</si>
  <si>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</si>
  <si>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</si>
  <si>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</si>
  <si>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</si>
  <si>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</si>
  <si>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</si>
  <si>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</si>
  <si>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</si>
  <si>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</si>
  <si>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</si>
  <si>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</si>
  <si>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</si>
  <si>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</si>
  <si>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</si>
  <si>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</si>
  <si>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</si>
  <si>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</si>
  <si>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</si>
  <si>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</si>
  <si>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</si>
  <si>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</si>
  <si>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</si>
  <si>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</si>
  <si>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</si>
  <si>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</si>
  <si>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</si>
  <si>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</si>
  <si>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</si>
  <si>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</si>
  <si>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</si>
  <si>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</si>
  <si>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</si>
  <si>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</si>
  <si>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</si>
  <si>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</si>
  <si>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</si>
  <si>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</si>
  <si>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</si>
  <si>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</si>
  <si>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</si>
  <si>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</si>
  <si>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</si>
  <si>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</si>
  <si>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</si>
  <si>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</si>
  <si>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</si>
  <si>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</si>
  <si>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</si>
  <si>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</si>
  <si>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</si>
  <si>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</si>
  <si>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</si>
  <si>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</si>
  <si>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</si>
  <si>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</si>
  <si>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</si>
  <si>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</si>
  <si>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</si>
  <si>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</si>
  <si>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</si>
  <si>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</si>
  <si>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</si>
  <si>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</si>
  <si>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</si>
  <si>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</si>
  <si>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</si>
  <si>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</si>
  <si>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</si>
  <si>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</si>
  <si>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</si>
  <si>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</si>
  <si>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</si>
  <si>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</si>
  <si>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</si>
  <si>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</si>
  <si>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</si>
  <si>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</si>
  <si>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</si>
  <si>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</si>
  <si>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</si>
  <si>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</si>
  <si>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</si>
  <si>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</si>
  <si>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</si>
  <si>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</si>
  <si>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</si>
  <si>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</si>
  <si>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</si>
  <si>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</si>
  <si>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</si>
  <si>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</si>
  <si>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</si>
  <si>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</si>
  <si>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</si>
  <si>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</si>
  <si>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</si>
  <si>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</si>
  <si>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</si>
  <si>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</si>
  <si>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</si>
  <si>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</si>
  <si>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</si>
  <si>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</si>
  <si>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</si>
  <si>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</si>
  <si>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</si>
  <si>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</si>
  <si>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</si>
  <si>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</si>
  <si>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</si>
  <si>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</si>
  <si>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</si>
  <si>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</si>
  <si>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</si>
  <si>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</si>
  <si>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</si>
  <si>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</si>
  <si>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</si>
  <si>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</si>
  <si>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</si>
  <si>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</si>
  <si>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</si>
  <si>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</si>
  <si>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</si>
  <si>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</si>
  <si>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</si>
  <si>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</si>
  <si>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</si>
  <si>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</si>
  <si>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</si>
  <si>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</si>
  <si>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</si>
  <si>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</si>
  <si>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</si>
  <si>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</si>
  <si>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</si>
  <si>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</si>
  <si>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</si>
  <si>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</si>
  <si>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</si>
  <si>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</si>
  <si>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</si>
  <si>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</si>
  <si>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</si>
  <si>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</si>
  <si>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</si>
  <si>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</si>
  <si>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</si>
  <si>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</si>
  <si>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</si>
  <si>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</si>
  <si>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</si>
  <si>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</si>
  <si>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</si>
  <si>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</si>
  <si>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</si>
  <si>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</si>
  <si>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</si>
  <si>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</si>
  <si>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</si>
  <si>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</si>
  <si>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</si>
  <si>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</si>
  <si>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</si>
  <si>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</si>
  <si>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</si>
  <si>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</si>
  <si>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</si>
  <si>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</si>
  <si>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</si>
  <si>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</si>
  <si>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</si>
  <si>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</si>
  <si>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</si>
  <si>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</si>
  <si>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</si>
  <si>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</si>
  <si>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</si>
  <si>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</si>
  <si>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</si>
  <si>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</si>
  <si>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</si>
  <si>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</si>
  <si>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</si>
  <si>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</si>
  <si>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</si>
  <si>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</si>
  <si>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</si>
  <si>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</si>
  <si>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</si>
  <si>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</si>
  <si>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</si>
  <si>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</si>
  <si>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</si>
  <si>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</si>
  <si>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</si>
  <si>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</si>
  <si>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</si>
  <si>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</si>
  <si>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</si>
  <si>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</si>
  <si>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</si>
  <si>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</si>
  <si>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</si>
  <si>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</si>
  <si>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</si>
  <si>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</si>
  <si>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</si>
  <si>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</si>
  <si>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</si>
  <si>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</si>
  <si>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</si>
  <si>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</si>
  <si>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</si>
  <si>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</si>
  <si>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</si>
  <si>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</si>
  <si>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</si>
  <si>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</si>
  <si>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</si>
  <si>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</si>
  <si>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</si>
  <si>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</si>
  <si>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</si>
  <si>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</si>
  <si>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</si>
  <si>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</si>
  <si>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</si>
  <si>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</si>
  <si>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</si>
  <si>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</si>
  <si>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</si>
  <si>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</si>
  <si>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</si>
  <si>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</si>
  <si>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</si>
  <si>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</si>
  <si>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</si>
  <si>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</si>
  <si>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</si>
  <si>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</si>
  <si>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</si>
  <si>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</si>
  <si>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</si>
  <si>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</si>
  <si>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</si>
  <si>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</si>
  <si>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</si>
  <si>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</si>
  <si>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</si>
  <si>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</si>
  <si>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</si>
  <si>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</si>
  <si>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</si>
  <si>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</si>
  <si>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</si>
  <si>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</si>
  <si>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</si>
  <si>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</si>
  <si>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</si>
  <si>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</si>
  <si>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</si>
  <si>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</si>
  <si>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</si>
  <si>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</si>
  <si>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</si>
  <si>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</si>
  <si>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</si>
  <si>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</si>
  <si>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</si>
  <si>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</si>
  <si>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</si>
  <si>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</si>
  <si>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</si>
  <si>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</si>
  <si>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</si>
  <si>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</si>
  <si>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</si>
  <si>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</si>
  <si>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</si>
  <si>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</si>
  <si>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</si>
  <si>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</si>
  <si>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</si>
  <si>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</si>
  <si>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</si>
  <si>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</si>
  <si>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</si>
  <si>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</si>
  <si>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</si>
  <si>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</si>
  <si>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</si>
  <si>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</si>
  <si>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</si>
  <si>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</si>
  <si>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</si>
  <si>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</si>
  <si>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</si>
  <si>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</si>
  <si>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</si>
  <si>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</si>
  <si>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</si>
  <si>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</si>
  <si>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</si>
  <si>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</si>
  <si>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</si>
  <si>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</si>
  <si>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</si>
  <si>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</si>
  <si>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</si>
  <si>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</si>
  <si>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</si>
  <si>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</si>
  <si>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</si>
  <si>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</si>
  <si>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</si>
  <si>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</si>
  <si>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</si>
  <si>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</si>
  <si>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</si>
  <si>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</si>
  <si>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</si>
  <si>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</si>
  <si>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</si>
  <si>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</si>
  <si>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</si>
  <si>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</si>
  <si>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</si>
  <si>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</si>
  <si>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</si>
  <si>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</si>
  <si>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</si>
  <si>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</si>
  <si>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</si>
  <si>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</si>
  <si>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</si>
  <si>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</si>
  <si>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</si>
  <si>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</si>
  <si>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</si>
  <si>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</si>
  <si>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</si>
  <si>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</si>
  <si>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</si>
  <si>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</si>
  <si>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</si>
  <si>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</si>
  <si>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</si>
  <si>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</si>
  <si>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</si>
  <si>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</si>
  <si>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</si>
  <si>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</si>
  <si>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</si>
  <si>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</si>
  <si>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</si>
  <si>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</si>
  <si>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</si>
  <si>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</si>
  <si>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</si>
  <si>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</si>
  <si>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</si>
  <si>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</si>
  <si>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</si>
  <si>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</si>
  <si>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</si>
  <si>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</si>
  <si>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</si>
  <si>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</si>
  <si>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</si>
  <si>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</si>
  <si>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</si>
  <si>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</si>
  <si>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</si>
  <si>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</si>
  <si>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</si>
  <si>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</si>
  <si>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</si>
  <si>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</si>
  <si>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</si>
  <si>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</si>
  <si>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</si>
  <si>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</si>
  <si>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</si>
  <si>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</si>
  <si>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</si>
  <si>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</si>
  <si>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</si>
  <si>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</si>
  <si>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</si>
  <si>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</si>
  <si>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</si>
  <si>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</si>
  <si>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</si>
  <si>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</si>
  <si>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</si>
  <si>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</si>
  <si>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</si>
  <si>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</si>
  <si>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</si>
  <si>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</si>
  <si>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</si>
  <si>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</si>
  <si>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</si>
  <si>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</si>
  <si>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</si>
  <si>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</si>
  <si>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</si>
  <si>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</si>
  <si>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</si>
  <si>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</si>
  <si>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</si>
  <si>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</si>
  <si>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</si>
  <si>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</si>
  <si>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</si>
  <si>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</si>
  <si>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</si>
  <si>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</si>
  <si>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</si>
  <si>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</si>
  <si>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</si>
  <si>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</si>
  <si>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</si>
  <si>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</si>
  <si>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</si>
  <si>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</si>
  <si>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</si>
  <si>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</si>
  <si>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</si>
  <si>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</si>
  <si>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</si>
  <si>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</si>
  <si>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</si>
  <si>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</si>
  <si>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</si>
  <si>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</si>
  <si>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</si>
  <si>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</si>
  <si>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</si>
  <si>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</si>
  <si>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</si>
  <si>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</si>
  <si>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</si>
  <si>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</si>
  <si>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</si>
  <si>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</si>
  <si>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</si>
  <si>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</si>
  <si>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</si>
  <si>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</si>
  <si>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</si>
  <si>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</si>
  <si>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</si>
  <si>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</si>
  <si>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</si>
  <si>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</si>
  <si>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</si>
  <si>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</si>
  <si>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</si>
  <si>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</si>
  <si>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</si>
  <si>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</si>
  <si>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</si>
  <si>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</si>
  <si>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</si>
  <si>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</si>
  <si>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</si>
  <si>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</si>
  <si>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</si>
  <si>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</si>
  <si>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</si>
  <si>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</si>
  <si>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</si>
  <si>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</si>
  <si>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</si>
  <si>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</si>
  <si>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Unit 5 test — question map</t>
  </si>
  <si>
    <t xml:space="preserve">Form A, Form B and a practice test, parallel position for position; one point per lettered part. Transfer items are not on the practice test.</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</si>
  <si>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</si>
  <si>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</si>
  <si>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</si>
  <si>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</si>
  <si>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</si>
  <si>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</si>
  <si>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</si>
  <si>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</si>
  <si>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</si>
  <si>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</si>
  <si>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</si>
  <si>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</si>
  <si>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</si>
  <si>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</si>
  <si>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</si>
  <si>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</si>
  <si>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</si>
  <si>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</si>
  <si>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</si>
  <si>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</si>
  <si>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</si>
  <si>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</si>
  <si>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</si>
  <si>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</si>
  <si>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</si>
  <si>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</si>
  <si>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</si>
  <si>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</si>
  <si>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</si>
  <si>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</si>
  <si>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</si>
  <si>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</si>
  <si>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</si>
  <si>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</si>
  <si>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</si>
  <si>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</si>
  <si>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</si>
  <si>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</si>
  <si>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</si>
  <si>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</si>
  <si>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</si>
  <si>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</si>
  <si>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</si>
  <si>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</si>
  <si>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</si>
  <si>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</si>
  <si>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</si>
  <si>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</si>
  <si>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</si>
  <si>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</si>
  <si>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</si>
  <si>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</si>
  <si>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</si>
  <si>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</si>
  <si>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</si>
  <si>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</si>
  <si>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</si>
  <si>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</si>
  <si>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</si>
  <si>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</si>
  <si>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</si>
  <si>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</si>
  <si>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</si>
  <si>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</si>
  <si>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</si>
  <si>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</si>
  <si>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</si>
  <si>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</si>
  <si>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</si>
  <si>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</si>
  <si>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</si>
  <si>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</si>
  <si>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</si>
  <si>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</si>
  <si>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</si>
  <si>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</si>
  <si>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</si>
  <si>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</si>
  <si>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</si>
  <si>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</si>
  <si>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</si>
  <si>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</si>
  <si>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</si>
  <si>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</si>
  <si>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</si>
  <si>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</si>
  <si>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</si>
  <si>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</si>
  <si>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</si>
  <si>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</si>
  <si>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</si>
  <si>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</si>
  <si>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</si>
  <si>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</si>
  <si>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</si>
  <si>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</si>
  <si>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</si>
  <si>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</si>
  <si>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</si>
  <si>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</si>
  <si>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</si>
  <si>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</si>
  <si>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</si>
  <si>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</si>
  <si>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</si>
  <si>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</si>
  <si>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</si>
  <si>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</si>
  <si>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</si>
  <si>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</si>
  <si>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</si>
  <si>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</si>
  <si>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</si>
  <si>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</si>
  <si>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</si>
  <si>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</si>
  <si>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</si>
  <si>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</si>
  <si>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</si>
  <si>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</si>
  <si>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</si>
  <si>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</si>
  <si>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</si>
  <si>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</si>
  <si>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</si>
  <si>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</si>
  <si>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</si>
  <si>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</si>
  <si>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</si>
  <si>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</si>
  <si>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</si>
  <si>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</si>
  <si>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</si>
  <si>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</si>
  <si>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</si>
  <si>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</si>
  <si>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</si>
  <si>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</si>
  <si>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</si>
  <si>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</si>
  <si>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</si>
  <si>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</si>
  <si>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</si>
  <si>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</si>
  <si>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</si>
  <si>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</si>
  <si>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</si>
  <si>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</si>
  <si>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</si>
  <si>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</si>
  <si>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</si>
  <si>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</si>
  <si>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</si>
  <si>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</si>
  <si>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</si>
  <si>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</si>
  <si>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</si>
  <si>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</si>
  <si>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</si>
  <si>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</si>
  <si>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</si>
  <si>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</si>
  <si>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</si>
  <si>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</si>
  <si>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</si>
  <si>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</si>
  <si>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</si>
  <si>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</si>
  <si>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</si>
  <si>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</si>
  <si>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</si>
  <si>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</si>
  <si>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</si>
  <si>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</si>
  <si>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</si>
  <si>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</si>
  <si>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</si>
  <si>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</si>
  <si>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</si>
  <si>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</si>
  <si>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</si>
  <si>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</si>
  <si>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</si>
  <si>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</si>
  <si>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</si>
  <si>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</si>
  <si>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</si>
  <si>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</si>
  <si>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</si>
  <si>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</si>
  <si>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</si>
  <si>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</si>
  <si>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</si>
  <si>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</si>
  <si>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</si>
  <si>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</si>
  <si>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</si>
  <si>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</si>
  <si>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</si>
  <si>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</si>
  <si>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</si>
  <si>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</si>
  <si>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</si>
  <si>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</si>
  <si>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</si>
  <si>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</si>
  <si>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</si>
  <si>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</si>
  <si>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</si>
  <si>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</si>
  <si>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</si>
  <si>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</si>
  <si>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</si>
  <si>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</si>
  <si>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</si>
  <si>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</si>
  <si>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</si>
  <si>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</si>
  <si>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</si>
  <si>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</si>
  <si>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</si>
  <si>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</si>
  <si>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</si>
  <si>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</si>
  <si>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</si>
  <si>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</si>
  <si>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</si>
  <si>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</si>
  <si>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</si>
  <si>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</si>
  <si>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</si>
  <si>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</si>
  <si>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</si>
  <si>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</si>
  <si>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</si>
  <si>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</si>
  <si>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</si>
  <si>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</si>
  <si>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</si>
  <si>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</si>
  <si>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</si>
  <si>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</si>
  <si>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</si>
  <si>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</si>
  <si>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</si>
  <si>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</si>
  <si>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</si>
  <si>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</si>
  <si>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</si>
  <si>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</si>
  <si>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</si>
  <si>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</si>
  <si>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</si>
  <si>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</si>
  <si>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</si>
  <si>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</si>
  <si>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</si>
  <si>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</si>
  <si>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</si>
  <si>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</si>
  <si>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</si>
  <si>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</si>
  <si>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</si>
  <si>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</si>
  <si>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</si>
  <si>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</si>
  <si>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</si>
  <si>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</si>
  <si>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</si>
  <si>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</si>
  <si>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</si>
  <si>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</si>
  <si>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</si>
  <si>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</si>
  <si>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</si>
  <si>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</si>
  <si>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</si>
  <si>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</si>
  <si>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</si>
  <si>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</si>
  <si>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</si>
  <si>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</si>
  <si>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</si>
  <si>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</si>
  <si>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</si>
  <si>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</si>
  <si>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</si>
  <si>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</si>
  <si>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</si>
  <si>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</si>
  <si>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</si>
  <si>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</si>
  <si>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</si>
  <si>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</si>
  <si>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</si>
  <si>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</si>
  <si>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</si>
  <si>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</si>
  <si>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</si>
  <si>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</si>
  <si>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</si>
  <si>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</si>
  <si>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</si>
  <si>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</si>
  <si>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</si>
  <si>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</si>
  <si>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</si>
  <si>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</si>
  <si>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</si>
  <si>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</si>
  <si>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</si>
  <si>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</si>
  <si>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</si>
  <si>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</si>
  <si>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</si>
  <si>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</si>
  <si>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</si>
  <si>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</si>
  <si>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</si>
  <si>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</si>
  <si>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</si>
  <si>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</si>
  <si>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</si>
  <si>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</si>
  <si>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</si>
  <si>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</si>
  <si>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</si>
  <si>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</si>
  <si>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</si>
  <si>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</si>
  <si>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</si>
  <si>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</si>
  <si>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</si>
  <si>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</si>
  <si>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</si>
  <si>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</si>
  <si>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</si>
  <si>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</si>
  <si>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</si>
  <si>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</si>
  <si>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</si>
  <si>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</si>
  <si>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</si>
  <si>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</si>
  <si>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</si>
  <si>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</si>
  <si>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</si>
  <si>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</si>
  <si>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</si>
  <si>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</si>
  <si>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</si>
  <si>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</si>
  <si>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</si>
  <si>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</si>
  <si>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</si>
  <si>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</si>
  <si>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</si>
  <si>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</si>
  <si>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</si>
  <si>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</si>
  <si>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</si>
  <si>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</si>
  <si>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</si>
  <si>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</si>
  <si>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</si>
  <si>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</si>
  <si>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</si>
  <si>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</si>
  <si>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</si>
  <si>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</si>
  <si>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</si>
  <si>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</si>
  <si>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</si>
  <si>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</si>
  <si>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</si>
  <si>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</si>
  <si>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</si>
  <si>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</si>
  <si>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</si>
  <si>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</si>
  <si>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</si>
  <si>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</si>
  <si>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</si>
  <si>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</si>
  <si>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</si>
  <si>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</si>
  <si>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</si>
  <si>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</si>
  <si>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</si>
  <si>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</si>
  <si>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f91754a5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</si>
  <si>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</si>
  <si>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</si>
  <si>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</si>
  <si>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</si>
  <si>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</si>
  <si>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</si>
  <si>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</si>
  <si>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</si>
  <si>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</si>
  <si>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</si>
  <si>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</si>
  <si>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</si>
  <si>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</si>
  <si>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</si>
  <si>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</si>
  <si>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</si>
  <si>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</si>
  <si>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</si>
  <si>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</si>
  <si>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</si>
  <si>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</si>
  <si>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</si>
  <si>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</si>
  <si>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</si>
  <si>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</si>
  <si>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</si>
  <si>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</si>
  <si>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</si>
  <si>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</si>
  <si>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</si>
  <si>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</si>
  <si>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</si>
  <si>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</si>
  <si>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</si>
  <si>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</si>
  <si>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</si>
  <si>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</si>
  <si>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</si>
  <si>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</si>
  <si>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</si>
  <si>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https://drive.google.com/drive/search?q=title:%22A7%204.07%22</t>
  </si>
  <si>
    <t xml:space="preserve">'Unit tests'!F8</t>
  </si>
  <si>
    <t xml:space="preserve">'Unit tests'!G8</t>
  </si>
  <si>
    <t xml:space="preserve">'Unit tests'!H8</t>
  </si>
  <si>
    <t xml:space="preserve">https://drive.google.com/drive/search?q=title:%22A7%205.01%22</t>
  </si>
  <si>
    <t xml:space="preserve">'Unit tests'!I8</t>
  </si>
  <si>
    <t xml:space="preserve">https://drive.google.com/drive/search?q=title:%22A7%205.02%22</t>
  </si>
  <si>
    <t xml:space="preserve">'Units'!G2</t>
  </si>
  <si>
    <t xml:space="preserve">folder</t>
  </si>
  <si>
    <t xml:space="preserve">https://drive.google.com/drive/search?q=title:%22A7%205.04%22</t>
  </si>
  <si>
    <t xml:space="preserve">'Units'!H2</t>
  </si>
  <si>
    <t xml:space="preserve">https://drive.google.com/drive/search?q=title:%22A7%205.06%22</t>
  </si>
  <si>
    <t xml:space="preserve">'Units'!I2</t>
  </si>
  <si>
    <t xml:space="preserve">https://drive.google.com/drive/search?q=title:%22A7%205.08%22</t>
  </si>
  <si>
    <t xml:space="preserve">'Units'!J2</t>
  </si>
  <si>
    <t xml:space="preserve">https://drive.google.com/drive/search?q=title:%22A7%205.10%22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</si>
  <si>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</si>
  <si>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</si>
  <si>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</si>
  <si>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</si>
  <si>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</si>
  <si>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</si>
  <si>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</si>
  <si>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</si>
  <si>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</si>
  <si>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</si>
  <si>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</si>
  <si>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</si>
  <si>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</si>
  <si>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https://drive.google.com/drive/search?q=title:%22A7%206.T1%22</t>
  </si>
  <si>
    <t xml:space="preserve">'Units'!K3</t>
  </si>
  <si>
    <t xml:space="preserve">https://drive.google.com/drive/search?q=title:%22A7%206.T2%22</t>
  </si>
  <si>
    <t xml:space="preserve">'Units'!L3</t>
  </si>
  <si>
    <t xml:space="preserve">https://drive.google.com/drive/search?q=title:%22A7%206.07%22</t>
  </si>
  <si>
    <t xml:space="preserve">'Units'!M3</t>
  </si>
  <si>
    <t xml:space="preserve">'Units'!N3</t>
  </si>
  <si>
    <t xml:space="preserve">'Units'!G4</t>
  </si>
  <si>
    <t xml:space="preserve">'Units'!H4</t>
  </si>
  <si>
    <t xml:space="preserve">'Units'!I4</t>
  </si>
  <si>
    <t xml:space="preserve">https://drive.google.com/drive/search?q=title:%22A7%207.01%22</t>
  </si>
  <si>
    <t xml:space="preserve">'Units'!J4</t>
  </si>
  <si>
    <t xml:space="preserve">https://drive.google.com/drive/search?q=title:%22A7%207.02%22</t>
  </si>
  <si>
    <t xml:space="preserve">'Units'!K4</t>
  </si>
  <si>
    <t xml:space="preserve">https://drive.google.com/drive/search?q=title:%22A7%207.04%22</t>
  </si>
  <si>
    <t xml:space="preserve">'Units'!L4</t>
  </si>
  <si>
    <t xml:space="preserve">https://drive.google.com/drive/search?q=title:%22A7%207.05%22</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</si>
  <si>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</si>
  <si>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</si>
  <si>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</si>
  <si>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</si>
  <si>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</si>
  <si>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</si>
  <si>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</si>
  <si>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</si>
  <si>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https://drive.google.com/drive/search?q=title:%22A7%208.01%22</t>
  </si>
  <si>
    <t xml:space="preserve">'Units'!L5</t>
  </si>
  <si>
    <t xml:space="preserve">https://drive.google.com/drive/search?q=title:%22A7%208.03%22</t>
  </si>
  <si>
    <t xml:space="preserve">'Units'!M5</t>
  </si>
  <si>
    <t xml:space="preserve">https://drive.google.com/drive/search?q=title:%22A7%208.04%22</t>
  </si>
  <si>
    <t xml:space="preserve">'Units'!N5</t>
  </si>
  <si>
    <t xml:space="preserve">https://drive.google.com/drive/search?q=title:%22A7%208.06%22</t>
  </si>
  <si>
    <t xml:space="preserve">'Units'!G6</t>
  </si>
  <si>
    <t xml:space="preserve">https://drive.google.com/drive/search?q=title:%22A7%208.08%22</t>
  </si>
  <si>
    <t xml:space="preserve">'Units'!H6</t>
  </si>
  <si>
    <t xml:space="preserve">https://drive.google.com/drive/search?q=title:%22A7%209.01%22</t>
  </si>
  <si>
    <t xml:space="preserve">'Units'!I6</t>
  </si>
  <si>
    <t xml:space="preserve">https://drive.google.com/drive/search?q=title:%22A7%209.03%22</t>
  </si>
  <si>
    <t xml:space="preserve">'Units'!J6</t>
  </si>
  <si>
    <t xml:space="preserve">'Units'!K6</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</si>
  <si>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</si>
  <si>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</si>
  <si>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</si>
  <si>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</si>
  <si>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</si>
  <si>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</si>
  <si>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</si>
  <si>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</si>
  <si>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</si>
  <si>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</si>
  <si>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</si>
  <si>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</si>
  <si>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</si>
  <si>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</si>
  <si>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</si>
  <si>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</si>
  <si>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</si>
  <si>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</si>
  <si>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</si>
  <si>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</si>
  <si>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</si>
  <si>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</si>
  <si>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</si>
  <si>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</si>
  <si>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</si>
  <si>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</si>
  <si>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</si>
  <si>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</si>
  <si>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</si>
  <si>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</si>
  <si>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</si>
  <si>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</si>
  <si>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</si>
  <si>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</si>
  <si>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</si>
  <si>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</si>
  <si>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</si>
  <si>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</si>
  <si>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</si>
  <si>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</si>
  <si>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</si>
  <si>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</si>
  <si>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</si>
  <si>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</si>
  <si>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</si>
  <si>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</si>
  <si>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</si>
  <si>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</si>
  <si>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</si>
  <si>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'Units 1–2 decks'!F6</t>
  </si>
  <si>
    <t xml:space="preserve">https://drive.google.com/drive/search?q=title:%22A7%2012.07%22</t>
  </si>
  <si>
    <t xml:space="preserve">'Units 1–2 decks'!G6</t>
  </si>
  <si>
    <t xml:space="preserve">https://drive.google.com/drive/search?q=title:%22A7%2012.08%22</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</si>
  <si>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</si>
  <si>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</si>
  <si>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</si>
  <si>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</si>
  <si>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</si>
  <si>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</si>
  <si>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</si>
  <si>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</si>
  <si>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</si>
  <si>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</si>
  <si>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</si>
  <si>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</si>
  <si>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</si>
  <si>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</si>
  <si>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</si>
  <si>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https://drive.google.com/drive/search?q=title:%22A7%2013.T1%22</t>
  </si>
  <si>
    <t xml:space="preserve">'Units 1–2 decks'!F8</t>
  </si>
  <si>
    <t xml:space="preserve">https://drive.google.com/drive/search?q=title:%22A7%2013.T2%22</t>
  </si>
  <si>
    <t xml:space="preserve">'Units 1–2 decks'!G8</t>
  </si>
  <si>
    <t xml:space="preserve">'Units 1–2 decks'!H8</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</si>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</sst>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288</v>
      </c>
      <c r="E33" s="33" t="s">
        <v>289</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290</v>
      </c>
      <c r="E34" s="40" t="s">
        <v>291</v>
      </c>
      <c r="F34" s="43" t="s">
        <v>292</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3" t="s">
        <v>292</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3" t="s">
        <v>292</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3" t="s">
        <v>292</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3" t="s">
        <v>292</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57.45" hidden="false" customHeight="false" outlineLevel="0" collapsed="false">
      <c r="A39" s="36" t="n">
        <v>46343</v>
      </c>
      <c r="B39" s="37" t="s">
        <v>87</v>
      </c>
      <c r="C39" s="38" t="n">
        <v>6</v>
      </c>
      <c r="D39" s="39" t="s">
        <v>317</v>
      </c>
      <c r="E39" s="40" t="s">
        <v>318</v>
      </c>
      <c r="F39" s="43" t="s">
        <v>292</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35.05" hidden="false" customHeight="false" outlineLevel="0" collapsed="false">
      <c r="A40" s="36" t="n">
        <v>46344</v>
      </c>
      <c r="B40" s="37" t="s">
        <v>39</v>
      </c>
      <c r="C40" s="38" t="n">
        <v>6</v>
      </c>
      <c r="D40" s="39" t="s">
        <v>323</v>
      </c>
      <c r="E40" s="40" t="s">
        <v>324</v>
      </c>
      <c r="F40" s="43" t="s">
        <v>292</v>
      </c>
      <c r="G40" s="37"/>
      <c r="H40" s="37"/>
      <c r="I40" s="37"/>
      <c r="J40" s="37"/>
      <c r="K40" s="37"/>
      <c r="L40" s="37"/>
      <c r="M40" s="37"/>
      <c r="N40" s="37"/>
      <c r="O40" s="37"/>
      <c r="P40" s="37"/>
      <c r="Q40" s="41" t="str">
        <f aca="false">HYPERLINK(Links!$M$40,"search")</f>
        <v>search</v>
      </c>
      <c r="R40" s="40" t="s">
        <v>325</v>
      </c>
      <c r="S40" s="42" t="n">
        <v>46345</v>
      </c>
      <c r="T40" s="37"/>
      <c r="U40" s="37"/>
      <c r="V40" s="37"/>
      <c r="W40" s="40" t="s">
        <v>326</v>
      </c>
      <c r="X40" s="40" t="s">
        <v>327</v>
      </c>
      <c r="Y40" s="37"/>
      <c r="Z40" s="37"/>
      <c r="AA40" s="37"/>
      <c r="AB40" s="40" t="s">
        <v>328</v>
      </c>
    </row>
    <row r="41" customFormat="false" ht="46.25" hidden="false" customHeight="false" outlineLevel="0" collapsed="false">
      <c r="A41" s="36" t="n">
        <v>46345</v>
      </c>
      <c r="B41" s="37" t="s">
        <v>52</v>
      </c>
      <c r="C41" s="38" t="n">
        <v>6</v>
      </c>
      <c r="D41" s="39" t="s">
        <v>329</v>
      </c>
      <c r="E41" s="40" t="s">
        <v>330</v>
      </c>
      <c r="F41" s="43" t="s">
        <v>292</v>
      </c>
      <c r="G41" s="37"/>
      <c r="H41" s="37"/>
      <c r="I41" s="37"/>
      <c r="J41" s="37"/>
      <c r="K41" s="37"/>
      <c r="L41" s="37"/>
      <c r="M41" s="37"/>
      <c r="N41" s="37"/>
      <c r="O41" s="37"/>
      <c r="P41" s="37"/>
      <c r="Q41" s="41" t="str">
        <f aca="false">HYPERLINK(Links!$M$41,"search")</f>
        <v>search</v>
      </c>
      <c r="R41" s="40" t="s">
        <v>331</v>
      </c>
      <c r="S41" s="42" t="n">
        <v>46346</v>
      </c>
      <c r="T41" s="37"/>
      <c r="U41" s="37"/>
      <c r="V41" s="37"/>
      <c r="W41" s="40" t="s">
        <v>332</v>
      </c>
      <c r="X41" s="40" t="s">
        <v>333</v>
      </c>
      <c r="Y41" s="37"/>
      <c r="Z41" s="37"/>
      <c r="AA41" s="37"/>
      <c r="AB41" s="40" t="s">
        <v>334</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335</v>
      </c>
      <c r="E43" s="33" t="s">
        <v>336</v>
      </c>
      <c r="F43" s="44" t="s">
        <v>292</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337</v>
      </c>
      <c r="E44" s="33" t="s">
        <v>338</v>
      </c>
      <c r="F44" s="44" t="s">
        <v>292</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339</v>
      </c>
      <c r="E45" s="26" t="s">
        <v>340</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341</v>
      </c>
      <c r="E46" s="19" t="s">
        <v>342</v>
      </c>
      <c r="F46" s="45" t="s">
        <v>292</v>
      </c>
      <c r="G46" s="16"/>
      <c r="H46" s="16"/>
      <c r="I46" s="16"/>
      <c r="J46" s="16"/>
      <c r="K46" s="16"/>
      <c r="L46" s="16"/>
      <c r="M46" s="16"/>
      <c r="N46" s="16"/>
      <c r="O46" s="16"/>
      <c r="P46" s="16"/>
      <c r="Q46" s="20" t="str">
        <f aca="false">HYPERLINK(Links!$M$46,"search")</f>
        <v>search</v>
      </c>
      <c r="R46" s="19" t="s">
        <v>343</v>
      </c>
      <c r="S46" s="21" t="n">
        <v>46360</v>
      </c>
      <c r="T46" s="16"/>
      <c r="U46" s="16"/>
      <c r="V46" s="16"/>
      <c r="W46" s="19" t="s">
        <v>344</v>
      </c>
      <c r="X46" s="19" t="s">
        <v>345</v>
      </c>
      <c r="Y46" s="16"/>
      <c r="Z46" s="16"/>
      <c r="AA46" s="16"/>
      <c r="AB46" s="19" t="s">
        <v>346</v>
      </c>
    </row>
    <row r="47" customFormat="false" ht="46.25" hidden="false" customHeight="false" outlineLevel="0" collapsed="false">
      <c r="A47" s="15" t="n">
        <v>46360</v>
      </c>
      <c r="B47" s="16" t="s">
        <v>63</v>
      </c>
      <c r="C47" s="17" t="n">
        <v>7</v>
      </c>
      <c r="D47" s="18" t="s">
        <v>347</v>
      </c>
      <c r="E47" s="19" t="s">
        <v>348</v>
      </c>
      <c r="F47" s="45" t="s">
        <v>292</v>
      </c>
      <c r="G47" s="16"/>
      <c r="H47" s="16"/>
      <c r="I47" s="16"/>
      <c r="J47" s="16"/>
      <c r="K47" s="16"/>
      <c r="L47" s="16"/>
      <c r="M47" s="16"/>
      <c r="N47" s="16"/>
      <c r="O47" s="16"/>
      <c r="P47" s="16"/>
      <c r="Q47" s="20" t="str">
        <f aca="false">HYPERLINK(Links!$M$47,"search")</f>
        <v>search</v>
      </c>
      <c r="R47" s="19" t="s">
        <v>349</v>
      </c>
      <c r="S47" s="21" t="n">
        <v>46363</v>
      </c>
      <c r="T47" s="16"/>
      <c r="U47" s="16"/>
      <c r="V47" s="16"/>
      <c r="W47" s="19" t="s">
        <v>350</v>
      </c>
      <c r="X47" s="19" t="s">
        <v>351</v>
      </c>
      <c r="Y47" s="16"/>
      <c r="Z47" s="16"/>
      <c r="AA47" s="16"/>
      <c r="AB47" s="19" t="s">
        <v>352</v>
      </c>
    </row>
    <row r="48" customFormat="false" ht="57.45" hidden="false" customHeight="false" outlineLevel="0" collapsed="false">
      <c r="A48" s="15" t="n">
        <v>46363</v>
      </c>
      <c r="B48" s="16" t="s">
        <v>74</v>
      </c>
      <c r="C48" s="17" t="n">
        <v>7</v>
      </c>
      <c r="D48" s="18" t="s">
        <v>353</v>
      </c>
      <c r="E48" s="19" t="s">
        <v>354</v>
      </c>
      <c r="F48" s="45" t="s">
        <v>292</v>
      </c>
      <c r="G48" s="16"/>
      <c r="H48" s="16"/>
      <c r="I48" s="16"/>
      <c r="J48" s="16"/>
      <c r="K48" s="16"/>
      <c r="L48" s="16"/>
      <c r="M48" s="16"/>
      <c r="N48" s="16"/>
      <c r="O48" s="16"/>
      <c r="P48" s="16"/>
      <c r="Q48" s="20" t="str">
        <f aca="false">HYPERLINK(Links!$M$48,"search")</f>
        <v>search</v>
      </c>
      <c r="R48" s="19" t="s">
        <v>355</v>
      </c>
      <c r="S48" s="21" t="n">
        <v>46364</v>
      </c>
      <c r="T48" s="16"/>
      <c r="U48" s="16"/>
      <c r="V48" s="16"/>
      <c r="W48" s="19" t="s">
        <v>356</v>
      </c>
      <c r="X48" s="19" t="s">
        <v>357</v>
      </c>
      <c r="Y48" s="16"/>
      <c r="Z48" s="16"/>
      <c r="AA48" s="16"/>
      <c r="AB48" s="19" t="s">
        <v>358</v>
      </c>
    </row>
    <row r="49" customFormat="false" ht="46.25" hidden="false" customHeight="false" outlineLevel="0" collapsed="false">
      <c r="A49" s="15" t="n">
        <v>46364</v>
      </c>
      <c r="B49" s="16" t="s">
        <v>87</v>
      </c>
      <c r="C49" s="17" t="n">
        <v>7</v>
      </c>
      <c r="D49" s="18" t="s">
        <v>359</v>
      </c>
      <c r="E49" s="19" t="s">
        <v>360</v>
      </c>
      <c r="F49" s="45" t="s">
        <v>292</v>
      </c>
      <c r="G49" s="16"/>
      <c r="H49" s="16"/>
      <c r="I49" s="16"/>
      <c r="J49" s="16"/>
      <c r="K49" s="16"/>
      <c r="L49" s="16"/>
      <c r="M49" s="16"/>
      <c r="N49" s="16"/>
      <c r="O49" s="16"/>
      <c r="P49" s="16"/>
      <c r="Q49" s="20" t="str">
        <f aca="false">HYPERLINK(Links!$M$49,"search")</f>
        <v>search</v>
      </c>
      <c r="R49" s="19" t="s">
        <v>361</v>
      </c>
      <c r="S49" s="21" t="n">
        <v>46365</v>
      </c>
      <c r="T49" s="16"/>
      <c r="U49" s="16"/>
      <c r="V49" s="16"/>
      <c r="W49" s="19" t="s">
        <v>362</v>
      </c>
      <c r="X49" s="19" t="s">
        <v>363</v>
      </c>
      <c r="Y49" s="16"/>
      <c r="Z49" s="16"/>
      <c r="AA49" s="16"/>
      <c r="AB49" s="19" t="s">
        <v>364</v>
      </c>
    </row>
    <row r="50" customFormat="false" ht="23.85" hidden="false" customHeight="false" outlineLevel="0" collapsed="false">
      <c r="A50" s="15" t="n">
        <v>46365</v>
      </c>
      <c r="B50" s="16" t="s">
        <v>39</v>
      </c>
      <c r="C50" s="17" t="n">
        <v>7</v>
      </c>
      <c r="D50" s="18" t="s">
        <v>365</v>
      </c>
      <c r="E50" s="19" t="s">
        <v>366</v>
      </c>
      <c r="F50" s="45" t="s">
        <v>292</v>
      </c>
      <c r="G50" s="16"/>
      <c r="H50" s="16"/>
      <c r="I50" s="16"/>
      <c r="J50" s="16"/>
      <c r="K50" s="16"/>
      <c r="L50" s="16"/>
      <c r="M50" s="16"/>
      <c r="N50" s="16"/>
      <c r="O50" s="16"/>
      <c r="P50" s="16"/>
      <c r="Q50" s="20" t="str">
        <f aca="false">HYPERLINK(Links!$M$50,"search")</f>
        <v>search</v>
      </c>
      <c r="R50" s="19" t="s">
        <v>367</v>
      </c>
      <c r="S50" s="21" t="n">
        <v>46366</v>
      </c>
      <c r="T50" s="16"/>
      <c r="U50" s="16"/>
      <c r="V50" s="16"/>
      <c r="W50" s="19" t="s">
        <v>368</v>
      </c>
      <c r="X50" s="19" t="s">
        <v>369</v>
      </c>
      <c r="Y50" s="16"/>
      <c r="Z50" s="16"/>
      <c r="AA50" s="16"/>
      <c r="AB50" s="19" t="s">
        <v>370</v>
      </c>
    </row>
    <row r="51" customFormat="false" ht="15" hidden="false" customHeight="false" outlineLevel="0" collapsed="false">
      <c r="A51" s="29" t="n">
        <v>46366</v>
      </c>
      <c r="B51" s="30" t="s">
        <v>52</v>
      </c>
      <c r="C51" s="31" t="n">
        <v>7</v>
      </c>
      <c r="D51" s="32" t="s">
        <v>371</v>
      </c>
      <c r="E51" s="33" t="s">
        <v>372</v>
      </c>
      <c r="F51" s="44" t="s">
        <v>292</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373</v>
      </c>
      <c r="E52" s="33" t="s">
        <v>374</v>
      </c>
      <c r="F52" s="44" t="s">
        <v>292</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375</v>
      </c>
      <c r="E53" s="26" t="s">
        <v>376</v>
      </c>
      <c r="F53" s="23"/>
      <c r="G53" s="23"/>
      <c r="H53" s="23"/>
      <c r="I53" s="23"/>
      <c r="J53" s="23"/>
      <c r="K53" s="23"/>
      <c r="L53" s="23"/>
      <c r="M53" s="23"/>
      <c r="N53" s="23"/>
      <c r="O53" s="23"/>
      <c r="P53" s="23"/>
      <c r="Q53" s="23"/>
      <c r="R53" s="26"/>
      <c r="S53" s="28"/>
      <c r="T53" s="23"/>
      <c r="U53" s="23"/>
      <c r="V53" s="23"/>
      <c r="W53" s="26" t="s">
        <v>377</v>
      </c>
      <c r="X53" s="26" t="s">
        <v>378</v>
      </c>
      <c r="Y53" s="23"/>
      <c r="Z53" s="23"/>
      <c r="AA53" s="23"/>
      <c r="AB53" s="26"/>
    </row>
    <row r="54" customFormat="false" ht="35.05" hidden="false" customHeight="false" outlineLevel="0" collapsed="false">
      <c r="A54" s="22" t="n">
        <v>46371</v>
      </c>
      <c r="B54" s="23" t="s">
        <v>87</v>
      </c>
      <c r="C54" s="24"/>
      <c r="D54" s="25" t="s">
        <v>379</v>
      </c>
      <c r="E54" s="26" t="s">
        <v>380</v>
      </c>
      <c r="F54" s="23"/>
      <c r="G54" s="23"/>
      <c r="H54" s="23"/>
      <c r="I54" s="23"/>
      <c r="J54" s="23"/>
      <c r="K54" s="23"/>
      <c r="L54" s="23"/>
      <c r="M54" s="23"/>
      <c r="N54" s="23"/>
      <c r="O54" s="23"/>
      <c r="P54" s="23"/>
      <c r="Q54" s="23"/>
      <c r="R54" s="26"/>
      <c r="S54" s="28"/>
      <c r="T54" s="23"/>
      <c r="U54" s="23"/>
      <c r="V54" s="23"/>
      <c r="W54" s="26" t="s">
        <v>381</v>
      </c>
      <c r="X54" s="26" t="s">
        <v>382</v>
      </c>
      <c r="Y54" s="23"/>
      <c r="Z54" s="23"/>
      <c r="AA54" s="23"/>
      <c r="AB54" s="26"/>
    </row>
    <row r="55" customFormat="false" ht="46.25" hidden="false" customHeight="false" outlineLevel="0" collapsed="false">
      <c r="A55" s="22" t="n">
        <v>46372</v>
      </c>
      <c r="B55" s="23" t="s">
        <v>39</v>
      </c>
      <c r="C55" s="24"/>
      <c r="D55" s="25" t="s">
        <v>383</v>
      </c>
      <c r="E55" s="26" t="s">
        <v>384</v>
      </c>
      <c r="F55" s="23"/>
      <c r="G55" s="23"/>
      <c r="H55" s="23"/>
      <c r="I55" s="23"/>
      <c r="J55" s="23"/>
      <c r="K55" s="23"/>
      <c r="L55" s="23"/>
      <c r="M55" s="23"/>
      <c r="N55" s="23"/>
      <c r="O55" s="23"/>
      <c r="P55" s="23"/>
      <c r="Q55" s="23"/>
      <c r="R55" s="26"/>
      <c r="S55" s="28"/>
      <c r="T55" s="23"/>
      <c r="U55" s="23"/>
      <c r="V55" s="23"/>
      <c r="W55" s="26" t="s">
        <v>385</v>
      </c>
      <c r="X55" s="26" t="s">
        <v>386</v>
      </c>
      <c r="Y55" s="23"/>
      <c r="Z55" s="23"/>
      <c r="AA55" s="23"/>
      <c r="AB55" s="26"/>
    </row>
    <row r="56" customFormat="false" ht="35.05" hidden="false" customHeight="false" outlineLevel="0" collapsed="false">
      <c r="A56" s="36" t="n">
        <v>46373</v>
      </c>
      <c r="B56" s="37" t="s">
        <v>52</v>
      </c>
      <c r="C56" s="38" t="n">
        <v>8</v>
      </c>
      <c r="D56" s="39" t="s">
        <v>387</v>
      </c>
      <c r="E56" s="40" t="s">
        <v>388</v>
      </c>
      <c r="F56" s="43" t="s">
        <v>292</v>
      </c>
      <c r="G56" s="37"/>
      <c r="H56" s="37"/>
      <c r="I56" s="37"/>
      <c r="J56" s="37"/>
      <c r="K56" s="37"/>
      <c r="L56" s="37"/>
      <c r="M56" s="37"/>
      <c r="N56" s="37"/>
      <c r="O56" s="37"/>
      <c r="P56" s="37"/>
      <c r="Q56" s="41" t="str">
        <f aca="false">HYPERLINK(Links!$M$56,"search")</f>
        <v>search</v>
      </c>
      <c r="R56" s="40" t="s">
        <v>389</v>
      </c>
      <c r="S56" s="42" t="n">
        <v>46374</v>
      </c>
      <c r="T56" s="37"/>
      <c r="U56" s="37"/>
      <c r="V56" s="37"/>
      <c r="W56" s="40" t="s">
        <v>390</v>
      </c>
      <c r="X56" s="40" t="s">
        <v>391</v>
      </c>
      <c r="Y56" s="37"/>
      <c r="Z56" s="37"/>
      <c r="AA56" s="37"/>
      <c r="AB56" s="40" t="s">
        <v>392</v>
      </c>
    </row>
    <row r="57" customFormat="false" ht="35.05" hidden="false" customHeight="false" outlineLevel="0" collapsed="false">
      <c r="A57" s="36" t="n">
        <v>46374</v>
      </c>
      <c r="B57" s="37" t="s">
        <v>63</v>
      </c>
      <c r="C57" s="38" t="n">
        <v>8</v>
      </c>
      <c r="D57" s="39" t="s">
        <v>393</v>
      </c>
      <c r="E57" s="40" t="s">
        <v>394</v>
      </c>
      <c r="F57" s="43" t="s">
        <v>292</v>
      </c>
      <c r="G57" s="37"/>
      <c r="H57" s="37"/>
      <c r="I57" s="37"/>
      <c r="J57" s="37"/>
      <c r="K57" s="37"/>
      <c r="L57" s="37"/>
      <c r="M57" s="37"/>
      <c r="N57" s="37"/>
      <c r="O57" s="37"/>
      <c r="P57" s="37"/>
      <c r="Q57" s="41" t="str">
        <f aca="false">HYPERLINK(Links!$M$57,"search")</f>
        <v>search</v>
      </c>
      <c r="R57" s="40" t="s">
        <v>395</v>
      </c>
      <c r="S57" s="42" t="n">
        <v>46393</v>
      </c>
      <c r="T57" s="37"/>
      <c r="U57" s="37"/>
      <c r="V57" s="37"/>
      <c r="W57" s="40" t="s">
        <v>390</v>
      </c>
      <c r="X57" s="40" t="s">
        <v>391</v>
      </c>
      <c r="Y57" s="37"/>
      <c r="Z57" s="37"/>
      <c r="AA57" s="37"/>
      <c r="AB57" s="40" t="s">
        <v>396</v>
      </c>
    </row>
    <row r="58" customFormat="false" ht="23.85" hidden="false" customHeight="false" outlineLevel="0" collapsed="false">
      <c r="A58" s="36" t="n">
        <v>46393</v>
      </c>
      <c r="B58" s="37" t="s">
        <v>39</v>
      </c>
      <c r="C58" s="38" t="n">
        <v>8</v>
      </c>
      <c r="D58" s="39" t="s">
        <v>397</v>
      </c>
      <c r="E58" s="40" t="s">
        <v>398</v>
      </c>
      <c r="F58" s="43" t="s">
        <v>292</v>
      </c>
      <c r="G58" s="37"/>
      <c r="H58" s="37"/>
      <c r="I58" s="37"/>
      <c r="J58" s="37"/>
      <c r="K58" s="37"/>
      <c r="L58" s="37"/>
      <c r="M58" s="37"/>
      <c r="N58" s="37"/>
      <c r="O58" s="37"/>
      <c r="P58" s="37"/>
      <c r="Q58" s="41" t="str">
        <f aca="false">HYPERLINK(Links!$M$58,"search")</f>
        <v>search</v>
      </c>
      <c r="R58" s="40" t="s">
        <v>399</v>
      </c>
      <c r="S58" s="42" t="n">
        <v>46394</v>
      </c>
      <c r="T58" s="37"/>
      <c r="U58" s="37"/>
      <c r="V58" s="37"/>
      <c r="W58" s="40" t="s">
        <v>400</v>
      </c>
      <c r="X58" s="40" t="s">
        <v>401</v>
      </c>
      <c r="Y58" s="37"/>
      <c r="Z58" s="37"/>
      <c r="AA58" s="37"/>
      <c r="AB58" s="40" t="s">
        <v>402</v>
      </c>
    </row>
    <row r="59" customFormat="false" ht="23.85" hidden="false" customHeight="false" outlineLevel="0" collapsed="false">
      <c r="A59" s="36" t="n">
        <v>46394</v>
      </c>
      <c r="B59" s="37" t="s">
        <v>52</v>
      </c>
      <c r="C59" s="38" t="n">
        <v>8</v>
      </c>
      <c r="D59" s="39" t="s">
        <v>403</v>
      </c>
      <c r="E59" s="40" t="s">
        <v>404</v>
      </c>
      <c r="F59" s="43" t="s">
        <v>292</v>
      </c>
      <c r="G59" s="37"/>
      <c r="H59" s="37"/>
      <c r="I59" s="37"/>
      <c r="J59" s="37"/>
      <c r="K59" s="37"/>
      <c r="L59" s="37"/>
      <c r="M59" s="37"/>
      <c r="N59" s="37"/>
      <c r="O59" s="37"/>
      <c r="P59" s="37"/>
      <c r="Q59" s="41" t="str">
        <f aca="false">HYPERLINK(Links!$M$59,"search")</f>
        <v>search</v>
      </c>
      <c r="R59" s="40" t="s">
        <v>405</v>
      </c>
      <c r="S59" s="42" t="n">
        <v>46395</v>
      </c>
      <c r="T59" s="37"/>
      <c r="U59" s="37"/>
      <c r="V59" s="37"/>
      <c r="W59" s="40" t="s">
        <v>400</v>
      </c>
      <c r="X59" s="40" t="s">
        <v>401</v>
      </c>
      <c r="Y59" s="37"/>
      <c r="Z59" s="37"/>
      <c r="AA59" s="37"/>
      <c r="AB59" s="40" t="s">
        <v>406</v>
      </c>
    </row>
    <row r="60" customFormat="false" ht="57.45" hidden="false" customHeight="false" outlineLevel="0" collapsed="false">
      <c r="A60" s="36" t="n">
        <v>46395</v>
      </c>
      <c r="B60" s="37" t="s">
        <v>63</v>
      </c>
      <c r="C60" s="38" t="n">
        <v>8</v>
      </c>
      <c r="D60" s="39" t="s">
        <v>407</v>
      </c>
      <c r="E60" s="40" t="s">
        <v>408</v>
      </c>
      <c r="F60" s="43" t="s">
        <v>292</v>
      </c>
      <c r="G60" s="37"/>
      <c r="H60" s="37"/>
      <c r="I60" s="37"/>
      <c r="J60" s="37"/>
      <c r="K60" s="37"/>
      <c r="L60" s="37"/>
      <c r="M60" s="37"/>
      <c r="N60" s="37"/>
      <c r="O60" s="37"/>
      <c r="P60" s="37"/>
      <c r="Q60" s="41" t="str">
        <f aca="false">HYPERLINK(Links!$M$60,"search")</f>
        <v>search</v>
      </c>
      <c r="R60" s="40" t="s">
        <v>409</v>
      </c>
      <c r="S60" s="42" t="n">
        <v>46398</v>
      </c>
      <c r="T60" s="37"/>
      <c r="U60" s="37"/>
      <c r="V60" s="37"/>
      <c r="W60" s="40" t="s">
        <v>410</v>
      </c>
      <c r="X60" s="40" t="s">
        <v>411</v>
      </c>
      <c r="Y60" s="37"/>
      <c r="Z60" s="37"/>
      <c r="AA60" s="37"/>
      <c r="AB60" s="40" t="s">
        <v>412</v>
      </c>
    </row>
    <row r="61" customFormat="false" ht="57.45" hidden="false" customHeight="false" outlineLevel="0" collapsed="false">
      <c r="A61" s="15" t="n">
        <v>46398</v>
      </c>
      <c r="B61" s="16" t="s">
        <v>74</v>
      </c>
      <c r="C61" s="17" t="n">
        <v>9</v>
      </c>
      <c r="D61" s="18" t="s">
        <v>413</v>
      </c>
      <c r="E61" s="19" t="s">
        <v>414</v>
      </c>
      <c r="F61" s="45" t="s">
        <v>292</v>
      </c>
      <c r="G61" s="16"/>
      <c r="H61" s="16"/>
      <c r="I61" s="16"/>
      <c r="J61" s="16"/>
      <c r="K61" s="16"/>
      <c r="L61" s="16"/>
      <c r="M61" s="16"/>
      <c r="N61" s="16"/>
      <c r="O61" s="16"/>
      <c r="P61" s="16"/>
      <c r="Q61" s="20" t="str">
        <f aca="false">HYPERLINK(Links!$M$61,"search")</f>
        <v>search</v>
      </c>
      <c r="R61" s="19" t="s">
        <v>415</v>
      </c>
      <c r="S61" s="21" t="n">
        <v>46399</v>
      </c>
      <c r="T61" s="16"/>
      <c r="U61" s="16"/>
      <c r="V61" s="16"/>
      <c r="W61" s="19" t="s">
        <v>416</v>
      </c>
      <c r="X61" s="19" t="s">
        <v>417</v>
      </c>
      <c r="Y61" s="16"/>
      <c r="Z61" s="16"/>
      <c r="AA61" s="16"/>
      <c r="AB61" s="19" t="s">
        <v>418</v>
      </c>
    </row>
    <row r="62" customFormat="false" ht="46.25" hidden="false" customHeight="false" outlineLevel="0" collapsed="false">
      <c r="A62" s="15" t="n">
        <v>46399</v>
      </c>
      <c r="B62" s="16" t="s">
        <v>87</v>
      </c>
      <c r="C62" s="17" t="n">
        <v>9</v>
      </c>
      <c r="D62" s="18" t="s">
        <v>419</v>
      </c>
      <c r="E62" s="19" t="s">
        <v>420</v>
      </c>
      <c r="F62" s="45" t="s">
        <v>292</v>
      </c>
      <c r="G62" s="16"/>
      <c r="H62" s="16"/>
      <c r="I62" s="16"/>
      <c r="J62" s="16"/>
      <c r="K62" s="16"/>
      <c r="L62" s="16"/>
      <c r="M62" s="16"/>
      <c r="N62" s="16"/>
      <c r="O62" s="16"/>
      <c r="P62" s="16"/>
      <c r="Q62" s="20" t="str">
        <f aca="false">HYPERLINK(Links!$M$62,"search")</f>
        <v>search</v>
      </c>
      <c r="R62" s="19" t="s">
        <v>421</v>
      </c>
      <c r="S62" s="21" t="n">
        <v>46400</v>
      </c>
      <c r="T62" s="16"/>
      <c r="U62" s="16"/>
      <c r="V62" s="16"/>
      <c r="W62" s="19" t="s">
        <v>422</v>
      </c>
      <c r="X62" s="19" t="s">
        <v>423</v>
      </c>
      <c r="Y62" s="16"/>
      <c r="Z62" s="16"/>
      <c r="AA62" s="16"/>
      <c r="AB62" s="19" t="s">
        <v>424</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4" t="s">
        <v>292</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4" t="s">
        <v>292</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3" t="s">
        <v>292</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3" t="s">
        <v>292</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3" t="s">
        <v>292</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3" t="s">
        <v>292</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3" t="s">
        <v>292</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3" t="s">
        <v>292</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3" t="s">
        <v>292</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3" t="s">
        <v>292</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4" t="s">
        <v>292</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4" t="s">
        <v>292</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292</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292</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292</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292</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292</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292</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292</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4" t="s">
        <v>292</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4" t="s">
        <v>292</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339</v>
      </c>
      <c r="E89" s="26" t="s">
        <v>340</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517</v>
      </c>
      <c r="E90" s="40" t="s">
        <v>518</v>
      </c>
      <c r="F90" s="43" t="s">
        <v>292</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35.05" hidden="false" customHeight="false" outlineLevel="0" collapsed="false">
      <c r="A91" s="36" t="n">
        <v>46442</v>
      </c>
      <c r="B91" s="37" t="s">
        <v>39</v>
      </c>
      <c r="C91" s="38" t="n">
        <v>12</v>
      </c>
      <c r="D91" s="39" t="s">
        <v>523</v>
      </c>
      <c r="E91" s="40" t="s">
        <v>524</v>
      </c>
      <c r="F91" s="43" t="s">
        <v>292</v>
      </c>
      <c r="G91" s="37"/>
      <c r="H91" s="37"/>
      <c r="I91" s="37"/>
      <c r="J91" s="37"/>
      <c r="K91" s="37"/>
      <c r="L91" s="37"/>
      <c r="M91" s="37"/>
      <c r="N91" s="37"/>
      <c r="O91" s="37"/>
      <c r="P91" s="37"/>
      <c r="Q91" s="41" t="str">
        <f aca="false">HYPERLINK(Links!$M$91,"search")</f>
        <v>search</v>
      </c>
      <c r="R91" s="40" t="s">
        <v>525</v>
      </c>
      <c r="S91" s="42" t="n">
        <v>46443</v>
      </c>
      <c r="T91" s="37"/>
      <c r="U91" s="37"/>
      <c r="V91" s="37"/>
      <c r="W91" s="40" t="s">
        <v>520</v>
      </c>
      <c r="X91" s="40" t="s">
        <v>521</v>
      </c>
      <c r="Y91" s="37"/>
      <c r="Z91" s="37"/>
      <c r="AA91" s="37"/>
      <c r="AB91" s="40" t="s">
        <v>526</v>
      </c>
    </row>
    <row r="92" customFormat="false" ht="35.05" hidden="false" customHeight="false" outlineLevel="0" collapsed="false">
      <c r="A92" s="36" t="n">
        <v>46443</v>
      </c>
      <c r="B92" s="37" t="s">
        <v>52</v>
      </c>
      <c r="C92" s="38" t="n">
        <v>12</v>
      </c>
      <c r="D92" s="39" t="s">
        <v>527</v>
      </c>
      <c r="E92" s="40" t="s">
        <v>528</v>
      </c>
      <c r="F92" s="43" t="s">
        <v>292</v>
      </c>
      <c r="G92" s="37"/>
      <c r="H92" s="37"/>
      <c r="I92" s="37"/>
      <c r="J92" s="37"/>
      <c r="K92" s="37"/>
      <c r="L92" s="37"/>
      <c r="M92" s="37"/>
      <c r="N92" s="37"/>
      <c r="O92" s="37"/>
      <c r="P92" s="37"/>
      <c r="Q92" s="41" t="str">
        <f aca="false">HYPERLINK(Links!$M$92,"search")</f>
        <v>search</v>
      </c>
      <c r="R92" s="40" t="s">
        <v>529</v>
      </c>
      <c r="S92" s="42" t="n">
        <v>46448</v>
      </c>
      <c r="T92" s="37"/>
      <c r="U92" s="37"/>
      <c r="V92" s="37"/>
      <c r="W92" s="40" t="s">
        <v>530</v>
      </c>
      <c r="X92" s="40" t="s">
        <v>531</v>
      </c>
      <c r="Y92" s="37"/>
      <c r="Z92" s="37"/>
      <c r="AA92" s="37"/>
      <c r="AB92" s="40" t="s">
        <v>532</v>
      </c>
    </row>
    <row r="93" customFormat="false" ht="35.05" hidden="false" customHeight="false" outlineLevel="0" collapsed="false">
      <c r="A93" s="36" t="n">
        <v>46444</v>
      </c>
      <c r="B93" s="37" t="s">
        <v>63</v>
      </c>
      <c r="C93" s="38" t="n">
        <v>12</v>
      </c>
      <c r="D93" s="39" t="s">
        <v>533</v>
      </c>
      <c r="E93" s="40" t="s">
        <v>534</v>
      </c>
      <c r="F93" s="43" t="s">
        <v>292</v>
      </c>
      <c r="G93" s="37"/>
      <c r="H93" s="37"/>
      <c r="I93" s="37"/>
      <c r="J93" s="37"/>
      <c r="K93" s="37"/>
      <c r="L93" s="37"/>
      <c r="M93" s="37"/>
      <c r="N93" s="37"/>
      <c r="O93" s="37"/>
      <c r="P93" s="37"/>
      <c r="Q93" s="41" t="str">
        <f aca="false">HYPERLINK(Links!$M$93,"search")</f>
        <v>search</v>
      </c>
      <c r="R93" s="40" t="s">
        <v>529</v>
      </c>
      <c r="S93" s="42" t="n">
        <v>46448</v>
      </c>
      <c r="T93" s="37"/>
      <c r="U93" s="37"/>
      <c r="V93" s="37"/>
      <c r="W93" s="40" t="s">
        <v>530</v>
      </c>
      <c r="X93" s="40" t="s">
        <v>531</v>
      </c>
      <c r="Y93" s="37"/>
      <c r="Z93" s="37"/>
      <c r="AA93" s="37"/>
      <c r="AB93" s="40" t="s">
        <v>535</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536</v>
      </c>
      <c r="E95" s="40" t="s">
        <v>537</v>
      </c>
      <c r="F95" s="43" t="s">
        <v>292</v>
      </c>
      <c r="G95" s="37"/>
      <c r="H95" s="37"/>
      <c r="I95" s="37"/>
      <c r="J95" s="37"/>
      <c r="K95" s="37"/>
      <c r="L95" s="37"/>
      <c r="M95" s="37"/>
      <c r="N95" s="37"/>
      <c r="O95" s="37"/>
      <c r="P95" s="37"/>
      <c r="Q95" s="41" t="str">
        <f aca="false">HYPERLINK(Links!$M$95,"search")</f>
        <v>search</v>
      </c>
      <c r="R95" s="40" t="s">
        <v>538</v>
      </c>
      <c r="S95" s="42" t="n">
        <v>46449</v>
      </c>
      <c r="T95" s="37"/>
      <c r="U95" s="37"/>
      <c r="V95" s="37"/>
      <c r="W95" s="40" t="s">
        <v>539</v>
      </c>
      <c r="X95" s="40" t="s">
        <v>540</v>
      </c>
      <c r="Y95" s="37"/>
      <c r="Z95" s="37"/>
      <c r="AA95" s="37"/>
      <c r="AB95" s="40" t="s">
        <v>541</v>
      </c>
    </row>
    <row r="96" customFormat="false" ht="68.65" hidden="false" customHeight="false" outlineLevel="0" collapsed="false">
      <c r="A96" s="36" t="n">
        <v>46449</v>
      </c>
      <c r="B96" s="37" t="s">
        <v>39</v>
      </c>
      <c r="C96" s="38" t="n">
        <v>12</v>
      </c>
      <c r="D96" s="39" t="s">
        <v>542</v>
      </c>
      <c r="E96" s="40" t="s">
        <v>543</v>
      </c>
      <c r="F96" s="43" t="s">
        <v>292</v>
      </c>
      <c r="G96" s="37"/>
      <c r="H96" s="37"/>
      <c r="I96" s="37"/>
      <c r="J96" s="37"/>
      <c r="K96" s="37"/>
      <c r="L96" s="37"/>
      <c r="M96" s="37"/>
      <c r="N96" s="37"/>
      <c r="O96" s="37"/>
      <c r="P96" s="37"/>
      <c r="Q96" s="41" t="str">
        <f aca="false">HYPERLINK(Links!$M$96,"search")</f>
        <v>search</v>
      </c>
      <c r="R96" s="40" t="s">
        <v>544</v>
      </c>
      <c r="S96" s="42" t="n">
        <v>46450</v>
      </c>
      <c r="T96" s="37"/>
      <c r="U96" s="37"/>
      <c r="V96" s="37"/>
      <c r="W96" s="40" t="s">
        <v>545</v>
      </c>
      <c r="X96" s="40" t="s">
        <v>546</v>
      </c>
      <c r="Y96" s="37"/>
      <c r="Z96" s="37"/>
      <c r="AA96" s="37"/>
      <c r="AB96" s="40" t="s">
        <v>547</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548</v>
      </c>
      <c r="E98" s="33" t="s">
        <v>549</v>
      </c>
      <c r="F98" s="44" t="s">
        <v>292</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550</v>
      </c>
      <c r="E99" s="33" t="s">
        <v>551</v>
      </c>
      <c r="F99" s="44" t="s">
        <v>292</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339</v>
      </c>
      <c r="E100" s="26" t="s">
        <v>340</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552</v>
      </c>
      <c r="E101" s="19" t="s">
        <v>553</v>
      </c>
      <c r="F101" s="45" t="s">
        <v>292</v>
      </c>
      <c r="G101" s="16"/>
      <c r="H101" s="16"/>
      <c r="I101" s="16"/>
      <c r="J101" s="16"/>
      <c r="K101" s="16"/>
      <c r="L101" s="16"/>
      <c r="M101" s="16"/>
      <c r="N101" s="16"/>
      <c r="O101" s="16"/>
      <c r="P101" s="16"/>
      <c r="Q101" s="20" t="str">
        <f aca="false">HYPERLINK(Links!$M$101,"search")</f>
        <v>search</v>
      </c>
      <c r="R101" s="19" t="s">
        <v>554</v>
      </c>
      <c r="S101" s="21" t="n">
        <v>46458</v>
      </c>
      <c r="T101" s="16"/>
      <c r="U101" s="16"/>
      <c r="V101" s="16"/>
      <c r="W101" s="19" t="s">
        <v>555</v>
      </c>
      <c r="X101" s="19" t="s">
        <v>556</v>
      </c>
      <c r="Y101" s="16"/>
      <c r="Z101" s="16"/>
      <c r="AA101" s="16"/>
      <c r="AB101" s="19" t="s">
        <v>557</v>
      </c>
    </row>
    <row r="102" customFormat="false" ht="23.85" hidden="false" customHeight="false" outlineLevel="0" collapsed="false">
      <c r="A102" s="15" t="n">
        <v>46458</v>
      </c>
      <c r="B102" s="16" t="s">
        <v>63</v>
      </c>
      <c r="C102" s="17" t="n">
        <v>13</v>
      </c>
      <c r="D102" s="18" t="s">
        <v>558</v>
      </c>
      <c r="E102" s="19" t="s">
        <v>559</v>
      </c>
      <c r="F102" s="45" t="s">
        <v>292</v>
      </c>
      <c r="G102" s="16"/>
      <c r="H102" s="16"/>
      <c r="I102" s="16"/>
      <c r="J102" s="16"/>
      <c r="K102" s="16"/>
      <c r="L102" s="16"/>
      <c r="M102" s="16"/>
      <c r="N102" s="16"/>
      <c r="O102" s="16"/>
      <c r="P102" s="16"/>
      <c r="Q102" s="20" t="str">
        <f aca="false">HYPERLINK(Links!$M$102,"search")</f>
        <v>search</v>
      </c>
      <c r="R102" s="19" t="s">
        <v>560</v>
      </c>
      <c r="S102" s="21" t="n">
        <v>46461</v>
      </c>
      <c r="T102" s="16"/>
      <c r="U102" s="16"/>
      <c r="V102" s="16"/>
      <c r="W102" s="19" t="s">
        <v>561</v>
      </c>
      <c r="X102" s="19" t="s">
        <v>562</v>
      </c>
      <c r="Y102" s="16"/>
      <c r="Z102" s="16"/>
      <c r="AA102" s="16"/>
      <c r="AB102" s="19" t="s">
        <v>563</v>
      </c>
    </row>
    <row r="103" customFormat="false" ht="57.45" hidden="false" customHeight="false" outlineLevel="0" collapsed="false">
      <c r="A103" s="15" t="n">
        <v>46461</v>
      </c>
      <c r="B103" s="16" t="s">
        <v>74</v>
      </c>
      <c r="C103" s="17" t="n">
        <v>13</v>
      </c>
      <c r="D103" s="18" t="s">
        <v>564</v>
      </c>
      <c r="E103" s="19" t="s">
        <v>565</v>
      </c>
      <c r="F103" s="45" t="s">
        <v>292</v>
      </c>
      <c r="G103" s="16"/>
      <c r="H103" s="16"/>
      <c r="I103" s="16"/>
      <c r="J103" s="16"/>
      <c r="K103" s="16"/>
      <c r="L103" s="16"/>
      <c r="M103" s="16"/>
      <c r="N103" s="16"/>
      <c r="O103" s="16"/>
      <c r="P103" s="16"/>
      <c r="Q103" s="20" t="str">
        <f aca="false">HYPERLINK(Links!$M$103,"search")</f>
        <v>search</v>
      </c>
      <c r="R103" s="19" t="s">
        <v>566</v>
      </c>
      <c r="S103" s="21" t="n">
        <v>46462</v>
      </c>
      <c r="T103" s="16"/>
      <c r="U103" s="16"/>
      <c r="V103" s="16"/>
      <c r="W103" s="19" t="s">
        <v>567</v>
      </c>
      <c r="X103" s="19" t="s">
        <v>568</v>
      </c>
      <c r="Y103" s="16"/>
      <c r="Z103" s="16"/>
      <c r="AA103" s="16"/>
      <c r="AB103" s="19" t="s">
        <v>569</v>
      </c>
    </row>
    <row r="104" customFormat="false" ht="57.45" hidden="false" customHeight="false" outlineLevel="0" collapsed="false">
      <c r="A104" s="15" t="n">
        <v>46462</v>
      </c>
      <c r="B104" s="16" t="s">
        <v>87</v>
      </c>
      <c r="C104" s="17" t="n">
        <v>13</v>
      </c>
      <c r="D104" s="18" t="s">
        <v>570</v>
      </c>
      <c r="E104" s="19" t="s">
        <v>571</v>
      </c>
      <c r="F104" s="45" t="s">
        <v>292</v>
      </c>
      <c r="G104" s="16"/>
      <c r="H104" s="16"/>
      <c r="I104" s="16"/>
      <c r="J104" s="16"/>
      <c r="K104" s="16"/>
      <c r="L104" s="16"/>
      <c r="M104" s="16"/>
      <c r="N104" s="16"/>
      <c r="O104" s="16"/>
      <c r="P104" s="16"/>
      <c r="Q104" s="20" t="str">
        <f aca="false">HYPERLINK(Links!$M$104,"search")</f>
        <v>search</v>
      </c>
      <c r="R104" s="19" t="s">
        <v>572</v>
      </c>
      <c r="S104" s="21" t="n">
        <v>46463</v>
      </c>
      <c r="T104" s="16"/>
      <c r="U104" s="16"/>
      <c r="V104" s="16"/>
      <c r="W104" s="19" t="s">
        <v>573</v>
      </c>
      <c r="X104" s="19" t="s">
        <v>574</v>
      </c>
      <c r="Y104" s="16"/>
      <c r="Z104" s="16"/>
      <c r="AA104" s="16"/>
      <c r="AB104" s="19" t="s">
        <v>575</v>
      </c>
    </row>
    <row r="105" customFormat="false" ht="68.65" hidden="false" customHeight="false" outlineLevel="0" collapsed="false">
      <c r="A105" s="15" t="n">
        <v>46463</v>
      </c>
      <c r="B105" s="16" t="s">
        <v>39</v>
      </c>
      <c r="C105" s="17" t="n">
        <v>13</v>
      </c>
      <c r="D105" s="18" t="s">
        <v>576</v>
      </c>
      <c r="E105" s="19" t="s">
        <v>577</v>
      </c>
      <c r="F105" s="45" t="s">
        <v>292</v>
      </c>
      <c r="G105" s="16"/>
      <c r="H105" s="16"/>
      <c r="I105" s="16"/>
      <c r="J105" s="16"/>
      <c r="K105" s="16"/>
      <c r="L105" s="16"/>
      <c r="M105" s="16"/>
      <c r="N105" s="16"/>
      <c r="O105" s="16"/>
      <c r="P105" s="16"/>
      <c r="Q105" s="20" t="str">
        <f aca="false">HYPERLINK(Links!$M$105,"search")</f>
        <v>search</v>
      </c>
      <c r="R105" s="19" t="s">
        <v>578</v>
      </c>
      <c r="S105" s="21" t="n">
        <v>46464</v>
      </c>
      <c r="T105" s="16"/>
      <c r="U105" s="16"/>
      <c r="V105" s="16"/>
      <c r="W105" s="19" t="s">
        <v>579</v>
      </c>
      <c r="X105" s="19" t="s">
        <v>580</v>
      </c>
      <c r="Y105" s="16"/>
      <c r="Z105" s="16"/>
      <c r="AA105" s="16"/>
      <c r="AB105" s="19" t="s">
        <v>581</v>
      </c>
    </row>
    <row r="106" customFormat="false" ht="23.85" hidden="false" customHeight="false" outlineLevel="0" collapsed="false">
      <c r="A106" s="15" t="n">
        <v>46464</v>
      </c>
      <c r="B106" s="16" t="s">
        <v>52</v>
      </c>
      <c r="C106" s="17" t="n">
        <v>13</v>
      </c>
      <c r="D106" s="18" t="s">
        <v>582</v>
      </c>
      <c r="E106" s="19" t="s">
        <v>583</v>
      </c>
      <c r="F106" s="45" t="s">
        <v>292</v>
      </c>
      <c r="G106" s="16"/>
      <c r="H106" s="16"/>
      <c r="I106" s="16"/>
      <c r="J106" s="16"/>
      <c r="K106" s="16"/>
      <c r="L106" s="16"/>
      <c r="M106" s="16"/>
      <c r="N106" s="16"/>
      <c r="O106" s="16"/>
      <c r="P106" s="16"/>
      <c r="Q106" s="20" t="str">
        <f aca="false">HYPERLINK(Links!$M$106,"search")</f>
        <v>search</v>
      </c>
      <c r="R106" s="19" t="s">
        <v>584</v>
      </c>
      <c r="S106" s="21" t="n">
        <v>46465</v>
      </c>
      <c r="T106" s="16"/>
      <c r="U106" s="16"/>
      <c r="V106" s="16"/>
      <c r="W106" s="19" t="s">
        <v>585</v>
      </c>
      <c r="X106" s="19" t="s">
        <v>586</v>
      </c>
      <c r="Y106" s="16"/>
      <c r="Z106" s="16"/>
      <c r="AA106" s="16"/>
      <c r="AB106" s="19" t="s">
        <v>587</v>
      </c>
    </row>
    <row r="107" customFormat="false" ht="35.05" hidden="false" customHeight="false" outlineLevel="0" collapsed="false">
      <c r="A107" s="15" t="n">
        <v>46465</v>
      </c>
      <c r="B107" s="16" t="s">
        <v>63</v>
      </c>
      <c r="C107" s="17" t="n">
        <v>13</v>
      </c>
      <c r="D107" s="18" t="s">
        <v>588</v>
      </c>
      <c r="E107" s="19" t="s">
        <v>589</v>
      </c>
      <c r="F107" s="45" t="s">
        <v>292</v>
      </c>
      <c r="G107" s="16"/>
      <c r="H107" s="16"/>
      <c r="I107" s="16"/>
      <c r="J107" s="16"/>
      <c r="K107" s="16"/>
      <c r="L107" s="16"/>
      <c r="M107" s="16"/>
      <c r="N107" s="16"/>
      <c r="O107" s="16"/>
      <c r="P107" s="16"/>
      <c r="Q107" s="20" t="str">
        <f aca="false">HYPERLINK(Links!$M$107,"search")</f>
        <v>search</v>
      </c>
      <c r="R107" s="19" t="s">
        <v>590</v>
      </c>
      <c r="S107" s="21" t="n">
        <v>46475</v>
      </c>
      <c r="T107" s="16"/>
      <c r="U107" s="16"/>
      <c r="V107" s="16"/>
      <c r="W107" s="19" t="s">
        <v>591</v>
      </c>
      <c r="X107" s="19" t="s">
        <v>592</v>
      </c>
      <c r="Y107" s="16"/>
      <c r="Z107" s="16"/>
      <c r="AA107" s="16"/>
      <c r="AB107" s="19" t="s">
        <v>593</v>
      </c>
    </row>
    <row r="108" customFormat="false" ht="15" hidden="false" customHeight="false" outlineLevel="0" collapsed="false">
      <c r="A108" s="29" t="n">
        <v>46475</v>
      </c>
      <c r="B108" s="30" t="s">
        <v>74</v>
      </c>
      <c r="C108" s="31" t="n">
        <v>13</v>
      </c>
      <c r="D108" s="32" t="s">
        <v>594</v>
      </c>
      <c r="E108" s="33" t="s">
        <v>595</v>
      </c>
      <c r="F108" s="44" t="s">
        <v>292</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596</v>
      </c>
      <c r="E109" s="33" t="s">
        <v>597</v>
      </c>
      <c r="F109" s="44" t="s">
        <v>292</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598</v>
      </c>
      <c r="E110" s="40" t="s">
        <v>599</v>
      </c>
      <c r="F110" s="43" t="s">
        <v>292</v>
      </c>
      <c r="G110" s="37"/>
      <c r="H110" s="37"/>
      <c r="I110" s="37"/>
      <c r="J110" s="37"/>
      <c r="K110" s="37"/>
      <c r="L110" s="37"/>
      <c r="M110" s="37"/>
      <c r="N110" s="37"/>
      <c r="O110" s="37"/>
      <c r="P110" s="37"/>
      <c r="Q110" s="41" t="str">
        <f aca="false">HYPERLINK(Links!$M$110,"search")</f>
        <v>search</v>
      </c>
      <c r="R110" s="40" t="s">
        <v>600</v>
      </c>
      <c r="S110" s="42" t="n">
        <v>46478</v>
      </c>
      <c r="T110" s="37"/>
      <c r="U110" s="37"/>
      <c r="V110" s="37"/>
      <c r="W110" s="40" t="s">
        <v>116</v>
      </c>
      <c r="X110" s="40" t="s">
        <v>117</v>
      </c>
      <c r="Y110" s="37"/>
      <c r="Z110" s="37"/>
      <c r="AA110" s="37"/>
      <c r="AB110" s="40" t="s">
        <v>601</v>
      </c>
    </row>
    <row r="111" customFormat="false" ht="35.05" hidden="false" customHeight="false" outlineLevel="0" collapsed="false">
      <c r="A111" s="36" t="n">
        <v>46478</v>
      </c>
      <c r="B111" s="37" t="s">
        <v>52</v>
      </c>
      <c r="C111" s="38" t="n">
        <v>14</v>
      </c>
      <c r="D111" s="39" t="s">
        <v>602</v>
      </c>
      <c r="E111" s="40" t="s">
        <v>603</v>
      </c>
      <c r="F111" s="43" t="s">
        <v>292</v>
      </c>
      <c r="G111" s="37"/>
      <c r="H111" s="37"/>
      <c r="I111" s="37"/>
      <c r="J111" s="37"/>
      <c r="K111" s="37"/>
      <c r="L111" s="37"/>
      <c r="M111" s="37"/>
      <c r="N111" s="37"/>
      <c r="O111" s="37"/>
      <c r="P111" s="37"/>
      <c r="Q111" s="41" t="str">
        <f aca="false">HYPERLINK(Links!$M$111,"search")</f>
        <v>search</v>
      </c>
      <c r="R111" s="40" t="s">
        <v>604</v>
      </c>
      <c r="S111" s="42" t="n">
        <v>46479</v>
      </c>
      <c r="T111" s="37"/>
      <c r="U111" s="37"/>
      <c r="V111" s="37"/>
      <c r="W111" s="40" t="s">
        <v>605</v>
      </c>
      <c r="X111" s="40" t="s">
        <v>606</v>
      </c>
      <c r="Y111" s="37"/>
      <c r="Z111" s="37"/>
      <c r="AA111" s="37"/>
      <c r="AB111" s="40" t="s">
        <v>607</v>
      </c>
    </row>
    <row r="112" customFormat="false" ht="35.05" hidden="false" customHeight="false" outlineLevel="0" collapsed="false">
      <c r="A112" s="36" t="n">
        <v>46479</v>
      </c>
      <c r="B112" s="37" t="s">
        <v>63</v>
      </c>
      <c r="C112" s="38" t="n">
        <v>14</v>
      </c>
      <c r="D112" s="39" t="s">
        <v>608</v>
      </c>
      <c r="E112" s="40" t="s">
        <v>609</v>
      </c>
      <c r="F112" s="43" t="s">
        <v>292</v>
      </c>
      <c r="G112" s="37"/>
      <c r="H112" s="37"/>
      <c r="I112" s="37"/>
      <c r="J112" s="37"/>
      <c r="K112" s="37"/>
      <c r="L112" s="37"/>
      <c r="M112" s="37"/>
      <c r="N112" s="37"/>
      <c r="O112" s="37"/>
      <c r="P112" s="37"/>
      <c r="Q112" s="41" t="str">
        <f aca="false">HYPERLINK(Links!$M$112,"search")</f>
        <v>search</v>
      </c>
      <c r="R112" s="40" t="s">
        <v>610</v>
      </c>
      <c r="S112" s="42" t="n">
        <v>46482</v>
      </c>
      <c r="T112" s="37"/>
      <c r="U112" s="37"/>
      <c r="V112" s="37"/>
      <c r="W112" s="40" t="s">
        <v>611</v>
      </c>
      <c r="X112" s="40" t="s">
        <v>612</v>
      </c>
      <c r="Y112" s="37"/>
      <c r="Z112" s="37"/>
      <c r="AA112" s="37"/>
      <c r="AB112" s="40" t="s">
        <v>613</v>
      </c>
    </row>
    <row r="113" customFormat="false" ht="15" hidden="false" customHeight="false" outlineLevel="0" collapsed="false">
      <c r="A113" s="29" t="n">
        <v>46482</v>
      </c>
      <c r="B113" s="30" t="s">
        <v>74</v>
      </c>
      <c r="C113" s="31" t="n">
        <v>14</v>
      </c>
      <c r="D113" s="32" t="s">
        <v>614</v>
      </c>
      <c r="E113" s="33" t="s">
        <v>615</v>
      </c>
      <c r="F113" s="44" t="s">
        <v>292</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616</v>
      </c>
      <c r="E114" s="33" t="s">
        <v>617</v>
      </c>
      <c r="F114" s="44" t="s">
        <v>292</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618</v>
      </c>
      <c r="E115" s="19" t="s">
        <v>619</v>
      </c>
      <c r="F115" s="45" t="s">
        <v>292</v>
      </c>
      <c r="G115" s="16"/>
      <c r="H115" s="16"/>
      <c r="I115" s="16"/>
      <c r="J115" s="16"/>
      <c r="K115" s="16"/>
      <c r="L115" s="16"/>
      <c r="M115" s="16"/>
      <c r="N115" s="16"/>
      <c r="O115" s="16"/>
      <c r="P115" s="16"/>
      <c r="Q115" s="20" t="str">
        <f aca="false">HYPERLINK(Links!$M$115,"search")</f>
        <v>search</v>
      </c>
      <c r="R115" s="19" t="s">
        <v>620</v>
      </c>
      <c r="S115" s="21" t="n">
        <v>46485</v>
      </c>
      <c r="T115" s="16"/>
      <c r="U115" s="16"/>
      <c r="V115" s="16"/>
      <c r="W115" s="19" t="s">
        <v>621</v>
      </c>
      <c r="X115" s="19" t="s">
        <v>622</v>
      </c>
      <c r="Y115" s="16"/>
      <c r="Z115" s="16"/>
      <c r="AA115" s="16"/>
      <c r="AB115" s="19" t="s">
        <v>623</v>
      </c>
    </row>
    <row r="116" customFormat="false" ht="46.25" hidden="false" customHeight="false" outlineLevel="0" collapsed="false">
      <c r="A116" s="15" t="n">
        <v>46485</v>
      </c>
      <c r="B116" s="16" t="s">
        <v>52</v>
      </c>
      <c r="C116" s="17" t="n">
        <v>15</v>
      </c>
      <c r="D116" s="18" t="s">
        <v>624</v>
      </c>
      <c r="E116" s="19" t="s">
        <v>625</v>
      </c>
      <c r="F116" s="45" t="s">
        <v>292</v>
      </c>
      <c r="G116" s="16"/>
      <c r="H116" s="16"/>
      <c r="I116" s="16"/>
      <c r="J116" s="16"/>
      <c r="K116" s="16"/>
      <c r="L116" s="16"/>
      <c r="M116" s="16"/>
      <c r="N116" s="16"/>
      <c r="O116" s="16"/>
      <c r="P116" s="16"/>
      <c r="Q116" s="20" t="str">
        <f aca="false">HYPERLINK(Links!$M$116,"search")</f>
        <v>search</v>
      </c>
      <c r="R116" s="19" t="s">
        <v>626</v>
      </c>
      <c r="S116" s="21" t="n">
        <v>46486</v>
      </c>
      <c r="T116" s="16"/>
      <c r="U116" s="16"/>
      <c r="V116" s="16"/>
      <c r="W116" s="19" t="s">
        <v>621</v>
      </c>
      <c r="X116" s="19" t="s">
        <v>622</v>
      </c>
      <c r="Y116" s="16"/>
      <c r="Z116" s="16"/>
      <c r="AA116" s="16"/>
      <c r="AB116" s="19" t="s">
        <v>627</v>
      </c>
    </row>
    <row r="117" customFormat="false" ht="35.05" hidden="false" customHeight="false" outlineLevel="0" collapsed="false">
      <c r="A117" s="15" t="n">
        <v>46486</v>
      </c>
      <c r="B117" s="16" t="s">
        <v>63</v>
      </c>
      <c r="C117" s="17" t="n">
        <v>15</v>
      </c>
      <c r="D117" s="18" t="s">
        <v>628</v>
      </c>
      <c r="E117" s="19" t="s">
        <v>629</v>
      </c>
      <c r="F117" s="45" t="s">
        <v>292</v>
      </c>
      <c r="G117" s="16"/>
      <c r="H117" s="16"/>
      <c r="I117" s="16"/>
      <c r="J117" s="16"/>
      <c r="K117" s="16"/>
      <c r="L117" s="16"/>
      <c r="M117" s="16"/>
      <c r="N117" s="16"/>
      <c r="O117" s="16"/>
      <c r="P117" s="16"/>
      <c r="Q117" s="20" t="str">
        <f aca="false">HYPERLINK(Links!$M$117,"search")</f>
        <v>search</v>
      </c>
      <c r="R117" s="19" t="s">
        <v>630</v>
      </c>
      <c r="S117" s="21" t="n">
        <v>46489</v>
      </c>
      <c r="T117" s="16"/>
      <c r="U117" s="16"/>
      <c r="V117" s="16"/>
      <c r="W117" s="19" t="s">
        <v>631</v>
      </c>
      <c r="X117" s="19" t="s">
        <v>632</v>
      </c>
      <c r="Y117" s="16"/>
      <c r="Z117" s="16"/>
      <c r="AA117" s="16"/>
      <c r="AB117" s="19" t="s">
        <v>633</v>
      </c>
    </row>
    <row r="118" customFormat="false" ht="23.85" hidden="false" customHeight="false" outlineLevel="0" collapsed="false">
      <c r="A118" s="15" t="n">
        <v>46489</v>
      </c>
      <c r="B118" s="16" t="s">
        <v>74</v>
      </c>
      <c r="C118" s="17" t="n">
        <v>15</v>
      </c>
      <c r="D118" s="18" t="s">
        <v>634</v>
      </c>
      <c r="E118" s="19" t="s">
        <v>635</v>
      </c>
      <c r="F118" s="45" t="s">
        <v>292</v>
      </c>
      <c r="G118" s="16"/>
      <c r="H118" s="16"/>
      <c r="I118" s="16"/>
      <c r="J118" s="16"/>
      <c r="K118" s="16"/>
      <c r="L118" s="16"/>
      <c r="M118" s="16"/>
      <c r="N118" s="16"/>
      <c r="O118" s="16"/>
      <c r="P118" s="16"/>
      <c r="Q118" s="20" t="str">
        <f aca="false">HYPERLINK(Links!$M$118,"search")</f>
        <v>search</v>
      </c>
      <c r="R118" s="19" t="s">
        <v>636</v>
      </c>
      <c r="S118" s="21" t="n">
        <v>46490</v>
      </c>
      <c r="T118" s="16"/>
      <c r="U118" s="16"/>
      <c r="V118" s="16"/>
      <c r="W118" s="19" t="s">
        <v>631</v>
      </c>
      <c r="X118" s="19" t="s">
        <v>632</v>
      </c>
      <c r="Y118" s="16"/>
      <c r="Z118" s="16"/>
      <c r="AA118" s="16"/>
      <c r="AB118" s="19" t="s">
        <v>637</v>
      </c>
    </row>
    <row r="119" customFormat="false" ht="23.85" hidden="false" customHeight="false" outlineLevel="0" collapsed="false">
      <c r="A119" s="15" t="n">
        <v>46490</v>
      </c>
      <c r="B119" s="16" t="s">
        <v>87</v>
      </c>
      <c r="C119" s="17" t="n">
        <v>15</v>
      </c>
      <c r="D119" s="18" t="s">
        <v>638</v>
      </c>
      <c r="E119" s="19" t="s">
        <v>639</v>
      </c>
      <c r="F119" s="45" t="s">
        <v>292</v>
      </c>
      <c r="G119" s="16"/>
      <c r="H119" s="16"/>
      <c r="I119" s="16"/>
      <c r="J119" s="16"/>
      <c r="K119" s="16"/>
      <c r="L119" s="16"/>
      <c r="M119" s="16"/>
      <c r="N119" s="16"/>
      <c r="O119" s="16"/>
      <c r="P119" s="16"/>
      <c r="Q119" s="20" t="str">
        <f aca="false">HYPERLINK(Links!$M$119,"search")</f>
        <v>search</v>
      </c>
      <c r="R119" s="19" t="s">
        <v>640</v>
      </c>
      <c r="S119" s="21" t="n">
        <v>46491</v>
      </c>
      <c r="T119" s="16"/>
      <c r="U119" s="16"/>
      <c r="V119" s="16"/>
      <c r="W119" s="19" t="s">
        <v>631</v>
      </c>
      <c r="X119" s="19" t="s">
        <v>632</v>
      </c>
      <c r="Y119" s="16"/>
      <c r="Z119" s="16"/>
      <c r="AA119" s="16"/>
      <c r="AB119" s="19" t="s">
        <v>641</v>
      </c>
    </row>
    <row r="120" customFormat="false" ht="57.45" hidden="false" customHeight="false" outlineLevel="0" collapsed="false">
      <c r="A120" s="15" t="n">
        <v>46491</v>
      </c>
      <c r="B120" s="16" t="s">
        <v>39</v>
      </c>
      <c r="C120" s="17" t="n">
        <v>15</v>
      </c>
      <c r="D120" s="18" t="s">
        <v>642</v>
      </c>
      <c r="E120" s="19" t="s">
        <v>643</v>
      </c>
      <c r="F120" s="45" t="s">
        <v>292</v>
      </c>
      <c r="G120" s="16"/>
      <c r="H120" s="16"/>
      <c r="I120" s="16"/>
      <c r="J120" s="16"/>
      <c r="K120" s="16"/>
      <c r="L120" s="16"/>
      <c r="M120" s="16"/>
      <c r="N120" s="16"/>
      <c r="O120" s="16"/>
      <c r="P120" s="16"/>
      <c r="Q120" s="20" t="str">
        <f aca="false">HYPERLINK(Links!$M$120,"search")</f>
        <v>search</v>
      </c>
      <c r="R120" s="19" t="s">
        <v>644</v>
      </c>
      <c r="S120" s="21" t="n">
        <v>46492</v>
      </c>
      <c r="T120" s="16"/>
      <c r="U120" s="16"/>
      <c r="V120" s="16"/>
      <c r="W120" s="19" t="s">
        <v>645</v>
      </c>
      <c r="X120" s="19" t="s">
        <v>646</v>
      </c>
      <c r="Y120" s="16"/>
      <c r="Z120" s="16"/>
      <c r="AA120" s="16"/>
      <c r="AB120" s="19" t="s">
        <v>647</v>
      </c>
    </row>
    <row r="121" customFormat="false" ht="23.85" hidden="false" customHeight="false" outlineLevel="0" collapsed="false">
      <c r="A121" s="15" t="n">
        <v>46492</v>
      </c>
      <c r="B121" s="16" t="s">
        <v>52</v>
      </c>
      <c r="C121" s="17" t="n">
        <v>15</v>
      </c>
      <c r="D121" s="18" t="s">
        <v>648</v>
      </c>
      <c r="E121" s="19" t="s">
        <v>649</v>
      </c>
      <c r="F121" s="45" t="s">
        <v>292</v>
      </c>
      <c r="G121" s="16"/>
      <c r="H121" s="16"/>
      <c r="I121" s="16"/>
      <c r="J121" s="16"/>
      <c r="K121" s="16"/>
      <c r="L121" s="16"/>
      <c r="M121" s="16"/>
      <c r="N121" s="16"/>
      <c r="O121" s="16"/>
      <c r="P121" s="16"/>
      <c r="Q121" s="20" t="str">
        <f aca="false">HYPERLINK(Links!$M$121,"search")</f>
        <v>search</v>
      </c>
      <c r="R121" s="19" t="s">
        <v>650</v>
      </c>
      <c r="S121" s="21" t="n">
        <v>46496</v>
      </c>
      <c r="T121" s="16"/>
      <c r="U121" s="16"/>
      <c r="V121" s="16"/>
      <c r="W121" s="19" t="s">
        <v>651</v>
      </c>
      <c r="X121" s="19" t="s">
        <v>652</v>
      </c>
      <c r="Y121" s="16"/>
      <c r="Z121" s="16"/>
      <c r="AA121" s="16"/>
      <c r="AB121" s="19" t="s">
        <v>653</v>
      </c>
    </row>
    <row r="122" customFormat="false" ht="46.25" hidden="false" customHeight="false" outlineLevel="0" collapsed="false">
      <c r="A122" s="15" t="n">
        <v>46496</v>
      </c>
      <c r="B122" s="16" t="s">
        <v>74</v>
      </c>
      <c r="C122" s="17" t="n">
        <v>15</v>
      </c>
      <c r="D122" s="18" t="s">
        <v>654</v>
      </c>
      <c r="E122" s="19" t="s">
        <v>655</v>
      </c>
      <c r="F122" s="45" t="s">
        <v>292</v>
      </c>
      <c r="G122" s="16"/>
      <c r="H122" s="16"/>
      <c r="I122" s="16"/>
      <c r="J122" s="16"/>
      <c r="K122" s="16"/>
      <c r="L122" s="16"/>
      <c r="M122" s="16"/>
      <c r="N122" s="16"/>
      <c r="O122" s="16"/>
      <c r="P122" s="16"/>
      <c r="Q122" s="20" t="str">
        <f aca="false">HYPERLINK(Links!$M$122,"search")</f>
        <v>search</v>
      </c>
      <c r="R122" s="19" t="s">
        <v>656</v>
      </c>
      <c r="S122" s="21" t="n">
        <v>46497</v>
      </c>
      <c r="T122" s="16"/>
      <c r="U122" s="16"/>
      <c r="V122" s="16"/>
      <c r="W122" s="19" t="s">
        <v>631</v>
      </c>
      <c r="X122" s="19" t="s">
        <v>632</v>
      </c>
      <c r="Y122" s="16"/>
      <c r="Z122" s="16"/>
      <c r="AA122" s="16"/>
      <c r="AB122" s="19" t="s">
        <v>657</v>
      </c>
    </row>
    <row r="123" customFormat="false" ht="91" hidden="false" customHeight="false" outlineLevel="0" collapsed="false">
      <c r="A123" s="36" t="n">
        <v>46497</v>
      </c>
      <c r="B123" s="37" t="s">
        <v>87</v>
      </c>
      <c r="C123" s="38" t="n">
        <v>16</v>
      </c>
      <c r="D123" s="39" t="s">
        <v>658</v>
      </c>
      <c r="E123" s="40" t="s">
        <v>659</v>
      </c>
      <c r="F123" s="43" t="s">
        <v>292</v>
      </c>
      <c r="G123" s="37"/>
      <c r="H123" s="37"/>
      <c r="I123" s="37"/>
      <c r="J123" s="37"/>
      <c r="K123" s="37"/>
      <c r="L123" s="37"/>
      <c r="M123" s="37"/>
      <c r="N123" s="37"/>
      <c r="O123" s="37"/>
      <c r="P123" s="37"/>
      <c r="Q123" s="41" t="str">
        <f aca="false">HYPERLINK(Links!$M$123,"search")</f>
        <v>search</v>
      </c>
      <c r="R123" s="40" t="s">
        <v>660</v>
      </c>
      <c r="S123" s="42" t="n">
        <v>46498</v>
      </c>
      <c r="T123" s="37"/>
      <c r="U123" s="37"/>
      <c r="V123" s="37"/>
      <c r="W123" s="40" t="s">
        <v>661</v>
      </c>
      <c r="X123" s="40" t="s">
        <v>662</v>
      </c>
      <c r="Y123" s="37"/>
      <c r="Z123" s="37"/>
      <c r="AA123" s="37"/>
      <c r="AB123" s="40" t="s">
        <v>663</v>
      </c>
    </row>
    <row r="124" customFormat="false" ht="23.85" hidden="false" customHeight="false" outlineLevel="0" collapsed="false">
      <c r="A124" s="36" t="n">
        <v>46498</v>
      </c>
      <c r="B124" s="37" t="s">
        <v>39</v>
      </c>
      <c r="C124" s="38" t="n">
        <v>16</v>
      </c>
      <c r="D124" s="39" t="s">
        <v>664</v>
      </c>
      <c r="E124" s="40" t="s">
        <v>665</v>
      </c>
      <c r="F124" s="43" t="s">
        <v>292</v>
      </c>
      <c r="G124" s="37"/>
      <c r="H124" s="37"/>
      <c r="I124" s="37"/>
      <c r="J124" s="37"/>
      <c r="K124" s="37"/>
      <c r="L124" s="37"/>
      <c r="M124" s="37"/>
      <c r="N124" s="37"/>
      <c r="O124" s="37"/>
      <c r="P124" s="37"/>
      <c r="Q124" s="41" t="str">
        <f aca="false">HYPERLINK(Links!$M$124,"search")</f>
        <v>search</v>
      </c>
      <c r="R124" s="40" t="s">
        <v>666</v>
      </c>
      <c r="S124" s="42" t="n">
        <v>46499</v>
      </c>
      <c r="T124" s="37"/>
      <c r="U124" s="37"/>
      <c r="V124" s="37"/>
      <c r="W124" s="40" t="s">
        <v>667</v>
      </c>
      <c r="X124" s="40" t="s">
        <v>668</v>
      </c>
      <c r="Y124" s="37"/>
      <c r="Z124" s="37"/>
      <c r="AA124" s="37"/>
      <c r="AB124" s="40" t="s">
        <v>669</v>
      </c>
    </row>
    <row r="125" customFormat="false" ht="15" hidden="false" customHeight="false" outlineLevel="0" collapsed="false">
      <c r="A125" s="29" t="n">
        <v>46499</v>
      </c>
      <c r="B125" s="30" t="s">
        <v>52</v>
      </c>
      <c r="C125" s="31" t="n">
        <v>16</v>
      </c>
      <c r="D125" s="32" t="s">
        <v>670</v>
      </c>
      <c r="E125" s="33" t="s">
        <v>671</v>
      </c>
      <c r="F125" s="44" t="s">
        <v>292</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672</v>
      </c>
      <c r="E126" s="33" t="s">
        <v>673</v>
      </c>
      <c r="F126" s="44" t="s">
        <v>292</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674</v>
      </c>
      <c r="E127" s="19" t="s">
        <v>675</v>
      </c>
      <c r="F127" s="45" t="s">
        <v>292</v>
      </c>
      <c r="G127" s="16"/>
      <c r="H127" s="16"/>
      <c r="I127" s="16"/>
      <c r="J127" s="16"/>
      <c r="K127" s="16"/>
      <c r="L127" s="16"/>
      <c r="M127" s="16"/>
      <c r="N127" s="16"/>
      <c r="O127" s="16"/>
      <c r="P127" s="16"/>
      <c r="Q127" s="20" t="str">
        <f aca="false">HYPERLINK(Links!$M$127,"search")</f>
        <v>search</v>
      </c>
      <c r="R127" s="19" t="s">
        <v>676</v>
      </c>
      <c r="S127" s="21" t="n">
        <v>46504</v>
      </c>
      <c r="T127" s="16"/>
      <c r="U127" s="16"/>
      <c r="V127" s="16"/>
      <c r="W127" s="19" t="s">
        <v>677</v>
      </c>
      <c r="X127" s="19" t="s">
        <v>678</v>
      </c>
      <c r="Y127" s="16"/>
      <c r="Z127" s="16"/>
      <c r="AA127" s="16"/>
      <c r="AB127" s="19" t="s">
        <v>679</v>
      </c>
    </row>
    <row r="128" customFormat="false" ht="35.05" hidden="false" customHeight="false" outlineLevel="0" collapsed="false">
      <c r="A128" s="15" t="n">
        <v>46504</v>
      </c>
      <c r="B128" s="16" t="s">
        <v>87</v>
      </c>
      <c r="C128" s="17" t="n">
        <v>17</v>
      </c>
      <c r="D128" s="18" t="s">
        <v>680</v>
      </c>
      <c r="E128" s="19" t="s">
        <v>681</v>
      </c>
      <c r="F128" s="45" t="s">
        <v>292</v>
      </c>
      <c r="G128" s="16"/>
      <c r="H128" s="16"/>
      <c r="I128" s="16"/>
      <c r="J128" s="16"/>
      <c r="K128" s="16"/>
      <c r="L128" s="16"/>
      <c r="M128" s="16"/>
      <c r="N128" s="16"/>
      <c r="O128" s="16"/>
      <c r="P128" s="16"/>
      <c r="Q128" s="20" t="str">
        <f aca="false">HYPERLINK(Links!$M$128,"search")</f>
        <v>search</v>
      </c>
      <c r="R128" s="19" t="s">
        <v>682</v>
      </c>
      <c r="S128" s="21" t="n">
        <v>46505</v>
      </c>
      <c r="T128" s="16"/>
      <c r="U128" s="16"/>
      <c r="V128" s="16"/>
      <c r="W128" s="19" t="s">
        <v>683</v>
      </c>
      <c r="X128" s="19" t="s">
        <v>684</v>
      </c>
      <c r="Y128" s="16"/>
      <c r="Z128" s="16"/>
      <c r="AA128" s="16"/>
      <c r="AB128" s="19" t="s">
        <v>685</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686</v>
      </c>
      <c r="E130" s="33" t="s">
        <v>687</v>
      </c>
      <c r="F130" s="44" t="s">
        <v>292</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688</v>
      </c>
      <c r="E131" s="33" t="s">
        <v>689</v>
      </c>
      <c r="F131" s="44" t="s">
        <v>292</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690</v>
      </c>
      <c r="E132" s="26" t="s">
        <v>691</v>
      </c>
      <c r="F132" s="23"/>
      <c r="G132" s="23"/>
      <c r="H132" s="23"/>
      <c r="I132" s="23"/>
      <c r="J132" s="23"/>
      <c r="K132" s="23"/>
      <c r="L132" s="23"/>
      <c r="M132" s="23"/>
      <c r="N132" s="23"/>
      <c r="O132" s="23"/>
      <c r="P132" s="23"/>
      <c r="Q132" s="23"/>
      <c r="R132" s="26"/>
      <c r="S132" s="28"/>
      <c r="T132" s="23"/>
      <c r="U132" s="23"/>
      <c r="V132" s="23"/>
      <c r="W132" s="26" t="s">
        <v>692</v>
      </c>
      <c r="X132" s="26" t="s">
        <v>693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694</v>
      </c>
    </row>
    <row r="2" customFormat="false" ht="42" hidden="false" customHeight="true" outlineLevel="0" collapsed="false">
      <c r="A2" s="11" t="s">
        <v>695</v>
      </c>
      <c r="B2" s="11"/>
      <c r="C2" s="11"/>
      <c r="D2" s="11"/>
      <c r="E2" s="11"/>
      <c r="F2" s="11"/>
      <c r="G2" s="11"/>
      <c r="H2" s="11"/>
      <c r="I2" s="11"/>
      <c r="J2" s="11"/>
      <c r="K2" s="11"/>
    </row>
    <row r="4" customFormat="false" ht="30" hidden="false" customHeight="true" outlineLevel="0" collapsed="false">
      <c r="A4" s="9" t="s">
        <v>696</v>
      </c>
      <c r="B4" s="9" t="s">
        <v>697</v>
      </c>
      <c r="C4" s="9" t="s">
        <v>698</v>
      </c>
      <c r="D4" s="9" t="s">
        <v>699</v>
      </c>
      <c r="E4" s="9" t="s">
        <v>700</v>
      </c>
      <c r="F4" s="9" t="s">
        <v>701</v>
      </c>
      <c r="G4" s="9" t="s">
        <v>702</v>
      </c>
      <c r="H4" s="9" t="s">
        <v>703</v>
      </c>
      <c r="I4" s="9" t="s">
        <v>704</v>
      </c>
      <c r="J4" s="9" t="s">
        <v>705</v>
      </c>
      <c r="K4" s="9" t="s">
        <v>706</v>
      </c>
    </row>
    <row r="5" customFormat="false" ht="23.85" hidden="false" customHeight="false" outlineLevel="0" collapsed="false">
      <c r="A5" s="46" t="n">
        <v>1</v>
      </c>
      <c r="B5" s="47" t="n">
        <v>46288</v>
      </c>
      <c r="C5" s="48" t="s">
        <v>707</v>
      </c>
      <c r="D5" s="6" t="s">
        <v>708</v>
      </c>
      <c r="E5" s="7" t="s">
        <v>709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710</v>
      </c>
      <c r="D6" s="6" t="s">
        <v>711</v>
      </c>
      <c r="E6" s="7" t="s">
        <v>712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713</v>
      </c>
      <c r="D7" s="6" t="s">
        <v>714</v>
      </c>
      <c r="E7" s="7" t="s">
        <v>715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716</v>
      </c>
      <c r="D8" s="6" t="s">
        <v>717</v>
      </c>
      <c r="E8" s="7" t="s">
        <v>718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719</v>
      </c>
      <c r="D9" s="6" t="s">
        <v>720</v>
      </c>
      <c r="E9" s="7" t="s">
        <v>721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722</v>
      </c>
      <c r="D10" s="6" t="s">
        <v>723</v>
      </c>
      <c r="E10" s="7" t="s">
        <v>724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725</v>
      </c>
      <c r="D11" s="6" t="s">
        <v>726</v>
      </c>
      <c r="E11" s="7" t="s">
        <v>727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728</v>
      </c>
      <c r="D12" s="6" t="s">
        <v>729</v>
      </c>
      <c r="E12" s="7" t="s">
        <v>730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731</v>
      </c>
      <c r="D13" s="6" t="s">
        <v>732</v>
      </c>
      <c r="E13" s="7" t="s">
        <v>733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734</v>
      </c>
      <c r="D14" s="6" t="s">
        <v>735</v>
      </c>
      <c r="E14" s="7" t="s">
        <v>736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737</v>
      </c>
      <c r="D15" s="6" t="s">
        <v>738</v>
      </c>
      <c r="E15" s="7" t="s">
        <v>739</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740</v>
      </c>
      <c r="D16" s="6" t="s">
        <v>741</v>
      </c>
      <c r="E16" s="7" t="s">
        <v>742</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743</v>
      </c>
      <c r="D17" s="6" t="s">
        <v>744</v>
      </c>
      <c r="E17" s="7" t="s">
        <v>745</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746</v>
      </c>
      <c r="D18" s="6" t="s">
        <v>747</v>
      </c>
      <c r="E18" s="7" t="s">
        <v>748</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749</v>
      </c>
      <c r="D19" s="6" t="s">
        <v>750</v>
      </c>
      <c r="E19" s="7" t="s">
        <v>751</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752</v>
      </c>
      <c r="D20" s="6" t="s">
        <v>753</v>
      </c>
      <c r="E20" s="7" t="s">
        <v>754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755</v>
      </c>
      <c r="D21" s="6" t="s">
        <v>756</v>
      </c>
      <c r="E21" s="7" t="s">
        <v>757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758</v>
      </c>
      <c r="D22" s="6" t="s">
        <v>759</v>
      </c>
      <c r="E22" s="7" t="s">
        <v>760</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761</v>
      </c>
      <c r="D23" s="6" t="s">
        <v>762</v>
      </c>
      <c r="E23" s="7" t="s">
        <v>763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764</v>
      </c>
      <c r="D24" s="6" t="s">
        <v>765</v>
      </c>
      <c r="E24" s="7" t="s">
        <v>766</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767</v>
      </c>
      <c r="D25" s="6" t="s">
        <v>768</v>
      </c>
      <c r="E25" s="7" t="s">
        <v>769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770</v>
      </c>
      <c r="D26" s="6" t="s">
        <v>771</v>
      </c>
      <c r="E26" s="7" t="s">
        <v>772</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773</v>
      </c>
      <c r="D27" s="6" t="s">
        <v>774</v>
      </c>
      <c r="E27" s="7" t="s">
        <v>775</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776</v>
      </c>
      <c r="D28" s="6" t="s">
        <v>777</v>
      </c>
      <c r="E28" s="7" t="s">
        <v>778</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779</v>
      </c>
      <c r="D29" s="6" t="s">
        <v>780</v>
      </c>
      <c r="E29" s="7" t="s">
        <v>781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782</v>
      </c>
      <c r="D30" s="6" t="s">
        <v>783</v>
      </c>
      <c r="E30" s="7" t="s">
        <v>784</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785</v>
      </c>
      <c r="D31" s="6" t="s">
        <v>786</v>
      </c>
      <c r="E31" s="7" t="s">
        <v>787</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788</v>
      </c>
      <c r="D32" s="6" t="s">
        <v>789</v>
      </c>
      <c r="E32" s="7" t="s">
        <v>790</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791</v>
      </c>
      <c r="D33" s="6" t="s">
        <v>792</v>
      </c>
      <c r="E33" s="7" t="s">
        <v>793</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794</v>
      </c>
      <c r="D34" s="6" t="s">
        <v>795</v>
      </c>
      <c r="E34" s="7" t="s">
        <v>796</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797</v>
      </c>
      <c r="D35" s="6" t="s">
        <v>798</v>
      </c>
      <c r="E35" s="7" t="s">
        <v>799</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800</v>
      </c>
      <c r="D36" s="6" t="s">
        <v>801</v>
      </c>
      <c r="E36" s="7" t="s">
        <v>802</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803</v>
      </c>
      <c r="D37" s="6" t="s">
        <v>804</v>
      </c>
      <c r="E37" s="7" t="s">
        <v>805</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806</v>
      </c>
      <c r="D38" s="6" t="s">
        <v>807</v>
      </c>
      <c r="E38" s="7" t="s">
        <v>808</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809</v>
      </c>
      <c r="D39" s="6" t="s">
        <v>810</v>
      </c>
      <c r="E39" s="7" t="s">
        <v>811</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812</v>
      </c>
      <c r="D40" s="6" t="s">
        <v>813</v>
      </c>
      <c r="E40" s="7" t="s">
        <v>814</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815</v>
      </c>
      <c r="D41" s="6" t="s">
        <v>816</v>
      </c>
      <c r="E41" s="7" t="s">
        <v>817</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818</v>
      </c>
      <c r="D42" s="6" t="s">
        <v>819</v>
      </c>
      <c r="E42" s="7" t="s">
        <v>820</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821</v>
      </c>
      <c r="D43" s="6" t="s">
        <v>822</v>
      </c>
      <c r="E43" s="7" t="s">
        <v>823</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824</v>
      </c>
      <c r="D44" s="6" t="s">
        <v>825</v>
      </c>
      <c r="E44" s="7" t="s">
        <v>826</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827</v>
      </c>
      <c r="D45" s="6" t="s">
        <v>828</v>
      </c>
      <c r="E45" s="7" t="s">
        <v>829</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830</v>
      </c>
      <c r="D46" s="6" t="s">
        <v>831</v>
      </c>
      <c r="E46" s="7" t="s">
        <v>832</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833</v>
      </c>
      <c r="D47" s="6" t="s">
        <v>834</v>
      </c>
      <c r="E47" s="7" t="s">
        <v>835</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836</v>
      </c>
      <c r="D48" s="6" t="s">
        <v>837</v>
      </c>
      <c r="E48" s="7" t="s">
        <v>838</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839</v>
      </c>
      <c r="D49" s="6" t="s">
        <v>840</v>
      </c>
      <c r="E49" s="7" t="s">
        <v>841</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842</v>
      </c>
      <c r="D50" s="6" t="s">
        <v>843</v>
      </c>
      <c r="E50" s="7" t="s">
        <v>844</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845</v>
      </c>
      <c r="D51" s="6" t="s">
        <v>846</v>
      </c>
      <c r="E51" s="7" t="s">
        <v>847</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848</v>
      </c>
      <c r="D52" s="6" t="s">
        <v>849</v>
      </c>
      <c r="E52" s="7" t="s">
        <v>850</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851</v>
      </c>
      <c r="D53" s="6" t="s">
        <v>852</v>
      </c>
      <c r="E53" s="7" t="s">
        <v>853</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854</v>
      </c>
      <c r="D54" s="6" t="s">
        <v>855</v>
      </c>
      <c r="E54" s="7" t="s">
        <v>856</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857</v>
      </c>
      <c r="D55" s="6" t="s">
        <v>858</v>
      </c>
      <c r="E55" s="7" t="s">
        <v>859</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860</v>
      </c>
      <c r="D56" s="6" t="s">
        <v>861</v>
      </c>
      <c r="E56" s="7" t="s">
        <v>862</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863</v>
      </c>
      <c r="D57" s="6" t="s">
        <v>864</v>
      </c>
      <c r="E57" s="7" t="s">
        <v>865</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866</v>
      </c>
      <c r="D58" s="6" t="s">
        <v>867</v>
      </c>
      <c r="E58" s="7" t="s">
        <v>868</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869</v>
      </c>
      <c r="D59" s="6" t="s">
        <v>870</v>
      </c>
      <c r="E59" s="7" t="s">
        <v>871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872</v>
      </c>
      <c r="D60" s="6" t="s">
        <v>873</v>
      </c>
      <c r="E60" s="7" t="s">
        <v>874</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875</v>
      </c>
      <c r="D61" s="6" t="s">
        <v>876</v>
      </c>
      <c r="E61" s="7" t="s">
        <v>877</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878</v>
      </c>
      <c r="D62" s="6" t="s">
        <v>879</v>
      </c>
      <c r="E62" s="7" t="s">
        <v>880</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881</v>
      </c>
      <c r="D63" s="6" t="s">
        <v>882</v>
      </c>
      <c r="E63" s="7" t="s">
        <v>883</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884</v>
      </c>
      <c r="D64" s="6" t="s">
        <v>885</v>
      </c>
      <c r="E64" s="7" t="s">
        <v>886</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887</v>
      </c>
      <c r="D65" s="6" t="s">
        <v>888</v>
      </c>
      <c r="E65" s="7" t="s">
        <v>889</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890</v>
      </c>
      <c r="D66" s="6" t="s">
        <v>891</v>
      </c>
      <c r="E66" s="7" t="s">
        <v>892</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893</v>
      </c>
      <c r="D67" s="6" t="s">
        <v>894</v>
      </c>
      <c r="E67" s="7" t="s">
        <v>895</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896</v>
      </c>
      <c r="D68" s="6" t="s">
        <v>897</v>
      </c>
      <c r="E68" s="7" t="s">
        <v>898</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899</v>
      </c>
      <c r="D69" s="6" t="s">
        <v>900</v>
      </c>
      <c r="E69" s="7" t="s">
        <v>901</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902</v>
      </c>
      <c r="D70" s="6" t="s">
        <v>903</v>
      </c>
      <c r="E70" s="7" t="s">
        <v>904</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905</v>
      </c>
      <c r="D71" s="6" t="s">
        <v>906</v>
      </c>
      <c r="E71" s="7" t="s">
        <v>907</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908</v>
      </c>
      <c r="D72" s="6" t="s">
        <v>909</v>
      </c>
      <c r="E72" s="7" t="s">
        <v>910</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911</v>
      </c>
      <c r="D73" s="6" t="s">
        <v>912</v>
      </c>
      <c r="E73" s="7" t="s">
        <v>913</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914</v>
      </c>
      <c r="D74" s="6" t="s">
        <v>915</v>
      </c>
      <c r="E74" s="7" t="s">
        <v>916</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917</v>
      </c>
      <c r="D75" s="6" t="s">
        <v>918</v>
      </c>
      <c r="E75" s="7" t="s">
        <v>919</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920</v>
      </c>
      <c r="D76" s="6" t="s">
        <v>921</v>
      </c>
      <c r="E76" s="7" t="s">
        <v>922</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923</v>
      </c>
      <c r="D77" s="6" t="s">
        <v>924</v>
      </c>
      <c r="E77" s="7" t="s">
        <v>925</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926</v>
      </c>
      <c r="D78" s="6" t="s">
        <v>927</v>
      </c>
      <c r="E78" s="7" t="s">
        <v>928</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929</v>
      </c>
      <c r="D79" s="6" t="s">
        <v>930</v>
      </c>
      <c r="E79" s="7" t="s">
        <v>931</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932</v>
      </c>
      <c r="D80" s="6" t="s">
        <v>933</v>
      </c>
      <c r="E80" s="7" t="s">
        <v>934</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935</v>
      </c>
      <c r="D81" s="6" t="s">
        <v>936</v>
      </c>
      <c r="E81" s="7" t="s">
        <v>937</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938</v>
      </c>
      <c r="D82" s="6" t="s">
        <v>939</v>
      </c>
      <c r="E82" s="7" t="s">
        <v>940</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941</v>
      </c>
      <c r="D83" s="6" t="s">
        <v>942</v>
      </c>
      <c r="E83" s="7" t="s">
        <v>943</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944</v>
      </c>
      <c r="D84" s="6" t="s">
        <v>945</v>
      </c>
      <c r="E84" s="7" t="s">
        <v>946</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947</v>
      </c>
      <c r="D85" s="6" t="s">
        <v>948</v>
      </c>
      <c r="E85" s="7" t="s">
        <v>949</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950</v>
      </c>
      <c r="D86" s="6" t="s">
        <v>951</v>
      </c>
      <c r="E86" s="7" t="s">
        <v>952</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46477</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9</v>
      </c>
      <c r="K13" s="6" t="s">
        <v>745</v>
      </c>
    </row>
    <row r="14" customFormat="false" ht="46.25" hidden="false" customHeight="false" outlineLevel="0" collapsed="false">
      <c r="A14" s="5" t="s">
        <v>1018</v>
      </c>
      <c r="B14" s="46" t="n">
        <v>8</v>
      </c>
      <c r="C14" s="6" t="s">
        <v>1019</v>
      </c>
      <c r="D14" s="6" t="s">
        <v>1020</v>
      </c>
      <c r="E14" s="46" t="s">
        <v>1011</v>
      </c>
      <c r="F14" s="6" t="s">
        <v>1021</v>
      </c>
      <c r="G14" s="51" t="n">
        <v>46316</v>
      </c>
      <c r="H14" s="51" t="n">
        <v>46318</v>
      </c>
      <c r="I14" s="6" t="s">
        <v>983</v>
      </c>
      <c r="J14" s="46" t="n">
        <f aca="false">IF(SUMIF('Unit tests'!$E:$E,A14,'Unit tests'!$C:$C)=0,"",SUMIF('Unit tests'!$E:$E,A14,'Unit tests'!$C:$C))</f>
        <v>13</v>
      </c>
      <c r="K14" s="6" t="s">
        <v>1022</v>
      </c>
    </row>
    <row r="15" customFormat="false" ht="35.05" hidden="false" customHeight="false" outlineLevel="0" collapsed="false">
      <c r="A15" s="5" t="s">
        <v>1023</v>
      </c>
      <c r="B15" s="46" t="n">
        <v>7</v>
      </c>
      <c r="C15" s="6" t="s">
        <v>1024</v>
      </c>
      <c r="D15" s="6" t="s">
        <v>1025</v>
      </c>
      <c r="E15" s="46" t="s">
        <v>1026</v>
      </c>
      <c r="F15" s="6" t="s">
        <v>1027</v>
      </c>
      <c r="G15" s="51" t="n">
        <v>46323</v>
      </c>
      <c r="H15" s="51" t="n">
        <v>46325</v>
      </c>
      <c r="I15" s="6"/>
      <c r="J15" s="46" t="n">
        <f aca="false">IF(SUMIF('Unit tests'!$E:$E,A15,'Unit tests'!$C:$C)=0,"",SUMIF('Unit tests'!$E:$E,A15,'Unit tests'!$C:$C))</f>
        <v>10</v>
      </c>
      <c r="K15" s="6" t="s">
        <v>1028</v>
      </c>
    </row>
    <row r="16" customFormat="false" ht="23.85" hidden="false" customHeight="false" outlineLevel="0" collapsed="false">
      <c r="A16" s="5" t="s">
        <v>1029</v>
      </c>
      <c r="B16" s="46" t="n">
        <v>7</v>
      </c>
      <c r="C16" s="6" t="s">
        <v>1030</v>
      </c>
      <c r="D16" s="6" t="s">
        <v>1031</v>
      </c>
      <c r="E16" s="46" t="s">
        <v>1026</v>
      </c>
      <c r="F16" s="6" t="s">
        <v>1032</v>
      </c>
      <c r="G16" s="51" t="n">
        <v>46328</v>
      </c>
      <c r="H16" s="51" t="n">
        <v>46330</v>
      </c>
      <c r="I16" s="6"/>
      <c r="J16" s="46" t="n">
        <f aca="false">IF(SUMIF('Unit tests'!$E:$E,A16,'Unit tests'!$C:$C)=0,"",SUMIF('Unit tests'!$E:$E,A16,'Unit tests'!$C:$C))</f>
        <v>8</v>
      </c>
      <c r="K16" s="6" t="s">
        <v>1033</v>
      </c>
    </row>
    <row r="17" customFormat="false" ht="15" hidden="false" customHeight="false" outlineLevel="0" collapsed="false">
      <c r="A17" s="5" t="s">
        <v>1034</v>
      </c>
      <c r="B17" s="46" t="n">
        <v>7</v>
      </c>
      <c r="C17" s="6" t="s">
        <v>1035</v>
      </c>
      <c r="D17" s="6"/>
      <c r="E17" s="46" t="s">
        <v>1036</v>
      </c>
      <c r="F17" s="6" t="s">
        <v>1037</v>
      </c>
      <c r="G17" s="51" t="n">
        <v>46330</v>
      </c>
      <c r="H17" s="51" t="n">
        <v>46365</v>
      </c>
      <c r="I17" s="6"/>
      <c r="J17" s="46" t="n">
        <f aca="false">IF(SUMIF('Unit tests'!$E:$E,A17,'Unit tests'!$C:$C)=0,"",SUMIF('Unit tests'!$E:$E,A17,'Unit tests'!$C:$C))</f>
        <v>6</v>
      </c>
      <c r="K17" s="6" t="s">
        <v>1038</v>
      </c>
    </row>
    <row r="18" customFormat="false" ht="46.25" hidden="false" customHeight="false" outlineLevel="0" collapsed="false">
      <c r="A18" s="5" t="s">
        <v>1039</v>
      </c>
      <c r="B18" s="46" t="n">
        <v>8</v>
      </c>
      <c r="C18" s="6" t="s">
        <v>1040</v>
      </c>
      <c r="D18" s="6"/>
      <c r="E18" s="46" t="s">
        <v>1041</v>
      </c>
      <c r="F18" s="6" t="s">
        <v>1042</v>
      </c>
      <c r="G18" s="51" t="n">
        <v>46335</v>
      </c>
      <c r="H18" s="51" t="n">
        <v>46335</v>
      </c>
      <c r="I18" s="6" t="s">
        <v>974</v>
      </c>
      <c r="J18" s="46" t="str">
        <f aca="false">IF(SUMIF('Unit tests'!$E:$E,A18,'Unit tests'!$C:$C)=0,"",SUMIF('Unit tests'!$E:$E,A18,'Unit tests'!$C:$C))</f>
        <v/>
      </c>
      <c r="K18" s="6" t="s">
        <v>769</v>
      </c>
    </row>
    <row r="19" customFormat="false" ht="57.45" hidden="false" customHeight="false" outlineLevel="0" collapsed="false">
      <c r="A19" s="5" t="s">
        <v>1043</v>
      </c>
      <c r="B19" s="46" t="n">
        <v>8</v>
      </c>
      <c r="C19" s="6" t="s">
        <v>1044</v>
      </c>
      <c r="D19" s="6" t="s">
        <v>1045</v>
      </c>
      <c r="E19" s="46" t="s">
        <v>1041</v>
      </c>
      <c r="F19" s="6" t="s">
        <v>1046</v>
      </c>
      <c r="G19" s="51" t="n">
        <v>46336</v>
      </c>
      <c r="H19" s="51" t="n">
        <v>46338</v>
      </c>
      <c r="I19" s="6" t="s">
        <v>974</v>
      </c>
      <c r="J19" s="46" t="str">
        <f aca="false">IF(SUMIF('Unit tests'!$E:$E,A19,'Unit tests'!$C:$C)=0,"",SUMIF('Unit tests'!$E:$E,A19,'Unit tests'!$C:$C))</f>
        <v/>
      </c>
      <c r="K19" s="6" t="s">
        <v>1047</v>
      </c>
    </row>
    <row r="20" customFormat="false" ht="46.25" hidden="false" customHeight="false" outlineLevel="0" collapsed="false">
      <c r="A20" s="5" t="s">
        <v>1048</v>
      </c>
      <c r="B20" s="46" t="n">
        <v>8</v>
      </c>
      <c r="C20" s="6" t="s">
        <v>1049</v>
      </c>
      <c r="D20" s="6" t="s">
        <v>1050</v>
      </c>
      <c r="E20" s="46" t="s">
        <v>1041</v>
      </c>
      <c r="F20" s="6" t="s">
        <v>1051</v>
      </c>
      <c r="G20" s="51" t="n">
        <v>46339</v>
      </c>
      <c r="H20" s="51" t="n">
        <v>46342</v>
      </c>
      <c r="I20" s="6" t="s">
        <v>974</v>
      </c>
      <c r="J20" s="46" t="str">
        <f aca="false">IF(SUMIF('Unit tests'!$E:$E,A20,'Unit tests'!$C:$C)=0,"",SUMIF('Unit tests'!$E:$E,A20,'Unit tests'!$C:$C))</f>
        <v/>
      </c>
      <c r="K20" s="6" t="s">
        <v>1052</v>
      </c>
    </row>
    <row r="21" customFormat="false" ht="23.85" hidden="false" customHeight="false" outlineLevel="0" collapsed="false">
      <c r="A21" s="5" t="s">
        <v>1053</v>
      </c>
      <c r="B21" s="46" t="n">
        <v>8</v>
      </c>
      <c r="C21" s="6" t="s">
        <v>1054</v>
      </c>
      <c r="D21" s="6"/>
      <c r="E21" s="46" t="s">
        <v>1055</v>
      </c>
      <c r="F21" s="6" t="s">
        <v>1056</v>
      </c>
      <c r="G21" s="51" t="n">
        <v>46343</v>
      </c>
      <c r="H21" s="51" t="n">
        <v>46497</v>
      </c>
      <c r="I21" s="6" t="s">
        <v>974</v>
      </c>
      <c r="J21" s="46" t="str">
        <f aca="false">IF(SUMIF('Unit tests'!$E:$E,A21,'Unit tests'!$C:$C)=0,"",SUMIF('Unit tests'!$E:$E,A21,'Unit tests'!$C:$C))</f>
        <v/>
      </c>
      <c r="K21" s="6" t="s">
        <v>943</v>
      </c>
    </row>
    <row r="22" customFormat="false" ht="23.85" hidden="false" customHeight="false" outlineLevel="0" collapsed="false">
      <c r="A22" s="5" t="s">
        <v>1057</v>
      </c>
      <c r="B22" s="46" t="n">
        <v>8</v>
      </c>
      <c r="C22" s="6" t="s">
        <v>1058</v>
      </c>
      <c r="D22" s="6" t="s">
        <v>1059</v>
      </c>
      <c r="E22" s="46" t="s">
        <v>1055</v>
      </c>
      <c r="F22" s="6" t="s">
        <v>1060</v>
      </c>
      <c r="G22" s="51" t="n">
        <v>46344</v>
      </c>
      <c r="H22" s="51" t="n">
        <v>46497</v>
      </c>
      <c r="I22" s="6" t="s">
        <v>974</v>
      </c>
      <c r="J22" s="46" t="str">
        <f aca="false">IF(SUMIF('Unit tests'!$E:$E,A22,'Unit tests'!$C:$C)=0,"",SUMIF('Unit tests'!$E:$E,A22,'Unit tests'!$C:$C))</f>
        <v/>
      </c>
      <c r="K22" s="6" t="s">
        <v>1061</v>
      </c>
    </row>
    <row r="23" customFormat="false" ht="23.85" hidden="false" customHeight="false" outlineLevel="0" collapsed="false">
      <c r="A23" s="5" t="s">
        <v>1062</v>
      </c>
      <c r="B23" s="46" t="n">
        <v>8</v>
      </c>
      <c r="C23" s="6" t="s">
        <v>1063</v>
      </c>
      <c r="D23" s="6"/>
      <c r="E23" s="46" t="s">
        <v>1041</v>
      </c>
      <c r="F23" s="6" t="s">
        <v>1064</v>
      </c>
      <c r="G23" s="51" t="n">
        <v>46345</v>
      </c>
      <c r="H23" s="51" t="n">
        <v>46345</v>
      </c>
      <c r="I23" s="6"/>
      <c r="J23" s="46" t="str">
        <f aca="false">IF(SUMIF('Unit tests'!$E:$E,A23,'Unit tests'!$C:$C)=0,"",SUMIF('Unit tests'!$E:$E,A23,'Unit tests'!$C:$C))</f>
        <v/>
      </c>
      <c r="K23" s="6" t="s">
        <v>790</v>
      </c>
    </row>
    <row r="24" customFormat="false" ht="23.85" hidden="false" customHeight="false" outlineLevel="0" collapsed="false">
      <c r="A24" s="5" t="s">
        <v>1065</v>
      </c>
      <c r="B24" s="46" t="n">
        <v>7</v>
      </c>
      <c r="C24" s="6" t="s">
        <v>1066</v>
      </c>
      <c r="D24" s="6" t="s">
        <v>1067</v>
      </c>
      <c r="E24" s="46" t="s">
        <v>1068</v>
      </c>
      <c r="F24" s="6" t="s">
        <v>1069</v>
      </c>
      <c r="G24" s="51" t="n">
        <v>46359</v>
      </c>
      <c r="H24" s="51" t="n">
        <v>46359</v>
      </c>
      <c r="I24" s="6"/>
      <c r="J24" s="46" t="str">
        <f aca="false">IF(SUMIF('Unit tests'!$E:$E,A24,'Unit tests'!$C:$C)=0,"",SUMIF('Unit tests'!$E:$E,A24,'Unit tests'!$C:$C))</f>
        <v/>
      </c>
      <c r="K24" s="6" t="s">
        <v>793</v>
      </c>
    </row>
    <row r="25" customFormat="false" ht="35.05" hidden="false" customHeight="false" outlineLevel="0" collapsed="false">
      <c r="A25" s="5" t="s">
        <v>1070</v>
      </c>
      <c r="B25" s="46" t="n">
        <v>7</v>
      </c>
      <c r="C25" s="6" t="s">
        <v>1071</v>
      </c>
      <c r="D25" s="6"/>
      <c r="E25" s="46" t="s">
        <v>1068</v>
      </c>
      <c r="F25" s="6" t="s">
        <v>1072</v>
      </c>
      <c r="G25" s="51" t="n">
        <v>46360</v>
      </c>
      <c r="H25" s="51" t="n">
        <v>46360</v>
      </c>
      <c r="I25" s="6"/>
      <c r="J25" s="46" t="str">
        <f aca="false">IF(SUMIF('Unit tests'!$E:$E,A25,'Unit tests'!$C:$C)=0,"",SUMIF('Unit tests'!$E:$E,A25,'Unit tests'!$C:$C))</f>
        <v/>
      </c>
      <c r="K25" s="6" t="s">
        <v>796</v>
      </c>
    </row>
    <row r="26" customFormat="false" ht="23.85" hidden="false" customHeight="false" outlineLevel="0" collapsed="false">
      <c r="A26" s="5" t="s">
        <v>1073</v>
      </c>
      <c r="B26" s="46" t="n">
        <v>7</v>
      </c>
      <c r="C26" s="6" t="s">
        <v>1074</v>
      </c>
      <c r="D26" s="6"/>
      <c r="E26" s="46" t="s">
        <v>1068</v>
      </c>
      <c r="F26" s="6" t="s">
        <v>1075</v>
      </c>
      <c r="G26" s="51" t="n">
        <v>46363</v>
      </c>
      <c r="H26" s="51" t="n">
        <v>46363</v>
      </c>
      <c r="I26" s="6"/>
      <c r="J26" s="46" t="str">
        <f aca="false">IF(SUMIF('Unit tests'!$E:$E,A26,'Unit tests'!$C:$C)=0,"",SUMIF('Unit tests'!$E:$E,A26,'Unit tests'!$C:$C))</f>
        <v/>
      </c>
      <c r="K26" s="6" t="s">
        <v>799</v>
      </c>
    </row>
    <row r="27" customFormat="false" ht="68.65" hidden="false" customHeight="false" outlineLevel="0" collapsed="false">
      <c r="A27" s="5" t="s">
        <v>1076</v>
      </c>
      <c r="B27" s="46" t="n">
        <v>8</v>
      </c>
      <c r="C27" s="6" t="s">
        <v>1077</v>
      </c>
      <c r="D27" s="6" t="s">
        <v>1078</v>
      </c>
      <c r="E27" s="46" t="s">
        <v>1079</v>
      </c>
      <c r="F27" s="6" t="s">
        <v>1080</v>
      </c>
      <c r="G27" s="51" t="n">
        <v>46363</v>
      </c>
      <c r="H27" s="51" t="n">
        <v>46449</v>
      </c>
      <c r="I27" s="6" t="s">
        <v>1003</v>
      </c>
      <c r="J27" s="46" t="str">
        <f aca="false">IF(SUMIF('Unit tests'!$E:$E,A27,'Unit tests'!$C:$C)=0,"",SUMIF('Unit tests'!$E:$E,A27,'Unit tests'!$C:$C))</f>
        <v/>
      </c>
      <c r="K27" s="6" t="s">
        <v>1081</v>
      </c>
    </row>
    <row r="28" customFormat="false" ht="23.85" hidden="false" customHeight="false" outlineLevel="0" collapsed="false">
      <c r="A28" s="5" t="s">
        <v>1082</v>
      </c>
      <c r="B28" s="46" t="n">
        <v>7</v>
      </c>
      <c r="C28" s="6" t="s">
        <v>1083</v>
      </c>
      <c r="D28" s="6" t="s">
        <v>1084</v>
      </c>
      <c r="E28" s="46" t="s">
        <v>1068</v>
      </c>
      <c r="F28" s="6" t="s">
        <v>1085</v>
      </c>
      <c r="G28" s="51" t="n">
        <v>46364</v>
      </c>
      <c r="H28" s="51" t="n">
        <v>46364</v>
      </c>
      <c r="I28" s="6"/>
      <c r="J28" s="46" t="str">
        <f aca="false">IF(SUMIF('Unit tests'!$E:$E,A28,'Unit tests'!$C:$C)=0,"",SUMIF('Unit tests'!$E:$E,A28,'Unit tests'!$C:$C))</f>
        <v/>
      </c>
      <c r="K28" s="6" t="s">
        <v>802</v>
      </c>
    </row>
    <row r="29" customFormat="false" ht="35.05" hidden="false" customHeight="false" outlineLevel="0" collapsed="false">
      <c r="A29" s="5" t="s">
        <v>1086</v>
      </c>
      <c r="B29" s="46" t="n">
        <v>7</v>
      </c>
      <c r="C29" s="6" t="s">
        <v>1087</v>
      </c>
      <c r="D29" s="6" t="s">
        <v>1088</v>
      </c>
      <c r="E29" s="46" t="s">
        <v>1089</v>
      </c>
      <c r="F29" s="6" t="s">
        <v>1090</v>
      </c>
      <c r="G29" s="51" t="n">
        <v>46373</v>
      </c>
      <c r="H29" s="51" t="n">
        <v>46374</v>
      </c>
      <c r="I29" s="6"/>
      <c r="J29" s="46" t="str">
        <f aca="false">IF(SUMIF('Unit tests'!$E:$E,A29,'Unit tests'!$C:$C)=0,"",SUMIF('Unit tests'!$E:$E,A29,'Unit tests'!$C:$C))</f>
        <v/>
      </c>
      <c r="K29" s="6" t="s">
        <v>1091</v>
      </c>
    </row>
    <row r="30" customFormat="false" ht="23.85" hidden="false" customHeight="false" outlineLevel="0" collapsed="false">
      <c r="A30" s="5" t="s">
        <v>1092</v>
      </c>
      <c r="B30" s="46" t="n">
        <v>7</v>
      </c>
      <c r="C30" s="6" t="s">
        <v>1093</v>
      </c>
      <c r="D30" s="6" t="s">
        <v>1094</v>
      </c>
      <c r="E30" s="46" t="s">
        <v>1089</v>
      </c>
      <c r="F30" s="6" t="s">
        <v>1095</v>
      </c>
      <c r="G30" s="51" t="n">
        <v>46393</v>
      </c>
      <c r="H30" s="51" t="n">
        <v>46395</v>
      </c>
      <c r="I30" s="6"/>
      <c r="J30" s="46" t="str">
        <f aca="false">IF(SUMIF('Unit tests'!$E:$E,A30,'Unit tests'!$C:$C)=0,"",SUMIF('Unit tests'!$E:$E,A30,'Unit tests'!$C:$C))</f>
        <v/>
      </c>
      <c r="K30" s="6" t="s">
        <v>1096</v>
      </c>
    </row>
    <row r="31" customFormat="false" ht="23.85" hidden="false" customHeight="false" outlineLevel="0" collapsed="false">
      <c r="A31" s="5" t="s">
        <v>1097</v>
      </c>
      <c r="B31" s="46" t="n">
        <v>7</v>
      </c>
      <c r="C31" s="6" t="s">
        <v>1098</v>
      </c>
      <c r="D31" s="6" t="s">
        <v>1099</v>
      </c>
      <c r="E31" s="46" t="s">
        <v>1089</v>
      </c>
      <c r="F31" s="6" t="s">
        <v>1100</v>
      </c>
      <c r="G31" s="51" t="n">
        <v>46395</v>
      </c>
      <c r="H31" s="51" t="n">
        <v>46395</v>
      </c>
      <c r="I31" s="6"/>
      <c r="J31" s="46" t="str">
        <f aca="false">IF(SUMIF('Unit tests'!$E:$E,A31,'Unit tests'!$C:$C)=0,"",SUMIF('Unit tests'!$E:$E,A31,'Unit tests'!$C:$C))</f>
        <v/>
      </c>
      <c r="K31" s="6" t="s">
        <v>820</v>
      </c>
    </row>
    <row r="32" customFormat="false" ht="23.85" hidden="false" customHeight="false" outlineLevel="0" collapsed="false">
      <c r="A32" s="5" t="s">
        <v>1101</v>
      </c>
      <c r="B32" s="46" t="n">
        <v>7</v>
      </c>
      <c r="C32" s="6" t="s">
        <v>1102</v>
      </c>
      <c r="D32" s="6" t="s">
        <v>1103</v>
      </c>
      <c r="E32" s="46" t="s">
        <v>1104</v>
      </c>
      <c r="F32" s="6" t="s">
        <v>1105</v>
      </c>
      <c r="G32" s="51" t="n">
        <v>46398</v>
      </c>
      <c r="H32" s="51" t="n">
        <v>46398</v>
      </c>
      <c r="I32" s="6"/>
      <c r="J32" s="46" t="str">
        <f aca="false">IF(SUMIF('Unit tests'!$E:$E,A32,'Unit tests'!$C:$C)=0,"",SUMIF('Unit tests'!$E:$E,A32,'Unit tests'!$C:$C))</f>
        <v/>
      </c>
      <c r="K32" s="6" t="s">
        <v>823</v>
      </c>
    </row>
    <row r="33" customFormat="false" ht="15" hidden="false" customHeight="false" outlineLevel="0" collapsed="false">
      <c r="A33" s="5" t="s">
        <v>1106</v>
      </c>
      <c r="B33" s="46" t="n">
        <v>7</v>
      </c>
      <c r="C33" s="6" t="s">
        <v>1107</v>
      </c>
      <c r="D33" s="6" t="s">
        <v>1108</v>
      </c>
      <c r="E33" s="46" t="s">
        <v>1104</v>
      </c>
      <c r="F33" s="6" t="s">
        <v>1105</v>
      </c>
      <c r="G33" s="51" t="n">
        <v>46398</v>
      </c>
      <c r="H33" s="51" t="n">
        <v>46398</v>
      </c>
      <c r="I33" s="6"/>
      <c r="J33" s="46" t="str">
        <f aca="false">IF(SUMIF('Unit tests'!$E:$E,A33,'Unit tests'!$C:$C)=0,"",SUMIF('Unit tests'!$E:$E,A33,'Unit tests'!$C:$C))</f>
        <v/>
      </c>
      <c r="K33" s="6" t="s">
        <v>823</v>
      </c>
    </row>
    <row r="34" customFormat="false" ht="46.25" hidden="false" customHeight="false" outlineLevel="0" collapsed="false">
      <c r="A34" s="5" t="s">
        <v>1109</v>
      </c>
      <c r="B34" s="46" t="n">
        <v>7</v>
      </c>
      <c r="C34" s="6" t="s">
        <v>1110</v>
      </c>
      <c r="D34" s="6" t="s">
        <v>1111</v>
      </c>
      <c r="E34" s="46" t="s">
        <v>1104</v>
      </c>
      <c r="F34" s="6" t="s">
        <v>1112</v>
      </c>
      <c r="G34" s="51" t="n">
        <v>46399</v>
      </c>
      <c r="H34" s="51" t="n">
        <v>46399</v>
      </c>
      <c r="I34" s="6"/>
      <c r="J34" s="46" t="str">
        <f aca="false">IF(SUMIF('Unit tests'!$E:$E,A34,'Unit tests'!$C:$C)=0,"",SUMIF('Unit tests'!$E:$E,A34,'Unit tests'!$C:$C))</f>
        <v/>
      </c>
      <c r="K34" s="6" t="s">
        <v>826</v>
      </c>
    </row>
    <row r="35" customFormat="false" ht="68.65" hidden="false" customHeight="false" outlineLevel="0" collapsed="false">
      <c r="A35" s="5" t="s">
        <v>1113</v>
      </c>
      <c r="B35" s="46" t="n">
        <v>8</v>
      </c>
      <c r="C35" s="6" t="s">
        <v>1114</v>
      </c>
      <c r="D35" s="6" t="s">
        <v>1115</v>
      </c>
      <c r="E35" s="46" t="s">
        <v>1116</v>
      </c>
      <c r="F35" s="6" t="s">
        <v>1117</v>
      </c>
      <c r="G35" s="51" t="n">
        <v>46413</v>
      </c>
      <c r="H35" s="51" t="n">
        <v>46414</v>
      </c>
      <c r="I35" s="6" t="s">
        <v>1003</v>
      </c>
      <c r="J35" s="46" t="str">
        <f aca="false">IF(SUMIF('Unit tests'!$E:$E,A35,'Unit tests'!$C:$C)=0,"",SUMIF('Unit tests'!$E:$E,A35,'Unit tests'!$C:$C))</f>
        <v/>
      </c>
      <c r="K35" s="6" t="s">
        <v>1118</v>
      </c>
    </row>
    <row r="36" customFormat="false" ht="57.45" hidden="false" customHeight="false" outlineLevel="0" collapsed="false">
      <c r="A36" s="5" t="s">
        <v>1119</v>
      </c>
      <c r="B36" s="46" t="n">
        <v>8</v>
      </c>
      <c r="C36" s="6" t="s">
        <v>1120</v>
      </c>
      <c r="D36" s="6" t="s">
        <v>1121</v>
      </c>
      <c r="E36" s="46" t="s">
        <v>1122</v>
      </c>
      <c r="F36" s="6" t="s">
        <v>1123</v>
      </c>
      <c r="G36" s="51" t="n">
        <v>46414</v>
      </c>
      <c r="H36" s="51" t="n">
        <v>46463</v>
      </c>
      <c r="I36" s="6" t="s">
        <v>1003</v>
      </c>
      <c r="J36" s="46" t="str">
        <f aca="false">IF(SUMIF('Unit tests'!$E:$E,A36,'Unit tests'!$C:$C)=0,"",SUMIF('Unit tests'!$E:$E,A36,'Unit tests'!$C:$C))</f>
        <v/>
      </c>
      <c r="K36" s="6" t="s">
        <v>1124</v>
      </c>
    </row>
    <row r="37" customFormat="false" ht="35.05" hidden="false" customHeight="false" outlineLevel="0" collapsed="false">
      <c r="A37" s="5" t="s">
        <v>1125</v>
      </c>
      <c r="B37" s="46" t="n">
        <v>8</v>
      </c>
      <c r="C37" s="6" t="s">
        <v>1126</v>
      </c>
      <c r="D37" s="6" t="s">
        <v>1127</v>
      </c>
      <c r="E37" s="46" t="s">
        <v>1116</v>
      </c>
      <c r="F37" s="6" t="s">
        <v>1128</v>
      </c>
      <c r="G37" s="51" t="n">
        <v>46415</v>
      </c>
      <c r="H37" s="51" t="n">
        <v>46416</v>
      </c>
      <c r="I37" s="6" t="s">
        <v>1003</v>
      </c>
      <c r="J37" s="46" t="str">
        <f aca="false">IF(SUMIF('Unit tests'!$E:$E,A37,'Unit tests'!$C:$C)=0,"",SUMIF('Unit tests'!$E:$E,A37,'Unit tests'!$C:$C))</f>
        <v/>
      </c>
      <c r="K37" s="6" t="s">
        <v>1129</v>
      </c>
    </row>
    <row r="38" customFormat="false" ht="46.25" hidden="false" customHeight="false" outlineLevel="0" collapsed="false">
      <c r="A38" s="5" t="s">
        <v>1130</v>
      </c>
      <c r="B38" s="46" t="n">
        <v>8</v>
      </c>
      <c r="C38" s="6" t="s">
        <v>1131</v>
      </c>
      <c r="D38" s="6" t="s">
        <v>1132</v>
      </c>
      <c r="E38" s="46" t="s">
        <v>1116</v>
      </c>
      <c r="F38" s="6" t="s">
        <v>1133</v>
      </c>
      <c r="G38" s="51" t="n">
        <v>46420</v>
      </c>
      <c r="H38" s="51" t="n">
        <v>46421</v>
      </c>
      <c r="I38" s="6" t="s">
        <v>1003</v>
      </c>
      <c r="J38" s="46" t="str">
        <f aca="false">IF(SUMIF('Unit tests'!$E:$E,A38,'Unit tests'!$C:$C)=0,"",SUMIF('Unit tests'!$E:$E,A38,'Unit tests'!$C:$C))</f>
        <v/>
      </c>
      <c r="K38" s="6" t="s">
        <v>1134</v>
      </c>
    </row>
    <row r="39" customFormat="false" ht="35.05" hidden="false" customHeight="false" outlineLevel="0" collapsed="false">
      <c r="A39" s="5" t="s">
        <v>1135</v>
      </c>
      <c r="B39" s="46" t="n">
        <v>8</v>
      </c>
      <c r="C39" s="6" t="s">
        <v>1136</v>
      </c>
      <c r="D39" s="6" t="s">
        <v>1137</v>
      </c>
      <c r="E39" s="46" t="s">
        <v>1138</v>
      </c>
      <c r="F39" s="6" t="s">
        <v>1139</v>
      </c>
      <c r="G39" s="51" t="n">
        <v>46426</v>
      </c>
      <c r="H39" s="51" t="n">
        <v>46429</v>
      </c>
      <c r="I39" s="6" t="s">
        <v>974</v>
      </c>
      <c r="J39" s="46" t="str">
        <f aca="false">IF(SUMIF('Unit tests'!$E:$E,A39,'Unit tests'!$C:$C)=0,"",SUMIF('Unit tests'!$E:$E,A39,'Unit tests'!$C:$C))</f>
        <v/>
      </c>
      <c r="K39" s="6" t="s">
        <v>1140</v>
      </c>
    </row>
    <row r="40" customFormat="false" ht="35.05" hidden="false" customHeight="false" outlineLevel="0" collapsed="false">
      <c r="A40" s="5" t="s">
        <v>1141</v>
      </c>
      <c r="B40" s="46" t="n">
        <v>8</v>
      </c>
      <c r="C40" s="6" t="s">
        <v>1142</v>
      </c>
      <c r="D40" s="6" t="s">
        <v>1143</v>
      </c>
      <c r="E40" s="46" t="s">
        <v>1138</v>
      </c>
      <c r="F40" s="6" t="s">
        <v>1144</v>
      </c>
      <c r="G40" s="51" t="n">
        <v>46430</v>
      </c>
      <c r="H40" s="51" t="n">
        <v>46430</v>
      </c>
      <c r="I40" s="6"/>
      <c r="J40" s="46" t="str">
        <f aca="false">IF(SUMIF('Unit tests'!$E:$E,A40,'Unit tests'!$C:$C)=0,"",SUMIF('Unit tests'!$E:$E,A40,'Unit tests'!$C:$C))</f>
        <v/>
      </c>
      <c r="K40" s="6" t="s">
        <v>865</v>
      </c>
    </row>
    <row r="41" customFormat="false" ht="35.05" hidden="false" customHeight="false" outlineLevel="0" collapsed="false">
      <c r="A41" s="5" t="s">
        <v>1145</v>
      </c>
      <c r="B41" s="46" t="n">
        <v>8</v>
      </c>
      <c r="C41" s="6" t="s">
        <v>1146</v>
      </c>
      <c r="D41" s="6"/>
      <c r="E41" s="46" t="s">
        <v>1138</v>
      </c>
      <c r="F41" s="6" t="s">
        <v>1144</v>
      </c>
      <c r="G41" s="51" t="n">
        <v>46430</v>
      </c>
      <c r="H41" s="51" t="n">
        <v>46430</v>
      </c>
      <c r="I41" s="6"/>
      <c r="J41" s="46" t="str">
        <f aca="false">IF(SUMIF('Unit tests'!$E:$E,A41,'Unit tests'!$C:$C)=0,"",SUMIF('Unit tests'!$E:$E,A41,'Unit tests'!$C:$C))</f>
        <v/>
      </c>
      <c r="K41" s="6" t="s">
        <v>865</v>
      </c>
    </row>
    <row r="42" customFormat="false" ht="68.65" hidden="false" customHeight="false" outlineLevel="0" collapsed="false">
      <c r="A42" s="5" t="s">
        <v>1147</v>
      </c>
      <c r="B42" s="46" t="n">
        <v>8</v>
      </c>
      <c r="C42" s="6" t="s">
        <v>1148</v>
      </c>
      <c r="D42" s="6" t="s">
        <v>1149</v>
      </c>
      <c r="E42" s="46" t="s">
        <v>1138</v>
      </c>
      <c r="F42" s="6" t="s">
        <v>1150</v>
      </c>
      <c r="G42" s="51" t="n">
        <v>46434</v>
      </c>
      <c r="H42" s="51" t="n">
        <v>46435</v>
      </c>
      <c r="I42" s="6"/>
      <c r="J42" s="46" t="str">
        <f aca="false">IF(SUMIF('Unit tests'!$E:$E,A42,'Unit tests'!$C:$C)=0,"",SUMIF('Unit tests'!$E:$E,A42,'Unit tests'!$C:$C))</f>
        <v/>
      </c>
      <c r="K42" s="6" t="s">
        <v>1151</v>
      </c>
    </row>
    <row r="43" customFormat="false" ht="113.4" hidden="false" customHeight="false" outlineLevel="0" collapsed="false">
      <c r="A43" s="5" t="s">
        <v>1152</v>
      </c>
      <c r="B43" s="46" t="n">
        <v>8</v>
      </c>
      <c r="C43" s="6" t="s">
        <v>1153</v>
      </c>
      <c r="D43" s="6" t="s">
        <v>1154</v>
      </c>
      <c r="E43" s="46" t="s">
        <v>1155</v>
      </c>
      <c r="F43" s="6" t="s">
        <v>1156</v>
      </c>
      <c r="G43" s="51" t="n">
        <v>46441</v>
      </c>
      <c r="H43" s="51" t="n">
        <v>46442</v>
      </c>
      <c r="I43" s="6"/>
      <c r="J43" s="46" t="str">
        <f aca="false">IF(SUMIF('Unit tests'!$E:$E,A43,'Unit tests'!$C:$C)=0,"",SUMIF('Unit tests'!$E:$E,A43,'Unit tests'!$C:$C))</f>
        <v/>
      </c>
      <c r="K43" s="6" t="s">
        <v>1157</v>
      </c>
    </row>
    <row r="44" customFormat="false" ht="57.45" hidden="false" customHeight="false" outlineLevel="0" collapsed="false">
      <c r="A44" s="5" t="s">
        <v>1158</v>
      </c>
      <c r="B44" s="46" t="n">
        <v>8</v>
      </c>
      <c r="C44" s="6" t="s">
        <v>1159</v>
      </c>
      <c r="D44" s="6" t="s">
        <v>1160</v>
      </c>
      <c r="E44" s="46" t="s">
        <v>1155</v>
      </c>
      <c r="F44" s="6" t="s">
        <v>1161</v>
      </c>
      <c r="G44" s="51" t="n">
        <v>46443</v>
      </c>
      <c r="H44" s="51" t="n">
        <v>46444</v>
      </c>
      <c r="I44" s="6"/>
      <c r="J44" s="46" t="str">
        <f aca="false">IF(SUMIF('Unit tests'!$E:$E,A44,'Unit tests'!$C:$C)=0,"",SUMIF('Unit tests'!$E:$E,A44,'Unit tests'!$C:$C))</f>
        <v/>
      </c>
      <c r="K44" s="6" t="s">
        <v>880</v>
      </c>
    </row>
    <row r="45" customFormat="false" ht="35.05" hidden="false" customHeight="false" outlineLevel="0" collapsed="false">
      <c r="A45" s="5" t="s">
        <v>1162</v>
      </c>
      <c r="B45" s="46" t="n">
        <v>8</v>
      </c>
      <c r="C45" s="6" t="s">
        <v>1163</v>
      </c>
      <c r="D45" s="6" t="s">
        <v>1164</v>
      </c>
      <c r="E45" s="46" t="s">
        <v>1155</v>
      </c>
      <c r="F45" s="6" t="s">
        <v>1165</v>
      </c>
      <c r="G45" s="51" t="n">
        <v>46448</v>
      </c>
      <c r="H45" s="51" t="n">
        <v>46449</v>
      </c>
      <c r="I45" s="6"/>
      <c r="J45" s="46" t="str">
        <f aca="false">IF(SUMIF('Unit tests'!$E:$E,A45,'Unit tests'!$C:$C)=0,"",SUMIF('Unit tests'!$E:$E,A45,'Unit tests'!$C:$C))</f>
        <v/>
      </c>
      <c r="K45" s="6" t="s">
        <v>1166</v>
      </c>
    </row>
    <row r="46" customFormat="false" ht="23.85" hidden="false" customHeight="false" outlineLevel="0" collapsed="false">
      <c r="A46" s="5" t="s">
        <v>1167</v>
      </c>
      <c r="B46" s="46" t="n">
        <v>7</v>
      </c>
      <c r="C46" s="6" t="s">
        <v>1168</v>
      </c>
      <c r="D46" s="6" t="s">
        <v>1169</v>
      </c>
      <c r="E46" s="46" t="s">
        <v>1170</v>
      </c>
      <c r="F46" s="6" t="s">
        <v>1171</v>
      </c>
      <c r="G46" s="51" t="n">
        <v>46457</v>
      </c>
      <c r="H46" s="51" t="n">
        <v>46457</v>
      </c>
      <c r="I46" s="6"/>
      <c r="J46" s="46" t="str">
        <f aca="false">IF(SUMIF('Unit tests'!$E:$E,A46,'Unit tests'!$C:$C)=0,"",SUMIF('Unit tests'!$E:$E,A46,'Unit tests'!$C:$C))</f>
        <v/>
      </c>
      <c r="K46" s="6" t="s">
        <v>889</v>
      </c>
    </row>
    <row r="47" customFormat="false" ht="35.05" hidden="false" customHeight="false" outlineLevel="0" collapsed="false">
      <c r="A47" s="5" t="s">
        <v>1172</v>
      </c>
      <c r="B47" s="46" t="n">
        <v>8</v>
      </c>
      <c r="C47" s="6" t="s">
        <v>1173</v>
      </c>
      <c r="D47" s="6" t="s">
        <v>1174</v>
      </c>
      <c r="E47" s="46" t="s">
        <v>1170</v>
      </c>
      <c r="F47" s="6" t="s">
        <v>1175</v>
      </c>
      <c r="G47" s="51" t="n">
        <v>46458</v>
      </c>
      <c r="H47" s="51" t="n">
        <v>46461</v>
      </c>
      <c r="I47" s="6"/>
      <c r="J47" s="46" t="str">
        <f aca="false">IF(SUMIF('Unit tests'!$E:$E,A47,'Unit tests'!$C:$C)=0,"",SUMIF('Unit tests'!$E:$E,A47,'Unit tests'!$C:$C))</f>
        <v/>
      </c>
      <c r="K47" s="6" t="s">
        <v>1176</v>
      </c>
    </row>
    <row r="48" customFormat="false" ht="79.85" hidden="false" customHeight="false" outlineLevel="0" collapsed="false">
      <c r="A48" s="5" t="s">
        <v>1177</v>
      </c>
      <c r="B48" s="46" t="n">
        <v>8</v>
      </c>
      <c r="C48" s="6" t="s">
        <v>1178</v>
      </c>
      <c r="D48" s="6" t="s">
        <v>1179</v>
      </c>
      <c r="E48" s="46" t="s">
        <v>1170</v>
      </c>
      <c r="F48" s="6" t="s">
        <v>1180</v>
      </c>
      <c r="G48" s="51" t="n">
        <v>46461</v>
      </c>
      <c r="H48" s="51" t="n">
        <v>46462</v>
      </c>
      <c r="I48" s="6"/>
      <c r="J48" s="46" t="str">
        <f aca="false">IF(SUMIF('Unit tests'!$E:$E,A48,'Unit tests'!$C:$C)=0,"",SUMIF('Unit tests'!$E:$E,A48,'Unit tests'!$C:$C))</f>
        <v/>
      </c>
      <c r="K48" s="6" t="s">
        <v>1181</v>
      </c>
    </row>
    <row r="49" customFormat="false" ht="46.25" hidden="false" customHeight="false" outlineLevel="0" collapsed="false">
      <c r="A49" s="5" t="s">
        <v>1182</v>
      </c>
      <c r="B49" s="46" t="n">
        <v>8</v>
      </c>
      <c r="C49" s="6" t="s">
        <v>1183</v>
      </c>
      <c r="D49" s="6" t="s">
        <v>1184</v>
      </c>
      <c r="E49" s="46" t="s">
        <v>1170</v>
      </c>
      <c r="F49" s="6" t="s">
        <v>1185</v>
      </c>
      <c r="G49" s="51" t="n">
        <v>46462</v>
      </c>
      <c r="H49" s="51" t="n">
        <v>46463</v>
      </c>
      <c r="I49" s="6"/>
      <c r="J49" s="46" t="str">
        <f aca="false">IF(SUMIF('Unit tests'!$E:$E,A49,'Unit tests'!$C:$C)=0,"",SUMIF('Unit tests'!$E:$E,A49,'Unit tests'!$C:$C))</f>
        <v/>
      </c>
      <c r="K49" s="6" t="s">
        <v>1186</v>
      </c>
    </row>
    <row r="50" customFormat="false" ht="91" hidden="false" customHeight="false" outlineLevel="0" collapsed="false">
      <c r="A50" s="5" t="s">
        <v>1187</v>
      </c>
      <c r="B50" s="46" t="n">
        <v>8</v>
      </c>
      <c r="C50" s="6" t="s">
        <v>1188</v>
      </c>
      <c r="D50" s="6" t="s">
        <v>1189</v>
      </c>
      <c r="E50" s="46" t="s">
        <v>1190</v>
      </c>
      <c r="F50" s="6" t="s">
        <v>1191</v>
      </c>
      <c r="G50" s="51" t="n">
        <v>46464</v>
      </c>
      <c r="H50" s="51" t="n">
        <v>46503</v>
      </c>
      <c r="I50" s="6"/>
      <c r="J50" s="46" t="str">
        <f aca="false">IF(SUMIF('Unit tests'!$E:$E,A50,'Unit tests'!$C:$C)=0,"",SUMIF('Unit tests'!$E:$E,A50,'Unit tests'!$C:$C))</f>
        <v/>
      </c>
      <c r="K50" s="6" t="s">
        <v>949</v>
      </c>
    </row>
    <row r="51" customFormat="false" ht="46.25" hidden="false" customHeight="false" outlineLevel="0" collapsed="false">
      <c r="A51" s="5" t="s">
        <v>1192</v>
      </c>
      <c r="B51" s="46" t="n">
        <v>8</v>
      </c>
      <c r="C51" s="6" t="s">
        <v>1193</v>
      </c>
      <c r="D51" s="6" t="s">
        <v>1194</v>
      </c>
      <c r="E51" s="46" t="s">
        <v>1190</v>
      </c>
      <c r="F51" s="6" t="s">
        <v>1195</v>
      </c>
      <c r="G51" s="51" t="n">
        <v>46465</v>
      </c>
      <c r="H51" s="51" t="n">
        <v>46503</v>
      </c>
      <c r="I51" s="6"/>
      <c r="J51" s="46" t="str">
        <f aca="false">IF(SUMIF('Unit tests'!$E:$E,A51,'Unit tests'!$C:$C)=0,"",SUMIF('Unit tests'!$E:$E,A51,'Unit tests'!$C:$C))</f>
        <v/>
      </c>
      <c r="K51" s="6" t="s">
        <v>1196</v>
      </c>
    </row>
    <row r="52" customFormat="false" ht="23.85" hidden="false" customHeight="false" outlineLevel="0" collapsed="false">
      <c r="A52" s="5" t="s">
        <v>1197</v>
      </c>
      <c r="B52" s="46" t="n">
        <v>8</v>
      </c>
      <c r="C52" s="6" t="s">
        <v>1198</v>
      </c>
      <c r="D52" s="6" t="s">
        <v>1199</v>
      </c>
      <c r="E52" s="46" t="s">
        <v>1200</v>
      </c>
      <c r="F52" s="6" t="s">
        <v>1201</v>
      </c>
      <c r="G52" s="51" t="n">
        <v>46478</v>
      </c>
      <c r="H52" s="51" t="n">
        <v>46478</v>
      </c>
      <c r="I52" s="6"/>
      <c r="J52" s="46" t="str">
        <f aca="false">IF(SUMIF('Unit tests'!$E:$E,A52,'Unit tests'!$C:$C)=0,"",SUMIF('Unit tests'!$E:$E,A52,'Unit tests'!$C:$C))</f>
        <v/>
      </c>
      <c r="K52" s="6" t="s">
        <v>913</v>
      </c>
    </row>
    <row r="53" customFormat="false" ht="35.05" hidden="false" customHeight="false" outlineLevel="0" collapsed="false">
      <c r="A53" s="5" t="s">
        <v>1202</v>
      </c>
      <c r="B53" s="46" t="n">
        <v>8</v>
      </c>
      <c r="C53" s="6" t="s">
        <v>1203</v>
      </c>
      <c r="D53" s="6"/>
      <c r="E53" s="46" t="s">
        <v>1200</v>
      </c>
      <c r="F53" s="6" t="s">
        <v>1204</v>
      </c>
      <c r="G53" s="51" t="n">
        <v>46479</v>
      </c>
      <c r="H53" s="51" t="n">
        <v>46479</v>
      </c>
      <c r="I53" s="6"/>
      <c r="J53" s="46" t="str">
        <f aca="false">IF(SUMIF('Unit tests'!$E:$E,A53,'Unit tests'!$C:$C)=0,"",SUMIF('Unit tests'!$E:$E,A53,'Unit tests'!$C:$C))</f>
        <v/>
      </c>
      <c r="K53" s="6" t="s">
        <v>916</v>
      </c>
    </row>
    <row r="54" customFormat="false" ht="68.65" hidden="false" customHeight="false" outlineLevel="0" collapsed="false">
      <c r="A54" s="5" t="s">
        <v>1205</v>
      </c>
      <c r="B54" s="46" t="n">
        <v>8</v>
      </c>
      <c r="C54" s="6" t="s">
        <v>1206</v>
      </c>
      <c r="D54" s="6" t="s">
        <v>1207</v>
      </c>
      <c r="E54" s="46" t="s">
        <v>1208</v>
      </c>
      <c r="F54" s="6" t="s">
        <v>1209</v>
      </c>
      <c r="G54" s="51" t="n">
        <v>46484</v>
      </c>
      <c r="H54" s="51" t="n">
        <v>46491</v>
      </c>
      <c r="I54" s="6"/>
      <c r="J54" s="46" t="str">
        <f aca="false">IF(SUMIF('Unit tests'!$E:$E,A54,'Unit tests'!$C:$C)=0,"",SUMIF('Unit tests'!$E:$E,A54,'Unit tests'!$C:$C))</f>
        <v/>
      </c>
      <c r="K54" s="6" t="s">
        <v>1210</v>
      </c>
    </row>
    <row r="55" customFormat="false" ht="91" hidden="false" customHeight="false" outlineLevel="0" collapsed="false">
      <c r="A55" s="5" t="s">
        <v>1211</v>
      </c>
      <c r="B55" s="46" t="n">
        <v>8</v>
      </c>
      <c r="C55" s="6" t="s">
        <v>1212</v>
      </c>
      <c r="D55" s="6" t="s">
        <v>1213</v>
      </c>
      <c r="E55" s="46" t="s">
        <v>1208</v>
      </c>
      <c r="F55" s="6" t="s">
        <v>1214</v>
      </c>
      <c r="G55" s="51" t="n">
        <v>46486</v>
      </c>
      <c r="H55" s="51" t="n">
        <v>46496</v>
      </c>
      <c r="I55" s="6"/>
      <c r="J55" s="46" t="str">
        <f aca="false">IF(SUMIF('Unit tests'!$E:$E,A55,'Unit tests'!$C:$C)=0,"",SUMIF('Unit tests'!$E:$E,A55,'Unit tests'!$C:$C))</f>
        <v/>
      </c>
      <c r="K55" s="6" t="s">
        <v>1215</v>
      </c>
    </row>
    <row r="56" customFormat="false" ht="57.45" hidden="false" customHeight="false" outlineLevel="0" collapsed="false">
      <c r="A56" s="5" t="s">
        <v>1216</v>
      </c>
      <c r="B56" s="46" t="n">
        <v>8</v>
      </c>
      <c r="C56" s="6" t="s">
        <v>1217</v>
      </c>
      <c r="D56" s="6" t="s">
        <v>1218</v>
      </c>
      <c r="E56" s="46" t="s">
        <v>1208</v>
      </c>
      <c r="F56" s="6" t="s">
        <v>1219</v>
      </c>
      <c r="G56" s="51" t="n">
        <v>46492</v>
      </c>
      <c r="H56" s="51" t="n">
        <v>46492</v>
      </c>
      <c r="I56" s="6"/>
      <c r="J56" s="46" t="str">
        <f aca="false">IF(SUMIF('Unit tests'!$E:$E,A56,'Unit tests'!$C:$C)=0,"",SUMIF('Unit tests'!$E:$E,A56,'Unit tests'!$C:$C))</f>
        <v/>
      </c>
      <c r="K56" s="6" t="s">
        <v>937</v>
      </c>
    </row>
    <row r="57" customFormat="false" ht="35.05" hidden="false" customHeight="false" outlineLevel="0" collapsed="false">
      <c r="A57" s="5" t="s">
        <v>1220</v>
      </c>
      <c r="B57" s="46" t="n">
        <v>8</v>
      </c>
      <c r="C57" s="6" t="s">
        <v>1221</v>
      </c>
      <c r="D57" s="6" t="s">
        <v>1222</v>
      </c>
      <c r="E57" s="46" t="s">
        <v>1223</v>
      </c>
      <c r="F57" s="6" t="s">
        <v>1224</v>
      </c>
      <c r="G57" s="51" t="n">
        <v>46498</v>
      </c>
      <c r="H57" s="51" t="n">
        <v>46498</v>
      </c>
      <c r="I57" s="6" t="s">
        <v>974</v>
      </c>
      <c r="J57" s="46" t="str">
        <f aca="false">IF(SUMIF('Unit tests'!$E:$E,A57,'Unit tests'!$C:$C)=0,"",SUMIF('Unit tests'!$E:$E,A57,'Unit tests'!$C:$C))</f>
        <v/>
      </c>
      <c r="K57" s="6" t="s">
        <v>946</v>
      </c>
    </row>
    <row r="58" customFormat="false" ht="68.65" hidden="false" customHeight="false" outlineLevel="0" collapsed="false">
      <c r="A58" s="5" t="s">
        <v>1225</v>
      </c>
      <c r="B58" s="46" t="n">
        <v>8</v>
      </c>
      <c r="C58" s="6" t="s">
        <v>1226</v>
      </c>
      <c r="D58" s="6" t="s">
        <v>1227</v>
      </c>
      <c r="E58" s="46" t="s">
        <v>1228</v>
      </c>
      <c r="F58" s="6" t="s">
        <v>1229</v>
      </c>
      <c r="G58" s="51" t="n">
        <v>46504</v>
      </c>
      <c r="H58" s="51" t="n">
        <v>46504</v>
      </c>
      <c r="I58" s="6"/>
      <c r="J58" s="46" t="str">
        <f aca="false">IF(SUMIF('Unit tests'!$E:$E,A58,'Unit tests'!$C:$C)=0,"",SUMIF('Unit tests'!$E:$E,A58,'Unit tests'!$C:$C))</f>
        <v/>
      </c>
      <c r="K58" s="6" t="s">
        <v>952</v>
      </c>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t="s">
        <v>1239</v>
      </c>
      <c r="D3" s="9" t="s">
        <v>1240</v>
      </c>
      <c r="E3" s="9" t="s">
        <v>1241</v>
      </c>
      <c r="F3" s="9" t="s">
        <v>1242</v>
      </c>
      <c r="G3" s="9" t="s">
        <v>1243</v>
      </c>
      <c r="H3" s="9" t="s">
        <v>1244</v>
      </c>
      <c r="I3" s="9" t="s">
        <v>1245</v>
      </c>
    </row>
    <row r="4" customFormat="false" ht="15" hidden="false" customHeight="false" outlineLevel="0" collapsed="false">
      <c r="A4" s="5" t="s">
        <v>1246</v>
      </c>
      <c r="B4" s="52" t="s">
        <v>1247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1248</v>
      </c>
      <c r="B5" s="52" t="s">
        <v>1247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1250</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1251</v>
      </c>
      <c r="B8" s="47" t="n">
        <v>46331</v>
      </c>
      <c r="C8" s="47" t="n">
        <v>46332</v>
      </c>
      <c r="D8" s="46" t="n">
        <f aca="false">C90</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1252</v>
      </c>
      <c r="B9" s="47" t="n">
        <v>46356</v>
      </c>
      <c r="C9" s="47" t="n">
        <v>46357</v>
      </c>
      <c r="D9" s="46"/>
      <c r="E9" s="52" t="s">
        <v>292</v>
      </c>
      <c r="F9" s="52"/>
      <c r="G9" s="52"/>
      <c r="H9" s="52"/>
      <c r="I9" s="52"/>
    </row>
    <row r="10" customFormat="false" ht="15" hidden="false" customHeight="false" outlineLevel="0" collapsed="false">
      <c r="A10" s="5" t="s">
        <v>1253</v>
      </c>
      <c r="B10" s="47" t="n">
        <v>46366</v>
      </c>
      <c r="C10" s="47" t="n">
        <v>46367</v>
      </c>
      <c r="D10" s="46"/>
      <c r="E10" s="52" t="s">
        <v>292</v>
      </c>
      <c r="F10" s="52"/>
      <c r="G10" s="52"/>
      <c r="H10" s="52"/>
      <c r="I10" s="52"/>
    </row>
    <row r="11" customFormat="false" ht="15" hidden="false" customHeight="false" outlineLevel="0" collapsed="false">
      <c r="A11" s="5" t="s">
        <v>1254</v>
      </c>
      <c r="B11" s="47" t="n">
        <v>46408</v>
      </c>
      <c r="C11" s="47" t="n">
        <v>46409</v>
      </c>
      <c r="D11" s="46"/>
      <c r="E11" s="52" t="s">
        <v>292</v>
      </c>
      <c r="F11" s="52"/>
      <c r="G11" s="52"/>
      <c r="H11" s="52"/>
      <c r="I11" s="52"/>
    </row>
    <row r="12" customFormat="false" ht="15" hidden="false" customHeight="false" outlineLevel="0" collapsed="false">
      <c r="A12" s="5" t="s">
        <v>1255</v>
      </c>
      <c r="B12" s="47" t="n">
        <v>46422</v>
      </c>
      <c r="C12" s="47" t="n">
        <v>46423</v>
      </c>
      <c r="D12" s="46"/>
      <c r="E12" s="52" t="s">
        <v>292</v>
      </c>
      <c r="F12" s="52"/>
      <c r="G12" s="52"/>
      <c r="H12" s="52"/>
      <c r="I12" s="52"/>
    </row>
    <row r="13" customFormat="false" ht="15" hidden="false" customHeight="false" outlineLevel="0" collapsed="false">
      <c r="A13" s="5" t="s">
        <v>1256</v>
      </c>
      <c r="B13" s="47" t="n">
        <v>46436</v>
      </c>
      <c r="C13" s="47" t="n">
        <v>46437</v>
      </c>
      <c r="D13" s="46"/>
      <c r="E13" s="52" t="s">
        <v>292</v>
      </c>
      <c r="F13" s="52"/>
      <c r="G13" s="52"/>
      <c r="H13" s="52"/>
      <c r="I13" s="52"/>
    </row>
    <row r="14" customFormat="false" ht="15" hidden="false" customHeight="false" outlineLevel="0" collapsed="false">
      <c r="A14" s="5" t="s">
        <v>1257</v>
      </c>
      <c r="B14" s="47" t="n">
        <v>46454</v>
      </c>
      <c r="C14" s="47" t="n">
        <v>46455</v>
      </c>
      <c r="D14" s="46"/>
      <c r="E14" s="52" t="s">
        <v>292</v>
      </c>
      <c r="F14" s="52"/>
      <c r="G14" s="52"/>
      <c r="H14" s="52"/>
      <c r="I14" s="52"/>
    </row>
    <row r="15" customFormat="false" ht="15" hidden="false" customHeight="false" outlineLevel="0" collapsed="false">
      <c r="A15" s="5" t="s">
        <v>1258</v>
      </c>
      <c r="B15" s="47" t="n">
        <v>46475</v>
      </c>
      <c r="C15" s="47" t="n">
        <v>46476</v>
      </c>
      <c r="D15" s="46"/>
      <c r="E15" s="52" t="s">
        <v>292</v>
      </c>
      <c r="F15" s="52"/>
      <c r="G15" s="52"/>
      <c r="H15" s="52"/>
      <c r="I15" s="52"/>
    </row>
    <row r="16" customFormat="false" ht="15" hidden="false" customHeight="false" outlineLevel="0" collapsed="false">
      <c r="A16" s="5" t="s">
        <v>1259</v>
      </c>
      <c r="B16" s="47" t="n">
        <v>46482</v>
      </c>
      <c r="C16" s="47" t="n">
        <v>46483</v>
      </c>
      <c r="D16" s="46"/>
      <c r="E16" s="52" t="s">
        <v>292</v>
      </c>
      <c r="F16" s="52"/>
      <c r="G16" s="52"/>
      <c r="H16" s="52"/>
      <c r="I16" s="52"/>
    </row>
    <row r="17" customFormat="false" ht="15" hidden="false" customHeight="false" outlineLevel="0" collapsed="false">
      <c r="A17" s="5" t="s">
        <v>1260</v>
      </c>
      <c r="B17" s="47" t="n">
        <v>46499</v>
      </c>
      <c r="C17" s="47" t="n">
        <v>46500</v>
      </c>
      <c r="D17" s="46"/>
      <c r="E17" s="52" t="s">
        <v>292</v>
      </c>
      <c r="F17" s="52"/>
      <c r="G17" s="52"/>
      <c r="H17" s="52"/>
      <c r="I17" s="52"/>
    </row>
    <row r="18" customFormat="false" ht="15" hidden="false" customHeight="false" outlineLevel="0" collapsed="false">
      <c r="A18" s="5" t="s">
        <v>1261</v>
      </c>
      <c r="B18" s="47" t="n">
        <v>46506</v>
      </c>
      <c r="C18" s="47" t="n">
        <v>46507</v>
      </c>
      <c r="D18" s="46"/>
      <c r="E18" s="52" t="s">
        <v>292</v>
      </c>
      <c r="F18" s="52"/>
      <c r="G18" s="52"/>
      <c r="H18" s="52"/>
      <c r="I18" s="52"/>
    </row>
    <row r="19" customFormat="false" ht="15" hidden="false" customHeight="false" outlineLevel="0" collapsed="false">
      <c r="A19" s="5" t="s">
        <v>1262</v>
      </c>
      <c r="B19" s="47" t="n">
        <v>46370</v>
      </c>
      <c r="C19" s="47" t="n">
        <v>46372</v>
      </c>
      <c r="D19" s="7"/>
      <c r="E19" s="52" t="s">
        <v>1263</v>
      </c>
      <c r="F19" s="52"/>
      <c r="G19" s="52"/>
      <c r="H19" s="52"/>
      <c r="I19" s="52"/>
    </row>
    <row r="20" customFormat="false" ht="15" hidden="false" customHeight="false" outlineLevel="0" collapsed="false">
      <c r="A20" s="5" t="s">
        <v>690</v>
      </c>
      <c r="B20" s="47" t="n">
        <v>46510</v>
      </c>
      <c r="C20" s="47" t="n">
        <v>46535</v>
      </c>
      <c r="D20" s="7"/>
      <c r="E20" s="52" t="s">
        <v>1264</v>
      </c>
      <c r="F20" s="52"/>
      <c r="G20" s="52"/>
      <c r="H20" s="52"/>
      <c r="I20" s="52"/>
    </row>
    <row r="22" customFormat="false" ht="15" hidden="false" customHeight="false" outlineLevel="0" collapsed="false">
      <c r="A22" s="4" t="s">
        <v>1265</v>
      </c>
    </row>
    <row r="23" customFormat="false" ht="15" hidden="false" customHeight="false" outlineLevel="0" collapsed="false">
      <c r="A23" s="12" t="s">
        <v>1266</v>
      </c>
    </row>
    <row r="24" customFormat="false" ht="18" hidden="false" customHeight="true" outlineLevel="0" collapsed="false">
      <c r="A24" s="9" t="s">
        <v>1267</v>
      </c>
      <c r="B24" s="9" t="s">
        <v>1268</v>
      </c>
      <c r="C24" s="9" t="s">
        <v>1240</v>
      </c>
      <c r="D24" s="9" t="s">
        <v>1269</v>
      </c>
      <c r="E24" s="9" t="s">
        <v>6</v>
      </c>
      <c r="F24" s="9" t="s">
        <v>1270</v>
      </c>
      <c r="G24" s="9" t="s">
        <v>1271</v>
      </c>
      <c r="I24" s="53" t="s">
        <v>6</v>
      </c>
      <c r="J24" s="53" t="s">
        <v>1240</v>
      </c>
      <c r="K24" s="53" t="s">
        <v>1272</v>
      </c>
    </row>
    <row r="25" customFormat="false" ht="15" hidden="false" customHeight="false" outlineLevel="0" collapsed="false">
      <c r="A25" s="46" t="n">
        <v>1</v>
      </c>
      <c r="B25" s="46" t="s">
        <v>1273</v>
      </c>
      <c r="C25" s="46" t="n">
        <v>4</v>
      </c>
      <c r="D25" s="7" t="s">
        <v>1274</v>
      </c>
      <c r="E25" s="7" t="s">
        <v>987</v>
      </c>
      <c r="F25" s="7" t="s">
        <v>1268</v>
      </c>
      <c r="G25" s="46"/>
      <c r="I25" s="7" t="s">
        <v>987</v>
      </c>
      <c r="J25" s="46" t="n">
        <f aca="false">SUMIF($E$25:$E$40,I25,$C$25:$C$40)</f>
        <v>9</v>
      </c>
      <c r="K25" s="54" t="n">
        <f aca="false">J25/$C$41</f>
        <v>0.25</v>
      </c>
    </row>
    <row r="26" customFormat="false" ht="15" hidden="false" customHeight="false" outlineLevel="0" collapsed="false">
      <c r="A26" s="46" t="n">
        <v>2</v>
      </c>
      <c r="B26" s="46" t="s">
        <v>1275</v>
      </c>
      <c r="C26" s="46" t="n">
        <v>3</v>
      </c>
      <c r="D26" s="7" t="s">
        <v>1274</v>
      </c>
      <c r="E26" s="7" t="s">
        <v>987</v>
      </c>
      <c r="F26" s="7" t="s">
        <v>1268</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1274</v>
      </c>
      <c r="E27" s="7" t="s">
        <v>987</v>
      </c>
      <c r="F27" s="7" t="s">
        <v>1276</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1274</v>
      </c>
      <c r="E28" s="7" t="s">
        <v>987</v>
      </c>
      <c r="F28" s="7" t="s">
        <v>1277</v>
      </c>
      <c r="G28" s="46"/>
      <c r="I28" s="7" t="s">
        <v>1004</v>
      </c>
      <c r="J28" s="46" t="n">
        <f aca="false">SUMIF($E$25:$E$40,I28,$C$25:$C$40)</f>
        <v>10</v>
      </c>
      <c r="K28" s="54" t="n">
        <f aca="false">J28/$C$41</f>
        <v>0.277777777777778</v>
      </c>
    </row>
    <row r="29" customFormat="false" ht="15" hidden="false" customHeight="false" outlineLevel="0" collapsed="false">
      <c r="A29" s="46" t="n">
        <v>5</v>
      </c>
      <c r="B29" s="46" t="s">
        <v>1275</v>
      </c>
      <c r="C29" s="46" t="n">
        <v>3</v>
      </c>
      <c r="D29" s="7" t="s">
        <v>1278</v>
      </c>
      <c r="E29" s="7" t="s">
        <v>993</v>
      </c>
      <c r="F29" s="7" t="s">
        <v>1268</v>
      </c>
      <c r="G29" s="46"/>
    </row>
    <row r="30" customFormat="false" ht="15" hidden="false" customHeight="false" outlineLevel="0" collapsed="false">
      <c r="A30" s="46" t="n">
        <v>6</v>
      </c>
      <c r="B30" s="46" t="s">
        <v>1273</v>
      </c>
      <c r="C30" s="46" t="n">
        <v>4</v>
      </c>
      <c r="D30" s="7" t="s">
        <v>1278</v>
      </c>
      <c r="E30" s="7" t="s">
        <v>993</v>
      </c>
      <c r="F30" s="7" t="s">
        <v>1268</v>
      </c>
      <c r="G30" s="46"/>
    </row>
    <row r="31" customFormat="false" ht="15" hidden="false" customHeight="false" outlineLevel="0" collapsed="false">
      <c r="A31" s="46" t="n">
        <v>7</v>
      </c>
      <c r="B31" s="46"/>
      <c r="C31" s="46" t="n">
        <v>1</v>
      </c>
      <c r="D31" s="7" t="s">
        <v>1278</v>
      </c>
      <c r="E31" s="7" t="s">
        <v>993</v>
      </c>
      <c r="F31" s="7" t="s">
        <v>1276</v>
      </c>
      <c r="G31" s="46"/>
    </row>
    <row r="32" customFormat="false" ht="15" hidden="false" customHeight="false" outlineLevel="0" collapsed="false">
      <c r="A32" s="46" t="n">
        <v>8</v>
      </c>
      <c r="B32" s="46"/>
      <c r="C32" s="46" t="n">
        <v>1</v>
      </c>
      <c r="D32" s="7" t="s">
        <v>1278</v>
      </c>
      <c r="E32" s="7" t="s">
        <v>993</v>
      </c>
      <c r="F32" s="7" t="s">
        <v>1276</v>
      </c>
      <c r="G32" s="46"/>
    </row>
    <row r="33" customFormat="false" ht="15" hidden="false" customHeight="false" outlineLevel="0" collapsed="false">
      <c r="A33" s="46" t="n">
        <v>9</v>
      </c>
      <c r="B33" s="46" t="s">
        <v>1273</v>
      </c>
      <c r="C33" s="46" t="n">
        <v>4</v>
      </c>
      <c r="D33" s="7" t="s">
        <v>1279</v>
      </c>
      <c r="E33" s="7" t="s">
        <v>998</v>
      </c>
      <c r="F33" s="7" t="s">
        <v>1268</v>
      </c>
      <c r="G33" s="46"/>
    </row>
    <row r="34" customFormat="false" ht="15" hidden="false" customHeight="false" outlineLevel="0" collapsed="false">
      <c r="A34" s="46" t="n">
        <v>10</v>
      </c>
      <c r="B34" s="46" t="s">
        <v>1275</v>
      </c>
      <c r="C34" s="46" t="n">
        <v>3</v>
      </c>
      <c r="D34" s="7" t="s">
        <v>1279</v>
      </c>
      <c r="E34" s="7" t="s">
        <v>998</v>
      </c>
      <c r="F34" s="7" t="s">
        <v>1268</v>
      </c>
      <c r="G34" s="46"/>
    </row>
    <row r="35" customFormat="false" ht="15" hidden="false" customHeight="false" outlineLevel="0" collapsed="false">
      <c r="A35" s="46" t="n">
        <v>11</v>
      </c>
      <c r="B35" s="46"/>
      <c r="C35" s="46" t="n">
        <v>1</v>
      </c>
      <c r="D35" s="7" t="s">
        <v>1279</v>
      </c>
      <c r="E35" s="7" t="s">
        <v>998</v>
      </c>
      <c r="F35" s="7" t="s">
        <v>1276</v>
      </c>
      <c r="G35" s="46"/>
    </row>
    <row r="36" customFormat="false" ht="15" hidden="false" customHeight="false" outlineLevel="0" collapsed="false">
      <c r="A36" s="46" t="n">
        <v>12</v>
      </c>
      <c r="B36" s="46" t="s">
        <v>1273</v>
      </c>
      <c r="C36" s="46" t="n">
        <v>4</v>
      </c>
      <c r="D36" s="7" t="s">
        <v>1280</v>
      </c>
      <c r="E36" s="7" t="s">
        <v>1004</v>
      </c>
      <c r="F36" s="7" t="s">
        <v>1268</v>
      </c>
      <c r="G36" s="46"/>
    </row>
    <row r="37" customFormat="false" ht="15" hidden="false" customHeight="false" outlineLevel="0" collapsed="false">
      <c r="A37" s="46" t="n">
        <v>13</v>
      </c>
      <c r="B37" s="46" t="s">
        <v>1281</v>
      </c>
      <c r="C37" s="46" t="n">
        <v>2</v>
      </c>
      <c r="D37" s="7" t="s">
        <v>1280</v>
      </c>
      <c r="E37" s="7" t="s">
        <v>1004</v>
      </c>
      <c r="F37" s="7" t="s">
        <v>1268</v>
      </c>
      <c r="G37" s="46"/>
    </row>
    <row r="38" customFormat="false" ht="15" hidden="false" customHeight="false" outlineLevel="0" collapsed="false">
      <c r="A38" s="46" t="n">
        <v>14</v>
      </c>
      <c r="B38" s="46"/>
      <c r="C38" s="46" t="n">
        <v>1</v>
      </c>
      <c r="D38" s="7" t="s">
        <v>1280</v>
      </c>
      <c r="E38" s="7" t="s">
        <v>1004</v>
      </c>
      <c r="F38" s="7" t="s">
        <v>1276</v>
      </c>
      <c r="G38" s="46"/>
    </row>
    <row r="39" customFormat="false" ht="15" hidden="false" customHeight="false" outlineLevel="0" collapsed="false">
      <c r="A39" s="46" t="n">
        <v>15</v>
      </c>
      <c r="B39" s="46" t="s">
        <v>1281</v>
      </c>
      <c r="C39" s="46" t="n">
        <v>2</v>
      </c>
      <c r="D39" s="7" t="s">
        <v>1280</v>
      </c>
      <c r="E39" s="7" t="s">
        <v>1004</v>
      </c>
      <c r="F39" s="7" t="s">
        <v>1268</v>
      </c>
      <c r="G39" s="46"/>
    </row>
    <row r="40" customFormat="false" ht="15" hidden="false" customHeight="false" outlineLevel="0" collapsed="false">
      <c r="A40" s="46" t="n">
        <v>16</v>
      </c>
      <c r="B40" s="46"/>
      <c r="C40" s="46" t="n">
        <v>1</v>
      </c>
      <c r="D40" s="7" t="s">
        <v>1280</v>
      </c>
      <c r="E40" s="7" t="s">
        <v>1004</v>
      </c>
      <c r="F40" s="7" t="s">
        <v>1277</v>
      </c>
      <c r="G40" s="46"/>
    </row>
    <row r="41" customFormat="false" ht="15" hidden="false" customHeight="false" outlineLevel="0" collapsed="false">
      <c r="B41" s="5" t="s">
        <v>1282</v>
      </c>
      <c r="C41" s="55" t="n">
        <f aca="false">SUM(C25:C40)</f>
        <v>36</v>
      </c>
    </row>
    <row r="44" customFormat="false" ht="15" hidden="false" customHeight="false" outlineLevel="0" collapsed="false">
      <c r="A44" s="4" t="s">
        <v>1283</v>
      </c>
    </row>
    <row r="45" customFormat="false" ht="15" hidden="false" customHeight="false" outlineLevel="0" collapsed="false">
      <c r="A45" s="12" t="s">
        <v>1266</v>
      </c>
    </row>
    <row r="46" customFormat="false" ht="18" hidden="false" customHeight="true" outlineLevel="0" collapsed="false">
      <c r="A46" s="9" t="s">
        <v>1267</v>
      </c>
      <c r="B46" s="9" t="s">
        <v>1268</v>
      </c>
      <c r="C46" s="9" t="s">
        <v>1240</v>
      </c>
      <c r="D46" s="9" t="s">
        <v>1269</v>
      </c>
      <c r="E46" s="9" t="s">
        <v>6</v>
      </c>
      <c r="F46" s="9" t="s">
        <v>1270</v>
      </c>
      <c r="G46" s="9" t="s">
        <v>1271</v>
      </c>
      <c r="I46" s="53" t="s">
        <v>6</v>
      </c>
      <c r="J46" s="53" t="s">
        <v>1240</v>
      </c>
      <c r="K46" s="53" t="s">
        <v>1272</v>
      </c>
    </row>
    <row r="47" customFormat="false" ht="15" hidden="false" customHeight="false" outlineLevel="0" collapsed="false">
      <c r="A47" s="46" t="n">
        <v>1</v>
      </c>
      <c r="B47" s="46" t="s">
        <v>1273</v>
      </c>
      <c r="C47" s="46" t="n">
        <v>4</v>
      </c>
      <c r="D47" s="7" t="s">
        <v>1284</v>
      </c>
      <c r="E47" s="7" t="s">
        <v>1008</v>
      </c>
      <c r="F47" s="7" t="s">
        <v>1268</v>
      </c>
      <c r="G47" s="46"/>
      <c r="I47" s="7" t="s">
        <v>1008</v>
      </c>
      <c r="J47" s="46" t="n">
        <f aca="false">SUMIF($E$47:$E$64,I47,$C$47:$C$64)</f>
        <v>12</v>
      </c>
      <c r="K47" s="54" t="n">
        <f aca="false">J47/$C$65</f>
        <v>0.352941176470588</v>
      </c>
    </row>
    <row r="48" customFormat="false" ht="15" hidden="false" customHeight="false" outlineLevel="0" collapsed="false">
      <c r="A48" s="46" t="n">
        <v>2</v>
      </c>
      <c r="B48" s="46" t="s">
        <v>1273</v>
      </c>
      <c r="C48" s="46" t="n">
        <v>4</v>
      </c>
      <c r="D48" s="7" t="s">
        <v>1284</v>
      </c>
      <c r="E48" s="7" t="s">
        <v>1008</v>
      </c>
      <c r="F48" s="7" t="s">
        <v>1268</v>
      </c>
      <c r="G48" s="46"/>
      <c r="I48" s="7" t="s">
        <v>1014</v>
      </c>
      <c r="J48" s="46" t="n">
        <f aca="false">SUMIF($E$47:$E$64,I48,$C$47:$C$64)</f>
        <v>9</v>
      </c>
      <c r="K48" s="54" t="n">
        <f aca="false">J48/$C$65</f>
        <v>0.264705882352941</v>
      </c>
    </row>
    <row r="49" customFormat="false" ht="15" hidden="false" customHeight="false" outlineLevel="0" collapsed="false">
      <c r="A49" s="46" t="n">
        <v>3</v>
      </c>
      <c r="B49" s="46"/>
      <c r="C49" s="46" t="n">
        <v>1</v>
      </c>
      <c r="D49" s="7" t="s">
        <v>1284</v>
      </c>
      <c r="E49" s="7" t="s">
        <v>1008</v>
      </c>
      <c r="F49" s="7" t="s">
        <v>1276</v>
      </c>
      <c r="G49" s="46"/>
      <c r="I49" s="7" t="s">
        <v>1018</v>
      </c>
      <c r="J49" s="46" t="n">
        <f aca="false">SUMIF($E$47:$E$64,I49,$C$47:$C$64)</f>
        <v>13</v>
      </c>
      <c r="K49" s="54" t="n">
        <f aca="false">J49/$C$65</f>
        <v>0.382352941176471</v>
      </c>
    </row>
    <row r="50" customFormat="false" ht="15" hidden="false" customHeight="false" outlineLevel="0" collapsed="false">
      <c r="A50" s="46" t="n">
        <v>4</v>
      </c>
      <c r="B50" s="46"/>
      <c r="C50" s="46" t="n">
        <v>1</v>
      </c>
      <c r="D50" s="7" t="s">
        <v>1284</v>
      </c>
      <c r="E50" s="7" t="s">
        <v>1008</v>
      </c>
      <c r="F50" s="7" t="s">
        <v>1276</v>
      </c>
      <c r="G50" s="46"/>
    </row>
    <row r="51" customFormat="false" ht="15" hidden="false" customHeight="false" outlineLevel="0" collapsed="false">
      <c r="A51" s="46" t="n">
        <v>5</v>
      </c>
      <c r="B51" s="46"/>
      <c r="C51" s="46" t="n">
        <v>1</v>
      </c>
      <c r="D51" s="7" t="s">
        <v>1284</v>
      </c>
      <c r="E51" s="7" t="s">
        <v>1008</v>
      </c>
      <c r="F51" s="7" t="s">
        <v>1277</v>
      </c>
      <c r="G51" s="46"/>
    </row>
    <row r="52" customFormat="false" ht="15" hidden="false" customHeight="false" outlineLevel="0" collapsed="false">
      <c r="A52" s="46" t="n">
        <v>6</v>
      </c>
      <c r="B52" s="46"/>
      <c r="C52" s="46" t="n">
        <v>1</v>
      </c>
      <c r="D52" s="7" t="s">
        <v>1284</v>
      </c>
      <c r="E52" s="7" t="s">
        <v>1008</v>
      </c>
      <c r="F52" s="7" t="s">
        <v>1277</v>
      </c>
      <c r="G52" s="46" t="s">
        <v>1285</v>
      </c>
    </row>
    <row r="53" customFormat="false" ht="15" hidden="false" customHeight="false" outlineLevel="0" collapsed="false">
      <c r="A53" s="46" t="n">
        <v>7</v>
      </c>
      <c r="B53" s="46" t="s">
        <v>1275</v>
      </c>
      <c r="C53" s="46" t="n">
        <v>3</v>
      </c>
      <c r="D53" s="7" t="s">
        <v>1286</v>
      </c>
      <c r="E53" s="7" t="s">
        <v>1014</v>
      </c>
      <c r="F53" s="7" t="s">
        <v>1268</v>
      </c>
      <c r="G53" s="46"/>
    </row>
    <row r="54" customFormat="false" ht="15" hidden="false" customHeight="false" outlineLevel="0" collapsed="false">
      <c r="A54" s="46" t="n">
        <v>8</v>
      </c>
      <c r="B54" s="46" t="s">
        <v>1281</v>
      </c>
      <c r="C54" s="46" t="n">
        <v>2</v>
      </c>
      <c r="D54" s="7" t="s">
        <v>1286</v>
      </c>
      <c r="E54" s="7" t="s">
        <v>1014</v>
      </c>
      <c r="F54" s="7" t="s">
        <v>1268</v>
      </c>
      <c r="G54" s="46"/>
    </row>
    <row r="55" customFormat="false" ht="15" hidden="false" customHeight="false" outlineLevel="0" collapsed="false">
      <c r="A55" s="46" t="n">
        <v>9</v>
      </c>
      <c r="B55" s="46" t="s">
        <v>1281</v>
      </c>
      <c r="C55" s="46" t="n">
        <v>2</v>
      </c>
      <c r="D55" s="7" t="s">
        <v>1286</v>
      </c>
      <c r="E55" s="7" t="s">
        <v>1014</v>
      </c>
      <c r="F55" s="7" t="s">
        <v>1268</v>
      </c>
      <c r="G55" s="46"/>
    </row>
    <row r="56" customFormat="false" ht="15" hidden="false" customHeight="false" outlineLevel="0" collapsed="false">
      <c r="A56" s="46" t="n">
        <v>10</v>
      </c>
      <c r="B56" s="46"/>
      <c r="C56" s="46" t="n">
        <v>1</v>
      </c>
      <c r="D56" s="7" t="s">
        <v>1286</v>
      </c>
      <c r="E56" s="7" t="s">
        <v>1014</v>
      </c>
      <c r="F56" s="7" t="s">
        <v>1277</v>
      </c>
      <c r="G56" s="46"/>
    </row>
    <row r="57" customFormat="false" ht="15" hidden="false" customHeight="false" outlineLevel="0" collapsed="false">
      <c r="A57" s="46" t="n">
        <v>11</v>
      </c>
      <c r="B57" s="46"/>
      <c r="C57" s="46" t="n">
        <v>1</v>
      </c>
      <c r="D57" s="7" t="s">
        <v>1286</v>
      </c>
      <c r="E57" s="7" t="s">
        <v>1014</v>
      </c>
      <c r="F57" s="7" t="s">
        <v>1276</v>
      </c>
      <c r="G57" s="46"/>
    </row>
    <row r="58" customFormat="false" ht="15" hidden="false" customHeight="false" outlineLevel="0" collapsed="false">
      <c r="A58" s="46" t="n">
        <v>12</v>
      </c>
      <c r="B58" s="46" t="s">
        <v>1273</v>
      </c>
      <c r="C58" s="46" t="n">
        <v>4</v>
      </c>
      <c r="D58" s="7" t="s">
        <v>1287</v>
      </c>
      <c r="E58" s="7" t="s">
        <v>1018</v>
      </c>
      <c r="F58" s="7" t="s">
        <v>1268</v>
      </c>
      <c r="G58" s="46"/>
    </row>
    <row r="59" customFormat="false" ht="15" hidden="false" customHeight="false" outlineLevel="0" collapsed="false">
      <c r="A59" s="46" t="n">
        <v>13</v>
      </c>
      <c r="B59" s="46" t="s">
        <v>1275</v>
      </c>
      <c r="C59" s="46" t="n">
        <v>3</v>
      </c>
      <c r="D59" s="7" t="s">
        <v>1287</v>
      </c>
      <c r="E59" s="7" t="s">
        <v>1018</v>
      </c>
      <c r="F59" s="7" t="s">
        <v>1268</v>
      </c>
      <c r="G59" s="46"/>
    </row>
    <row r="60" customFormat="false" ht="15" hidden="false" customHeight="false" outlineLevel="0" collapsed="false">
      <c r="A60" s="46" t="n">
        <v>14</v>
      </c>
      <c r="B60" s="46" t="s">
        <v>1281</v>
      </c>
      <c r="C60" s="46" t="n">
        <v>2</v>
      </c>
      <c r="D60" s="7" t="s">
        <v>1287</v>
      </c>
      <c r="E60" s="7" t="s">
        <v>1018</v>
      </c>
      <c r="F60" s="7" t="s">
        <v>1268</v>
      </c>
      <c r="G60" s="46"/>
    </row>
    <row r="61" customFormat="false" ht="15" hidden="false" customHeight="false" outlineLevel="0" collapsed="false">
      <c r="A61" s="46" t="n">
        <v>15</v>
      </c>
      <c r="B61" s="46"/>
      <c r="C61" s="46" t="n">
        <v>1</v>
      </c>
      <c r="D61" s="7" t="s">
        <v>1287</v>
      </c>
      <c r="E61" s="7" t="s">
        <v>1018</v>
      </c>
      <c r="F61" s="7" t="s">
        <v>1276</v>
      </c>
      <c r="G61" s="46"/>
    </row>
    <row r="62" customFormat="false" ht="15" hidden="false" customHeight="false" outlineLevel="0" collapsed="false">
      <c r="A62" s="46" t="n">
        <v>16</v>
      </c>
      <c r="B62" s="46"/>
      <c r="C62" s="46" t="n">
        <v>1</v>
      </c>
      <c r="D62" s="7" t="s">
        <v>1287</v>
      </c>
      <c r="E62" s="7" t="s">
        <v>1018</v>
      </c>
      <c r="F62" s="7" t="s">
        <v>1276</v>
      </c>
      <c r="G62" s="46"/>
    </row>
    <row r="63" customFormat="false" ht="15" hidden="false" customHeight="false" outlineLevel="0" collapsed="false">
      <c r="A63" s="46" t="n">
        <v>17</v>
      </c>
      <c r="B63" s="46"/>
      <c r="C63" s="46" t="n">
        <v>1</v>
      </c>
      <c r="D63" s="7" t="s">
        <v>1287</v>
      </c>
      <c r="E63" s="7" t="s">
        <v>1018</v>
      </c>
      <c r="F63" s="7" t="s">
        <v>1277</v>
      </c>
      <c r="G63" s="46"/>
    </row>
    <row r="64" customFormat="false" ht="15" hidden="false" customHeight="false" outlineLevel="0" collapsed="false">
      <c r="A64" s="46" t="n">
        <v>18</v>
      </c>
      <c r="B64" s="46"/>
      <c r="C64" s="46" t="n">
        <v>1</v>
      </c>
      <c r="D64" s="7" t="s">
        <v>1287</v>
      </c>
      <c r="E64" s="7" t="s">
        <v>1018</v>
      </c>
      <c r="F64" s="7" t="s">
        <v>1277</v>
      </c>
      <c r="G64" s="46" t="s">
        <v>1285</v>
      </c>
    </row>
    <row r="65" customFormat="false" ht="15" hidden="false" customHeight="false" outlineLevel="0" collapsed="false">
      <c r="B65" s="5" t="s">
        <v>1282</v>
      </c>
      <c r="C65" s="55" t="n">
        <f aca="false">SUM(C47:C64)</f>
        <v>34</v>
      </c>
    </row>
    <row r="68" customFormat="false" ht="15" hidden="false" customHeight="false" outlineLevel="0" collapsed="false">
      <c r="A68" s="4" t="s">
        <v>1288</v>
      </c>
    </row>
    <row r="69" customFormat="false" ht="15" hidden="false" customHeight="false" outlineLevel="0" collapsed="false">
      <c r="A69" s="12" t="s">
        <v>1289</v>
      </c>
    </row>
    <row r="70" customFormat="false" ht="18" hidden="false" customHeight="true" outlineLevel="0" collapsed="false">
      <c r="A70" s="9" t="s">
        <v>1267</v>
      </c>
      <c r="B70" s="9" t="s">
        <v>1268</v>
      </c>
      <c r="C70" s="9" t="s">
        <v>1240</v>
      </c>
      <c r="D70" s="9" t="s">
        <v>1269</v>
      </c>
      <c r="E70" s="9" t="s">
        <v>6</v>
      </c>
      <c r="F70" s="9" t="s">
        <v>1270</v>
      </c>
      <c r="G70" s="9" t="s">
        <v>1271</v>
      </c>
      <c r="I70" s="53" t="s">
        <v>6</v>
      </c>
      <c r="J70" s="53" t="s">
        <v>1240</v>
      </c>
      <c r="K70" s="53" t="s">
        <v>1272</v>
      </c>
    </row>
    <row r="71" customFormat="false" ht="15" hidden="false" customHeight="false" outlineLevel="0" collapsed="false">
      <c r="A71" s="46" t="n">
        <v>1</v>
      </c>
      <c r="B71" s="46"/>
      <c r="C71" s="46" t="n">
        <v>1</v>
      </c>
      <c r="D71" s="7" t="s">
        <v>1290</v>
      </c>
      <c r="E71" s="7" t="s">
        <v>1023</v>
      </c>
      <c r="F71" s="7" t="s">
        <v>1277</v>
      </c>
      <c r="G71" s="46"/>
      <c r="I71" s="7" t="s">
        <v>1023</v>
      </c>
      <c r="J71" s="46" t="n">
        <f aca="false">SUMIF($E$71:$E$89,I71,$C$71:$C$89)</f>
        <v>10</v>
      </c>
      <c r="K71" s="54" t="n">
        <f aca="false">J71/$C$90</f>
        <v>0.416666666666667</v>
      </c>
    </row>
    <row r="72" customFormat="false" ht="15" hidden="false" customHeight="false" outlineLevel="0" collapsed="false">
      <c r="A72" s="46" t="n">
        <v>2</v>
      </c>
      <c r="B72" s="46"/>
      <c r="C72" s="46" t="n">
        <v>1</v>
      </c>
      <c r="D72" s="7" t="s">
        <v>1290</v>
      </c>
      <c r="E72" s="7" t="s">
        <v>1023</v>
      </c>
      <c r="F72" s="7" t="s">
        <v>1277</v>
      </c>
      <c r="G72" s="46"/>
      <c r="I72" s="7" t="s">
        <v>1029</v>
      </c>
      <c r="J72" s="46" t="n">
        <f aca="false">SUMIF($E$71:$E$89,I72,$C$71:$C$89)</f>
        <v>8</v>
      </c>
      <c r="K72" s="54" t="n">
        <f aca="false">J72/$C$90</f>
        <v>0.333333333333333</v>
      </c>
    </row>
    <row r="73" customFormat="false" ht="15" hidden="false" customHeight="false" outlineLevel="0" collapsed="false">
      <c r="A73" s="46" t="n">
        <v>3</v>
      </c>
      <c r="B73" s="46"/>
      <c r="C73" s="46" t="n">
        <v>1</v>
      </c>
      <c r="D73" s="7" t="s">
        <v>1290</v>
      </c>
      <c r="E73" s="7" t="s">
        <v>1023</v>
      </c>
      <c r="F73" s="7" t="s">
        <v>1276</v>
      </c>
      <c r="G73" s="46"/>
      <c r="I73" s="7" t="s">
        <v>1034</v>
      </c>
      <c r="J73" s="46" t="n">
        <f aca="false">SUMIF($E$71:$E$89,I73,$C$71:$C$89)</f>
        <v>6</v>
      </c>
      <c r="K73" s="54" t="n">
        <f aca="false">J73/$C$90</f>
        <v>0.25</v>
      </c>
    </row>
    <row r="74" customFormat="false" ht="15" hidden="false" customHeight="false" outlineLevel="0" collapsed="false">
      <c r="A74" s="46" t="n">
        <v>4</v>
      </c>
      <c r="B74" s="46" t="s">
        <v>1281</v>
      </c>
      <c r="C74" s="46" t="n">
        <v>2</v>
      </c>
      <c r="D74" s="7" t="s">
        <v>1290</v>
      </c>
      <c r="E74" s="7" t="s">
        <v>1023</v>
      </c>
      <c r="F74" s="7" t="s">
        <v>1268</v>
      </c>
      <c r="G74" s="46"/>
    </row>
    <row r="75" customFormat="false" ht="15" hidden="false" customHeight="false" outlineLevel="0" collapsed="false">
      <c r="A75" s="46" t="n">
        <v>5</v>
      </c>
      <c r="B75" s="46"/>
      <c r="C75" s="46" t="n">
        <v>1</v>
      </c>
      <c r="D75" s="7" t="s">
        <v>1290</v>
      </c>
      <c r="E75" s="7" t="s">
        <v>1023</v>
      </c>
      <c r="F75" s="7" t="s">
        <v>1277</v>
      </c>
      <c r="G75" s="46"/>
    </row>
    <row r="76" customFormat="false" ht="15" hidden="false" customHeight="false" outlineLevel="0" collapsed="false">
      <c r="A76" s="46" t="n">
        <v>6</v>
      </c>
      <c r="B76" s="46" t="s">
        <v>1281</v>
      </c>
      <c r="C76" s="46" t="n">
        <v>2</v>
      </c>
      <c r="D76" s="7" t="s">
        <v>1290</v>
      </c>
      <c r="E76" s="7" t="s">
        <v>1023</v>
      </c>
      <c r="F76" s="7" t="s">
        <v>1268</v>
      </c>
      <c r="G76" s="46"/>
    </row>
    <row r="77" customFormat="false" ht="15" hidden="false" customHeight="false" outlineLevel="0" collapsed="false">
      <c r="A77" s="46" t="n">
        <v>7</v>
      </c>
      <c r="B77" s="46"/>
      <c r="C77" s="46" t="n">
        <v>1</v>
      </c>
      <c r="D77" s="7" t="s">
        <v>1290</v>
      </c>
      <c r="E77" s="7" t="s">
        <v>1023</v>
      </c>
      <c r="F77" s="7" t="s">
        <v>1277</v>
      </c>
      <c r="G77" s="46"/>
    </row>
    <row r="78" customFormat="false" ht="15" hidden="false" customHeight="false" outlineLevel="0" collapsed="false">
      <c r="A78" s="46" t="n">
        <v>8</v>
      </c>
      <c r="B78" s="46"/>
      <c r="C78" s="46" t="n">
        <v>1</v>
      </c>
      <c r="D78" s="7" t="s">
        <v>1290</v>
      </c>
      <c r="E78" s="7" t="s">
        <v>1023</v>
      </c>
      <c r="F78" s="7" t="s">
        <v>1277</v>
      </c>
      <c r="G78" s="46" t="s">
        <v>1285</v>
      </c>
    </row>
    <row r="79" customFormat="false" ht="15" hidden="false" customHeight="false" outlineLevel="0" collapsed="false">
      <c r="A79" s="46" t="n">
        <v>9</v>
      </c>
      <c r="B79" s="46"/>
      <c r="C79" s="46" t="n">
        <v>1</v>
      </c>
      <c r="D79" s="7" t="s">
        <v>1291</v>
      </c>
      <c r="E79" s="7" t="s">
        <v>1029</v>
      </c>
      <c r="F79" s="7" t="s">
        <v>1277</v>
      </c>
      <c r="G79" s="46"/>
    </row>
    <row r="80" customFormat="false" ht="15" hidden="false" customHeight="false" outlineLevel="0" collapsed="false">
      <c r="A80" s="46" t="n">
        <v>10</v>
      </c>
      <c r="B80" s="46"/>
      <c r="C80" s="46" t="n">
        <v>1</v>
      </c>
      <c r="D80" s="7" t="s">
        <v>1291</v>
      </c>
      <c r="E80" s="7" t="s">
        <v>1029</v>
      </c>
      <c r="F80" s="7" t="s">
        <v>1276</v>
      </c>
      <c r="G80" s="46"/>
    </row>
    <row r="81" customFormat="false" ht="15" hidden="false" customHeight="false" outlineLevel="0" collapsed="false">
      <c r="A81" s="46" t="n">
        <v>11</v>
      </c>
      <c r="B81" s="46"/>
      <c r="C81" s="46" t="n">
        <v>1</v>
      </c>
      <c r="D81" s="7" t="s">
        <v>1291</v>
      </c>
      <c r="E81" s="7" t="s">
        <v>1029</v>
      </c>
      <c r="F81" s="7" t="s">
        <v>1277</v>
      </c>
      <c r="G81" s="46"/>
    </row>
    <row r="82" customFormat="false" ht="15" hidden="false" customHeight="false" outlineLevel="0" collapsed="false">
      <c r="A82" s="46" t="n">
        <v>12</v>
      </c>
      <c r="B82" s="46"/>
      <c r="C82" s="46" t="n">
        <v>1</v>
      </c>
      <c r="D82" s="7" t="s">
        <v>1291</v>
      </c>
      <c r="E82" s="7" t="s">
        <v>1029</v>
      </c>
      <c r="F82" s="7" t="s">
        <v>1277</v>
      </c>
      <c r="G82" s="46"/>
    </row>
    <row r="83" customFormat="false" ht="15" hidden="false" customHeight="false" outlineLevel="0" collapsed="false">
      <c r="A83" s="46" t="n">
        <v>13</v>
      </c>
      <c r="B83" s="46"/>
      <c r="C83" s="46" t="n">
        <v>1</v>
      </c>
      <c r="D83" s="7" t="s">
        <v>1291</v>
      </c>
      <c r="E83" s="7" t="s">
        <v>1029</v>
      </c>
      <c r="F83" s="7" t="s">
        <v>1277</v>
      </c>
      <c r="G83" s="46"/>
    </row>
    <row r="84" customFormat="false" ht="15" hidden="false" customHeight="false" outlineLevel="0" collapsed="false">
      <c r="A84" s="46" t="n">
        <v>14</v>
      </c>
      <c r="B84" s="46"/>
      <c r="C84" s="46" t="n">
        <v>1</v>
      </c>
      <c r="D84" s="7" t="s">
        <v>1291</v>
      </c>
      <c r="E84" s="7" t="s">
        <v>1029</v>
      </c>
      <c r="F84" s="7" t="s">
        <v>1276</v>
      </c>
      <c r="G84" s="46"/>
    </row>
    <row r="85" customFormat="false" ht="15" hidden="false" customHeight="false" outlineLevel="0" collapsed="false">
      <c r="A85" s="46" t="n">
        <v>15</v>
      </c>
      <c r="B85" s="46" t="s">
        <v>1281</v>
      </c>
      <c r="C85" s="46" t="n">
        <v>2</v>
      </c>
      <c r="D85" s="7" t="s">
        <v>1291</v>
      </c>
      <c r="E85" s="7" t="s">
        <v>1029</v>
      </c>
      <c r="F85" s="7" t="s">
        <v>1268</v>
      </c>
      <c r="G85" s="46"/>
    </row>
    <row r="86" customFormat="false" ht="15" hidden="false" customHeight="false" outlineLevel="0" collapsed="false">
      <c r="A86" s="46" t="n">
        <v>16</v>
      </c>
      <c r="B86" s="46" t="s">
        <v>1281</v>
      </c>
      <c r="C86" s="46" t="n">
        <v>2</v>
      </c>
      <c r="D86" s="7" t="s">
        <v>1292</v>
      </c>
      <c r="E86" s="7" t="s">
        <v>1034</v>
      </c>
      <c r="F86" s="7" t="s">
        <v>1268</v>
      </c>
      <c r="G86" s="46"/>
    </row>
    <row r="87" customFormat="false" ht="15" hidden="false" customHeight="false" outlineLevel="0" collapsed="false">
      <c r="A87" s="46" t="n">
        <v>17</v>
      </c>
      <c r="B87" s="46" t="s">
        <v>1281</v>
      </c>
      <c r="C87" s="46" t="n">
        <v>2</v>
      </c>
      <c r="D87" s="7" t="s">
        <v>1292</v>
      </c>
      <c r="E87" s="7" t="s">
        <v>1034</v>
      </c>
      <c r="F87" s="7" t="s">
        <v>1268</v>
      </c>
      <c r="G87" s="46"/>
    </row>
    <row r="88" customFormat="false" ht="15" hidden="false" customHeight="false" outlineLevel="0" collapsed="false">
      <c r="A88" s="46" t="n">
        <v>18</v>
      </c>
      <c r="B88" s="46"/>
      <c r="C88" s="46" t="n">
        <v>1</v>
      </c>
      <c r="D88" s="7" t="s">
        <v>1292</v>
      </c>
      <c r="E88" s="7" t="s">
        <v>1034</v>
      </c>
      <c r="F88" s="7" t="s">
        <v>1277</v>
      </c>
      <c r="G88" s="46"/>
    </row>
    <row r="89" customFormat="false" ht="15" hidden="false" customHeight="false" outlineLevel="0" collapsed="false">
      <c r="A89" s="46" t="n">
        <v>19</v>
      </c>
      <c r="B89" s="46"/>
      <c r="C89" s="46" t="n">
        <v>1</v>
      </c>
      <c r="D89" s="7" t="s">
        <v>1292</v>
      </c>
      <c r="E89" s="7" t="s">
        <v>1034</v>
      </c>
      <c r="F89" s="7" t="s">
        <v>1277</v>
      </c>
      <c r="G89" s="46" t="s">
        <v>1285</v>
      </c>
    </row>
    <row r="90" customFormat="false" ht="15" hidden="false" customHeight="false" outlineLevel="0" collapsed="false">
      <c r="B90" s="5" t="s">
        <v>1282</v>
      </c>
      <c r="C90" s="55" t="n">
        <f aca="false">SUM(C71:C89)</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1293</v>
      </c>
      <c r="B1" s="56"/>
      <c r="C1" s="56"/>
      <c r="D1" s="56"/>
      <c r="E1" s="56"/>
    </row>
    <row r="2" customFormat="false" ht="15" hidden="false" customHeight="false" outlineLevel="0" collapsed="false">
      <c r="A2" s="57" t="s">
        <v>1294</v>
      </c>
      <c r="B2" s="57" t="s">
        <v>1295</v>
      </c>
      <c r="C2" s="57" t="s">
        <v>1296</v>
      </c>
      <c r="D2" s="57" t="s">
        <v>1297</v>
      </c>
      <c r="E2" s="57" t="s">
        <v>1298</v>
      </c>
    </row>
    <row r="3" customFormat="false" ht="66" hidden="false" customHeight="true" outlineLevel="0" collapsed="false">
      <c r="A3" s="58" t="s">
        <v>1299</v>
      </c>
      <c r="B3" s="58" t="s">
        <v>1300</v>
      </c>
      <c r="C3" s="59" t="s">
        <v>1301</v>
      </c>
      <c r="D3" s="59" t="s">
        <v>1302</v>
      </c>
      <c r="E3" s="59" t="s">
        <v>1303</v>
      </c>
    </row>
    <row r="4" customFormat="false" ht="66" hidden="false" customHeight="true" outlineLevel="0" collapsed="false">
      <c r="A4" s="59" t="s">
        <v>1304</v>
      </c>
      <c r="B4" s="59" t="s">
        <v>1305</v>
      </c>
      <c r="C4" s="59" t="s">
        <v>1306</v>
      </c>
      <c r="D4" s="60"/>
      <c r="E4" s="60"/>
    </row>
    <row r="6" customFormat="false" ht="17.35" hidden="false" customHeight="false" outlineLevel="0" collapsed="false">
      <c r="A6" s="56" t="s">
        <v>1307</v>
      </c>
      <c r="B6" s="56"/>
      <c r="C6" s="56"/>
      <c r="D6" s="56"/>
      <c r="E6" s="56"/>
    </row>
    <row r="7" customFormat="false" ht="15" hidden="false" customHeight="false" outlineLevel="0" collapsed="false">
      <c r="A7" s="57" t="s">
        <v>1294</v>
      </c>
      <c r="B7" s="57" t="s">
        <v>1295</v>
      </c>
      <c r="C7" s="57" t="s">
        <v>1296</v>
      </c>
      <c r="D7" s="57" t="s">
        <v>1297</v>
      </c>
      <c r="E7" s="57" t="s">
        <v>1298</v>
      </c>
    </row>
    <row r="8" customFormat="false" ht="66" hidden="false" customHeight="true" outlineLevel="0" collapsed="false">
      <c r="A8" s="60"/>
      <c r="B8" s="60"/>
      <c r="C8" s="60"/>
      <c r="D8" s="61" t="s">
        <v>1308</v>
      </c>
      <c r="E8" s="61" t="s">
        <v>1309</v>
      </c>
    </row>
    <row r="9" customFormat="false" ht="66" hidden="false" customHeight="true" outlineLevel="0" collapsed="false">
      <c r="A9" s="59" t="s">
        <v>1310</v>
      </c>
      <c r="B9" s="59" t="s">
        <v>1311</v>
      </c>
      <c r="C9" s="59" t="s">
        <v>1312</v>
      </c>
      <c r="D9" s="61" t="s">
        <v>1313</v>
      </c>
      <c r="E9" s="59" t="s">
        <v>1314</v>
      </c>
    </row>
    <row r="10" customFormat="false" ht="66" hidden="false" customHeight="true" outlineLevel="0" collapsed="false">
      <c r="A10" s="62" t="s">
        <v>1315</v>
      </c>
      <c r="B10" s="61" t="s">
        <v>1316</v>
      </c>
      <c r="C10" s="61" t="s">
        <v>1317</v>
      </c>
      <c r="D10" s="63" t="s">
        <v>1318</v>
      </c>
      <c r="E10" s="64" t="s">
        <v>1319</v>
      </c>
    </row>
    <row r="11" customFormat="false" ht="66" hidden="false" customHeight="true" outlineLevel="0" collapsed="false">
      <c r="A11" s="64" t="s">
        <v>1320</v>
      </c>
      <c r="B11" s="64" t="s">
        <v>1321</v>
      </c>
      <c r="C11" s="64" t="s">
        <v>1322</v>
      </c>
      <c r="D11" s="64" t="s">
        <v>1323</v>
      </c>
      <c r="E11" s="64" t="s">
        <v>1324</v>
      </c>
    </row>
    <row r="12" customFormat="false" ht="66" hidden="false" customHeight="true" outlineLevel="0" collapsed="false">
      <c r="A12" s="63" t="s">
        <v>1325</v>
      </c>
      <c r="B12" s="63" t="s">
        <v>1326</v>
      </c>
      <c r="C12" s="59" t="s">
        <v>1327</v>
      </c>
      <c r="D12" s="59" t="s">
        <v>1328</v>
      </c>
      <c r="E12" s="59" t="s">
        <v>1329</v>
      </c>
    </row>
    <row r="14" customFormat="false" ht="17.35" hidden="false" customHeight="false" outlineLevel="0" collapsed="false">
      <c r="A14" s="56" t="s">
        <v>1330</v>
      </c>
      <c r="B14" s="56"/>
      <c r="C14" s="56"/>
      <c r="D14" s="56"/>
      <c r="E14" s="56"/>
    </row>
    <row r="15" customFormat="false" ht="15" hidden="false" customHeight="false" outlineLevel="0" collapsed="false">
      <c r="A15" s="57" t="s">
        <v>1294</v>
      </c>
      <c r="B15" s="57" t="s">
        <v>1295</v>
      </c>
      <c r="C15" s="57" t="s">
        <v>1296</v>
      </c>
      <c r="D15" s="57" t="s">
        <v>1297</v>
      </c>
      <c r="E15" s="57" t="s">
        <v>1298</v>
      </c>
    </row>
    <row r="16" customFormat="false" ht="66" hidden="false" customHeight="true" outlineLevel="0" collapsed="false">
      <c r="A16" s="60"/>
      <c r="B16" s="60"/>
      <c r="C16" s="60"/>
      <c r="D16" s="60"/>
      <c r="E16" s="60"/>
    </row>
    <row r="17" customFormat="false" ht="66" hidden="false" customHeight="true" outlineLevel="0" collapsed="false">
      <c r="A17" s="59" t="s">
        <v>1331</v>
      </c>
      <c r="B17" s="59" t="s">
        <v>1332</v>
      </c>
      <c r="C17" s="59" t="s">
        <v>1333</v>
      </c>
      <c r="D17" s="63" t="s">
        <v>1334</v>
      </c>
      <c r="E17" s="63" t="s">
        <v>1335</v>
      </c>
    </row>
    <row r="18" customFormat="false" ht="66" hidden="false" customHeight="true" outlineLevel="0" collapsed="false">
      <c r="A18" s="64" t="s">
        <v>1336</v>
      </c>
      <c r="B18" s="64" t="s">
        <v>1337</v>
      </c>
      <c r="C18" s="62" t="s">
        <v>1338</v>
      </c>
      <c r="D18" s="64" t="s">
        <v>1339</v>
      </c>
      <c r="E18" s="64" t="s">
        <v>1340</v>
      </c>
    </row>
    <row r="19" customFormat="false" ht="66" hidden="false" customHeight="true" outlineLevel="0" collapsed="false">
      <c r="A19" s="64" t="s">
        <v>1341</v>
      </c>
      <c r="B19" s="64" t="s">
        <v>1342</v>
      </c>
      <c r="C19" s="64" t="s">
        <v>1343</v>
      </c>
      <c r="D19" s="64" t="s">
        <v>1344</v>
      </c>
      <c r="E19" s="61" t="s">
        <v>1345</v>
      </c>
    </row>
    <row r="20" customFormat="false" ht="66" hidden="false" customHeight="true" outlineLevel="0" collapsed="false">
      <c r="A20" s="62" t="s">
        <v>1346</v>
      </c>
      <c r="B20" s="62" t="s">
        <v>1347</v>
      </c>
      <c r="C20" s="62" t="s">
        <v>1348</v>
      </c>
      <c r="D20" s="62" t="s">
        <v>1349</v>
      </c>
      <c r="E20" s="62" t="s">
        <v>1350</v>
      </c>
    </row>
    <row r="21" customFormat="false" ht="66" hidden="false" customHeight="true" outlineLevel="0" collapsed="false">
      <c r="A21" s="63" t="s">
        <v>1351</v>
      </c>
      <c r="B21" s="60"/>
      <c r="C21" s="60"/>
      <c r="D21" s="60"/>
      <c r="E21" s="60"/>
    </row>
    <row r="23" customFormat="false" ht="17.35" hidden="false" customHeight="false" outlineLevel="0" collapsed="false">
      <c r="A23" s="56" t="s">
        <v>1352</v>
      </c>
      <c r="B23" s="56"/>
      <c r="C23" s="56"/>
      <c r="D23" s="56"/>
      <c r="E23" s="56"/>
    </row>
    <row r="24" customFormat="false" ht="15" hidden="false" customHeight="false" outlineLevel="0" collapsed="false">
      <c r="A24" s="57" t="s">
        <v>1294</v>
      </c>
      <c r="B24" s="57" t="s">
        <v>1295</v>
      </c>
      <c r="C24" s="57" t="s">
        <v>1296</v>
      </c>
      <c r="D24" s="57" t="s">
        <v>1297</v>
      </c>
      <c r="E24" s="57" t="s">
        <v>1298</v>
      </c>
    </row>
    <row r="25" customFormat="false" ht="66" hidden="false" customHeight="true" outlineLevel="0" collapsed="false">
      <c r="A25" s="60"/>
      <c r="B25" s="63" t="s">
        <v>1353</v>
      </c>
      <c r="C25" s="61" t="s">
        <v>1354</v>
      </c>
      <c r="D25" s="59" t="s">
        <v>1355</v>
      </c>
      <c r="E25" s="59" t="s">
        <v>1356</v>
      </c>
    </row>
    <row r="26" customFormat="false" ht="66" hidden="false" customHeight="true" outlineLevel="0" collapsed="false">
      <c r="A26" s="59" t="s">
        <v>1357</v>
      </c>
      <c r="B26" s="59" t="s">
        <v>1358</v>
      </c>
      <c r="C26" s="59" t="s">
        <v>1359</v>
      </c>
      <c r="D26" s="63" t="s">
        <v>1360</v>
      </c>
      <c r="E26" s="63" t="s">
        <v>1361</v>
      </c>
    </row>
    <row r="27" customFormat="false" ht="66" hidden="false" customHeight="true" outlineLevel="0" collapsed="false">
      <c r="A27" s="61" t="s">
        <v>1362</v>
      </c>
      <c r="B27" s="61" t="s">
        <v>1363</v>
      </c>
      <c r="C27" s="61" t="s">
        <v>1364</v>
      </c>
      <c r="D27" s="64" t="s">
        <v>1365</v>
      </c>
      <c r="E27" s="64" t="s">
        <v>1366</v>
      </c>
    </row>
    <row r="28" customFormat="false" ht="66" hidden="false" customHeight="true" outlineLevel="0" collapsed="false">
      <c r="A28" s="62" t="s">
        <v>1367</v>
      </c>
      <c r="B28" s="62" t="s">
        <v>1368</v>
      </c>
      <c r="C28" s="62" t="s">
        <v>1346</v>
      </c>
      <c r="D28" s="62" t="s">
        <v>1347</v>
      </c>
      <c r="E28" s="62" t="s">
        <v>1348</v>
      </c>
    </row>
    <row r="29" customFormat="false" ht="66" hidden="false" customHeight="true" outlineLevel="0" collapsed="false">
      <c r="A29" s="62" t="s">
        <v>1369</v>
      </c>
      <c r="B29" s="62" t="s">
        <v>1370</v>
      </c>
      <c r="C29" s="62" t="s">
        <v>1371</v>
      </c>
      <c r="D29" s="62" t="s">
        <v>1372</v>
      </c>
      <c r="E29" s="60"/>
    </row>
    <row r="31" customFormat="false" ht="17.35" hidden="false" customHeight="false" outlineLevel="0" collapsed="false">
      <c r="A31" s="56" t="s">
        <v>1373</v>
      </c>
      <c r="B31" s="56"/>
      <c r="C31" s="56"/>
      <c r="D31" s="56"/>
      <c r="E31" s="56"/>
    </row>
    <row r="32" customFormat="false" ht="15" hidden="false" customHeight="false" outlineLevel="0" collapsed="false">
      <c r="A32" s="57" t="s">
        <v>1294</v>
      </c>
      <c r="B32" s="57" t="s">
        <v>1295</v>
      </c>
      <c r="C32" s="57" t="s">
        <v>1296</v>
      </c>
      <c r="D32" s="57" t="s">
        <v>1297</v>
      </c>
      <c r="E32" s="57" t="s">
        <v>1298</v>
      </c>
    </row>
    <row r="33" customFormat="false" ht="66" hidden="false" customHeight="true" outlineLevel="0" collapsed="false">
      <c r="A33" s="60"/>
      <c r="B33" s="60"/>
      <c r="C33" s="60"/>
      <c r="D33" s="60"/>
      <c r="E33" s="62" t="s">
        <v>1374</v>
      </c>
    </row>
    <row r="34" customFormat="false" ht="66" hidden="false" customHeight="true" outlineLevel="0" collapsed="false">
      <c r="A34" s="62" t="s">
        <v>1375</v>
      </c>
      <c r="B34" s="62" t="s">
        <v>1376</v>
      </c>
      <c r="C34" s="64" t="s">
        <v>1377</v>
      </c>
      <c r="D34" s="64" t="s">
        <v>1378</v>
      </c>
      <c r="E34" s="64" t="s">
        <v>1379</v>
      </c>
    </row>
    <row r="35" customFormat="false" ht="66" hidden="false" customHeight="true" outlineLevel="0" collapsed="false">
      <c r="A35" s="59" t="s">
        <v>1380</v>
      </c>
      <c r="B35" s="59" t="s">
        <v>1381</v>
      </c>
      <c r="C35" s="61" t="s">
        <v>1316</v>
      </c>
      <c r="D35" s="61" t="s">
        <v>1382</v>
      </c>
      <c r="E35" s="61" t="s">
        <v>1383</v>
      </c>
    </row>
    <row r="36" customFormat="false" ht="66" hidden="false" customHeight="true" outlineLevel="0" collapsed="false">
      <c r="A36" s="62" t="s">
        <v>1384</v>
      </c>
      <c r="B36" s="61" t="s">
        <v>1385</v>
      </c>
      <c r="C36" s="61" t="s">
        <v>1345</v>
      </c>
      <c r="D36" s="63" t="s">
        <v>1386</v>
      </c>
      <c r="E36" s="63" t="s">
        <v>1387</v>
      </c>
    </row>
    <row r="37" customFormat="false" ht="66" hidden="false" customHeight="true" outlineLevel="0" collapsed="false">
      <c r="A37" s="64" t="s">
        <v>1388</v>
      </c>
      <c r="B37" s="64" t="s">
        <v>1389</v>
      </c>
      <c r="C37" s="64" t="s">
        <v>1390</v>
      </c>
      <c r="D37" s="64" t="s">
        <v>1391</v>
      </c>
      <c r="E37" s="64" t="s">
        <v>1392</v>
      </c>
    </row>
    <row r="39" customFormat="false" ht="17.35" hidden="false" customHeight="false" outlineLevel="0" collapsed="false">
      <c r="A39" s="56" t="s">
        <v>1393</v>
      </c>
      <c r="B39" s="56"/>
      <c r="C39" s="56"/>
      <c r="D39" s="56"/>
      <c r="E39" s="56"/>
    </row>
    <row r="40" customFormat="false" ht="15" hidden="false" customHeight="false" outlineLevel="0" collapsed="false">
      <c r="A40" s="57" t="s">
        <v>1294</v>
      </c>
      <c r="B40" s="57" t="s">
        <v>1295</v>
      </c>
      <c r="C40" s="57" t="s">
        <v>1296</v>
      </c>
      <c r="D40" s="57" t="s">
        <v>1297</v>
      </c>
      <c r="E40" s="57" t="s">
        <v>1298</v>
      </c>
    </row>
    <row r="41" customFormat="false" ht="66" hidden="false" customHeight="true" outlineLevel="0" collapsed="false">
      <c r="A41" s="64" t="s">
        <v>1394</v>
      </c>
      <c r="B41" s="64" t="s">
        <v>1395</v>
      </c>
      <c r="C41" s="64" t="s">
        <v>1396</v>
      </c>
      <c r="D41" s="63" t="s">
        <v>1397</v>
      </c>
      <c r="E41" s="63" t="s">
        <v>1398</v>
      </c>
    </row>
    <row r="42" customFormat="false" ht="66" hidden="false" customHeight="true" outlineLevel="0" collapsed="false">
      <c r="A42" s="59" t="s">
        <v>1399</v>
      </c>
      <c r="B42" s="59" t="s">
        <v>1400</v>
      </c>
      <c r="C42" s="59" t="s">
        <v>1401</v>
      </c>
      <c r="D42" s="59" t="s">
        <v>1402</v>
      </c>
      <c r="E42" s="59" t="s">
        <v>1403</v>
      </c>
    </row>
    <row r="43" customFormat="false" ht="66" hidden="false" customHeight="true" outlineLevel="0" collapsed="false">
      <c r="A43" s="62" t="s">
        <v>1404</v>
      </c>
      <c r="B43" s="59" t="s">
        <v>1405</v>
      </c>
      <c r="C43" s="59" t="s">
        <v>1406</v>
      </c>
      <c r="D43" s="63" t="s">
        <v>1407</v>
      </c>
      <c r="E43" s="63" t="s">
        <v>1408</v>
      </c>
    </row>
    <row r="44" customFormat="false" ht="66" hidden="false" customHeight="true" outlineLevel="0" collapsed="false">
      <c r="A44" s="61" t="s">
        <v>1409</v>
      </c>
      <c r="B44" s="64" t="s">
        <v>1410</v>
      </c>
      <c r="C44" s="64" t="s">
        <v>1411</v>
      </c>
      <c r="D44" s="64" t="s">
        <v>1412</v>
      </c>
      <c r="E44" s="64" t="s">
        <v>1413</v>
      </c>
    </row>
    <row r="46" customFormat="false" ht="17.35" hidden="false" customHeight="false" outlineLevel="0" collapsed="false">
      <c r="A46" s="56" t="s">
        <v>1414</v>
      </c>
      <c r="B46" s="56"/>
      <c r="C46" s="56"/>
      <c r="D46" s="56"/>
      <c r="E46" s="56"/>
    </row>
    <row r="47" customFormat="false" ht="15" hidden="false" customHeight="false" outlineLevel="0" collapsed="false">
      <c r="A47" s="57" t="s">
        <v>1294</v>
      </c>
      <c r="B47" s="57" t="s">
        <v>1295</v>
      </c>
      <c r="C47" s="57" t="s">
        <v>1296</v>
      </c>
      <c r="D47" s="57" t="s">
        <v>1297</v>
      </c>
      <c r="E47" s="57" t="s">
        <v>1298</v>
      </c>
    </row>
    <row r="48" customFormat="false" ht="66" hidden="false" customHeight="true" outlineLevel="0" collapsed="false">
      <c r="A48" s="61" t="s">
        <v>1415</v>
      </c>
      <c r="B48" s="64" t="s">
        <v>1416</v>
      </c>
      <c r="C48" s="64" t="s">
        <v>1417</v>
      </c>
      <c r="D48" s="61" t="s">
        <v>1418</v>
      </c>
      <c r="E48" s="62" t="s">
        <v>1376</v>
      </c>
    </row>
    <row r="49" customFormat="false" ht="66" hidden="false" customHeight="true" outlineLevel="0" collapsed="false">
      <c r="A49" s="63" t="s">
        <v>1419</v>
      </c>
      <c r="B49" s="63" t="s">
        <v>1420</v>
      </c>
      <c r="C49" s="61" t="s">
        <v>1421</v>
      </c>
      <c r="D49" s="59" t="s">
        <v>1422</v>
      </c>
      <c r="E49" s="59" t="s">
        <v>1423</v>
      </c>
    </row>
    <row r="50" customFormat="false" ht="66" hidden="false" customHeight="true" outlineLevel="0" collapsed="false">
      <c r="A50" s="59" t="s">
        <v>1424</v>
      </c>
      <c r="B50" s="59" t="s">
        <v>1425</v>
      </c>
      <c r="C50" s="59" t="s">
        <v>1426</v>
      </c>
      <c r="D50" s="59" t="s">
        <v>1427</v>
      </c>
      <c r="E50" s="59" t="s">
        <v>1428</v>
      </c>
    </row>
    <row r="51" customFormat="false" ht="66" hidden="false" customHeight="true" outlineLevel="0" collapsed="false">
      <c r="A51" s="62" t="s">
        <v>1368</v>
      </c>
      <c r="B51" s="62" t="s">
        <v>1346</v>
      </c>
      <c r="C51" s="62" t="s">
        <v>1347</v>
      </c>
      <c r="D51" s="62" t="s">
        <v>1348</v>
      </c>
      <c r="E51" s="62" t="s">
        <v>1349</v>
      </c>
    </row>
    <row r="52" customFormat="false" ht="66" hidden="false" customHeight="true" outlineLevel="0" collapsed="false">
      <c r="A52" s="63" t="s">
        <v>1429</v>
      </c>
      <c r="B52" s="63" t="s">
        <v>1430</v>
      </c>
      <c r="C52" s="64" t="s">
        <v>1431</v>
      </c>
      <c r="D52" s="60"/>
      <c r="E52" s="60"/>
    </row>
    <row r="54" customFormat="false" ht="17.35" hidden="false" customHeight="false" outlineLevel="0" collapsed="false">
      <c r="A54" s="56" t="s">
        <v>1432</v>
      </c>
      <c r="B54" s="56"/>
      <c r="C54" s="56"/>
      <c r="D54" s="56"/>
      <c r="E54" s="56"/>
    </row>
    <row r="55" customFormat="false" ht="15" hidden="false" customHeight="false" outlineLevel="0" collapsed="false">
      <c r="A55" s="57" t="s">
        <v>1294</v>
      </c>
      <c r="B55" s="57" t="s">
        <v>1295</v>
      </c>
      <c r="C55" s="57" t="s">
        <v>1296</v>
      </c>
      <c r="D55" s="57" t="s">
        <v>1297</v>
      </c>
      <c r="E55" s="57" t="s">
        <v>1298</v>
      </c>
    </row>
    <row r="56" customFormat="false" ht="66" hidden="false" customHeight="true" outlineLevel="0" collapsed="false">
      <c r="A56" s="60"/>
      <c r="B56" s="60"/>
      <c r="C56" s="60"/>
      <c r="D56" s="64" t="s">
        <v>1433</v>
      </c>
      <c r="E56" s="64" t="s">
        <v>1434</v>
      </c>
    </row>
    <row r="57" customFormat="false" ht="66" hidden="false" customHeight="true" outlineLevel="0" collapsed="false">
      <c r="A57" s="63" t="s">
        <v>1435</v>
      </c>
      <c r="B57" s="63" t="s">
        <v>1436</v>
      </c>
      <c r="C57" s="59" t="s">
        <v>1437</v>
      </c>
      <c r="D57" s="59" t="s">
        <v>1438</v>
      </c>
      <c r="E57" s="59" t="s">
        <v>1439</v>
      </c>
    </row>
    <row r="58" customFormat="false" ht="66" hidden="false" customHeight="true" outlineLevel="0" collapsed="false">
      <c r="A58" s="59" t="s">
        <v>1440</v>
      </c>
      <c r="B58" s="59" t="s">
        <v>1441</v>
      </c>
      <c r="C58" s="59" t="s">
        <v>1442</v>
      </c>
      <c r="D58" s="59" t="s">
        <v>1443</v>
      </c>
      <c r="E58" s="62" t="s">
        <v>1444</v>
      </c>
    </row>
    <row r="59" customFormat="false" ht="66" hidden="false" customHeight="true" outlineLevel="0" collapsed="false">
      <c r="A59" s="59" t="s">
        <v>1445</v>
      </c>
      <c r="B59" s="64" t="s">
        <v>1446</v>
      </c>
      <c r="C59" s="64" t="s">
        <v>1447</v>
      </c>
      <c r="D59" s="63" t="s">
        <v>1448</v>
      </c>
      <c r="E59" s="63" t="s">
        <v>1449</v>
      </c>
    </row>
    <row r="60" customFormat="false" ht="66" hidden="false" customHeight="true" outlineLevel="0" collapsed="false">
      <c r="A60" s="59" t="s">
        <v>1450</v>
      </c>
      <c r="B60" s="59" t="s">
        <v>1451</v>
      </c>
      <c r="C60" s="61" t="s">
        <v>1452</v>
      </c>
      <c r="D60" s="63" t="s">
        <v>1453</v>
      </c>
      <c r="E60" s="63" t="s">
        <v>1454</v>
      </c>
    </row>
    <row r="62" customFormat="false" ht="17.35" hidden="false" customHeight="false" outlineLevel="0" collapsed="false">
      <c r="A62" s="56" t="s">
        <v>1455</v>
      </c>
      <c r="B62" s="56"/>
      <c r="C62" s="56"/>
      <c r="D62" s="56"/>
      <c r="E62" s="56"/>
    </row>
    <row r="63" customFormat="false" ht="15" hidden="false" customHeight="false" outlineLevel="0" collapsed="false">
      <c r="A63" s="57" t="s">
        <v>1294</v>
      </c>
      <c r="B63" s="57" t="s">
        <v>1295</v>
      </c>
      <c r="C63" s="57" t="s">
        <v>1296</v>
      </c>
      <c r="D63" s="57" t="s">
        <v>1297</v>
      </c>
      <c r="E63" s="57" t="s">
        <v>1298</v>
      </c>
    </row>
    <row r="64" customFormat="false" ht="66" hidden="false" customHeight="true" outlineLevel="0" collapsed="false">
      <c r="A64" s="60"/>
      <c r="B64" s="60"/>
      <c r="C64" s="60"/>
      <c r="D64" s="60"/>
      <c r="E64" s="60"/>
    </row>
    <row r="65" customFormat="false" ht="66" hidden="false" customHeight="true" outlineLevel="0" collapsed="false">
      <c r="A65" s="61" t="s">
        <v>1456</v>
      </c>
      <c r="B65" s="61" t="s">
        <v>1457</v>
      </c>
      <c r="C65" s="61" t="s">
        <v>1458</v>
      </c>
      <c r="D65" s="61" t="s">
        <v>1459</v>
      </c>
      <c r="E65" s="61" t="s">
        <v>1460</v>
      </c>
    </row>
    <row r="66" customFormat="false" ht="66" hidden="false" customHeight="true" outlineLevel="0" collapsed="false">
      <c r="A66" s="61" t="s">
        <v>1461</v>
      </c>
      <c r="B66" s="61" t="s">
        <v>1462</v>
      </c>
      <c r="C66" s="61" t="s">
        <v>1463</v>
      </c>
      <c r="D66" s="61" t="s">
        <v>1464</v>
      </c>
      <c r="E66" s="61" t="s">
        <v>1465</v>
      </c>
    </row>
    <row r="67" customFormat="false" ht="66" hidden="false" customHeight="true" outlineLevel="0" collapsed="false">
      <c r="A67" s="61" t="s">
        <v>1466</v>
      </c>
      <c r="B67" s="61" t="s">
        <v>1467</v>
      </c>
      <c r="C67" s="61" t="s">
        <v>1468</v>
      </c>
      <c r="D67" s="61" t="s">
        <v>1469</v>
      </c>
      <c r="E67" s="61" t="s">
        <v>1470</v>
      </c>
    </row>
    <row r="68" customFormat="false" ht="66" hidden="false" customHeight="true" outlineLevel="0" collapsed="false">
      <c r="A68" s="61" t="s">
        <v>1471</v>
      </c>
      <c r="B68" s="61" t="s">
        <v>1472</v>
      </c>
      <c r="C68" s="61" t="s">
        <v>1473</v>
      </c>
      <c r="D68" s="61" t="s">
        <v>1474</v>
      </c>
      <c r="E68" s="61" t="s">
        <v>1475</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1476</v>
      </c>
      <c r="E1" s="9" t="s">
        <v>1477</v>
      </c>
    </row>
    <row r="2" customFormat="false" ht="15" hidden="false" customHeight="false" outlineLevel="0" collapsed="false">
      <c r="A2" s="46" t="n">
        <v>3</v>
      </c>
      <c r="B2" s="5" t="s">
        <v>40</v>
      </c>
      <c r="C2" s="65" t="n">
        <v>46288</v>
      </c>
      <c r="D2" s="66" t="s">
        <v>1478</v>
      </c>
      <c r="E2" s="6" t="s">
        <v>1479</v>
      </c>
    </row>
    <row r="3" customFormat="false" ht="15" hidden="false" customHeight="false" outlineLevel="0" collapsed="false">
      <c r="A3" s="46" t="n">
        <v>3</v>
      </c>
      <c r="B3" s="5" t="s">
        <v>40</v>
      </c>
      <c r="C3" s="65" t="n">
        <v>46288</v>
      </c>
      <c r="D3" s="66" t="s">
        <v>1480</v>
      </c>
      <c r="E3" s="6" t="s">
        <v>1481</v>
      </c>
    </row>
    <row r="4" customFormat="false" ht="15" hidden="false" customHeight="false" outlineLevel="0" collapsed="false">
      <c r="A4" s="46" t="n">
        <v>3</v>
      </c>
      <c r="B4" s="5" t="s">
        <v>40</v>
      </c>
      <c r="C4" s="65" t="n">
        <v>46288</v>
      </c>
      <c r="D4" s="66" t="s">
        <v>1482</v>
      </c>
      <c r="E4" s="6" t="s">
        <v>1483</v>
      </c>
    </row>
    <row r="5" customFormat="false" ht="15" hidden="false" customHeight="false" outlineLevel="0" collapsed="false">
      <c r="A5" s="46" t="n">
        <v>3</v>
      </c>
      <c r="B5" s="5" t="s">
        <v>40</v>
      </c>
      <c r="C5" s="65" t="n">
        <v>46288</v>
      </c>
      <c r="D5" s="66" t="s">
        <v>1484</v>
      </c>
      <c r="E5" s="6" t="s">
        <v>1485</v>
      </c>
    </row>
    <row r="6" customFormat="false" ht="15" hidden="false" customHeight="false" outlineLevel="0" collapsed="false">
      <c r="A6" s="46" t="n">
        <v>3</v>
      </c>
      <c r="B6" s="5" t="s">
        <v>40</v>
      </c>
      <c r="C6" s="65" t="n">
        <v>46288</v>
      </c>
      <c r="D6" s="66" t="s">
        <v>1486</v>
      </c>
      <c r="E6" s="6" t="s">
        <v>1487</v>
      </c>
    </row>
    <row r="7" customFormat="false" ht="15" hidden="false" customHeight="false" outlineLevel="0" collapsed="false">
      <c r="A7" s="46" t="n">
        <v>3</v>
      </c>
      <c r="B7" s="5" t="s">
        <v>40</v>
      </c>
      <c r="C7" s="65" t="n">
        <v>46288</v>
      </c>
      <c r="D7" s="66" t="s">
        <v>1488</v>
      </c>
      <c r="E7" s="6" t="s">
        <v>1489</v>
      </c>
    </row>
    <row r="8" customFormat="false" ht="15" hidden="false" customHeight="false" outlineLevel="0" collapsed="false">
      <c r="A8" s="46" t="n">
        <v>3</v>
      </c>
      <c r="B8" s="5" t="s">
        <v>40</v>
      </c>
      <c r="C8" s="65" t="n">
        <v>46288</v>
      </c>
      <c r="D8" s="66" t="s">
        <v>1490</v>
      </c>
      <c r="E8" s="6" t="s">
        <v>1491</v>
      </c>
    </row>
    <row r="9" customFormat="false" ht="15" hidden="false" customHeight="false" outlineLevel="0" collapsed="false">
      <c r="A9" s="46" t="n">
        <v>3</v>
      </c>
      <c r="B9" s="5" t="s">
        <v>53</v>
      </c>
      <c r="C9" s="65" t="n">
        <v>46289</v>
      </c>
      <c r="D9" s="66" t="s">
        <v>1492</v>
      </c>
      <c r="E9" s="6" t="s">
        <v>1493</v>
      </c>
    </row>
    <row r="10" customFormat="false" ht="15" hidden="false" customHeight="false" outlineLevel="0" collapsed="false">
      <c r="A10" s="46" t="n">
        <v>3</v>
      </c>
      <c r="B10" s="5" t="s">
        <v>53</v>
      </c>
      <c r="C10" s="65" t="n">
        <v>46289</v>
      </c>
      <c r="D10" s="66" t="s">
        <v>1494</v>
      </c>
      <c r="E10" s="6" t="s">
        <v>1495</v>
      </c>
    </row>
    <row r="11" customFormat="false" ht="15" hidden="false" customHeight="false" outlineLevel="0" collapsed="false">
      <c r="A11" s="46" t="n">
        <v>3</v>
      </c>
      <c r="B11" s="5" t="s">
        <v>53</v>
      </c>
      <c r="C11" s="65" t="n">
        <v>46289</v>
      </c>
      <c r="D11" s="66" t="s">
        <v>1496</v>
      </c>
      <c r="E11" s="6" t="s">
        <v>1497</v>
      </c>
    </row>
    <row r="12" customFormat="false" ht="15" hidden="false" customHeight="false" outlineLevel="0" collapsed="false">
      <c r="A12" s="46" t="n">
        <v>3</v>
      </c>
      <c r="B12" s="5" t="s">
        <v>64</v>
      </c>
      <c r="C12" s="65" t="n">
        <v>46290</v>
      </c>
      <c r="D12" s="66" t="s">
        <v>1498</v>
      </c>
      <c r="E12" s="6" t="s">
        <v>1499</v>
      </c>
    </row>
    <row r="13" customFormat="false" ht="15" hidden="false" customHeight="false" outlineLevel="0" collapsed="false">
      <c r="A13" s="46" t="n">
        <v>3</v>
      </c>
      <c r="B13" s="5" t="s">
        <v>64</v>
      </c>
      <c r="C13" s="65" t="n">
        <v>46290</v>
      </c>
      <c r="D13" s="66" t="s">
        <v>1500</v>
      </c>
      <c r="E13" s="6" t="s">
        <v>1501</v>
      </c>
    </row>
    <row r="14" customFormat="false" ht="15" hidden="false" customHeight="false" outlineLevel="0" collapsed="false">
      <c r="A14" s="46" t="n">
        <v>3</v>
      </c>
      <c r="B14" s="5" t="s">
        <v>64</v>
      </c>
      <c r="C14" s="65" t="n">
        <v>46290</v>
      </c>
      <c r="D14" s="66" t="s">
        <v>1502</v>
      </c>
      <c r="E14" s="6" t="s">
        <v>1503</v>
      </c>
    </row>
    <row r="15" customFormat="false" ht="15" hidden="false" customHeight="false" outlineLevel="0" collapsed="false">
      <c r="A15" s="46" t="n">
        <v>3</v>
      </c>
      <c r="B15" s="5" t="s">
        <v>75</v>
      </c>
      <c r="C15" s="65" t="n">
        <v>46293</v>
      </c>
      <c r="D15" s="66" t="s">
        <v>1504</v>
      </c>
      <c r="E15" s="6" t="s">
        <v>1505</v>
      </c>
    </row>
    <row r="16" customFormat="false" ht="15" hidden="false" customHeight="false" outlineLevel="0" collapsed="false">
      <c r="A16" s="46" t="n">
        <v>3</v>
      </c>
      <c r="B16" s="5" t="s">
        <v>75</v>
      </c>
      <c r="C16" s="65" t="n">
        <v>46293</v>
      </c>
      <c r="D16" s="66" t="s">
        <v>1506</v>
      </c>
      <c r="E16" s="6" t="s">
        <v>1507</v>
      </c>
    </row>
    <row r="17" customFormat="false" ht="23.85" hidden="false" customHeight="false" outlineLevel="0" collapsed="false">
      <c r="A17" s="46" t="n">
        <v>3</v>
      </c>
      <c r="B17" s="5" t="s">
        <v>75</v>
      </c>
      <c r="C17" s="65" t="n">
        <v>46293</v>
      </c>
      <c r="D17" s="66" t="s">
        <v>1508</v>
      </c>
      <c r="E17" s="6" t="s">
        <v>1509</v>
      </c>
    </row>
    <row r="18" customFormat="false" ht="15" hidden="false" customHeight="false" outlineLevel="0" collapsed="false">
      <c r="A18" s="46" t="n">
        <v>3</v>
      </c>
      <c r="B18" s="5" t="s">
        <v>88</v>
      </c>
      <c r="C18" s="65" t="n">
        <v>46294</v>
      </c>
      <c r="D18" s="66" t="s">
        <v>1510</v>
      </c>
      <c r="E18" s="6" t="s">
        <v>1511</v>
      </c>
    </row>
    <row r="19" customFormat="false" ht="23.85" hidden="false" customHeight="false" outlineLevel="0" collapsed="false">
      <c r="A19" s="46" t="n">
        <v>3</v>
      </c>
      <c r="B19" s="5" t="s">
        <v>88</v>
      </c>
      <c r="C19" s="65" t="n">
        <v>46294</v>
      </c>
      <c r="D19" s="66" t="s">
        <v>1512</v>
      </c>
      <c r="E19" s="6" t="s">
        <v>1513</v>
      </c>
    </row>
    <row r="20" customFormat="false" ht="15" hidden="false" customHeight="false" outlineLevel="0" collapsed="false">
      <c r="A20" s="46" t="n">
        <v>3</v>
      </c>
      <c r="B20" s="5" t="s">
        <v>97</v>
      </c>
      <c r="C20" s="65" t="n">
        <v>46295</v>
      </c>
      <c r="D20" s="66" t="s">
        <v>1514</v>
      </c>
      <c r="E20" s="6" t="s">
        <v>1515</v>
      </c>
    </row>
    <row r="21" customFormat="false" ht="15" hidden="false" customHeight="false" outlineLevel="0" collapsed="false">
      <c r="A21" s="46" t="n">
        <v>3</v>
      </c>
      <c r="B21" s="5" t="s">
        <v>97</v>
      </c>
      <c r="C21" s="65" t="n">
        <v>46295</v>
      </c>
      <c r="D21" s="66" t="s">
        <v>1516</v>
      </c>
      <c r="E21" s="6" t="s">
        <v>1517</v>
      </c>
    </row>
    <row r="22" customFormat="false" ht="15" hidden="false" customHeight="false" outlineLevel="0" collapsed="false">
      <c r="A22" s="46" t="n">
        <v>3</v>
      </c>
      <c r="B22" s="5" t="s">
        <v>110</v>
      </c>
      <c r="C22" s="65" t="n">
        <v>46300</v>
      </c>
      <c r="D22" s="66" t="s">
        <v>1518</v>
      </c>
      <c r="E22" s="6" t="s">
        <v>1519</v>
      </c>
    </row>
    <row r="23" customFormat="false" ht="15" hidden="false" customHeight="false" outlineLevel="0" collapsed="false">
      <c r="A23" s="46" t="n">
        <v>3</v>
      </c>
      <c r="B23" s="5" t="s">
        <v>110</v>
      </c>
      <c r="C23" s="65" t="n">
        <v>46300</v>
      </c>
      <c r="D23" s="66" t="s">
        <v>1520</v>
      </c>
      <c r="E23" s="6" t="s">
        <v>1521</v>
      </c>
    </row>
    <row r="24" customFormat="false" ht="15" hidden="false" customHeight="false" outlineLevel="0" collapsed="false">
      <c r="A24" s="46" t="n">
        <v>3</v>
      </c>
      <c r="B24" s="5" t="s">
        <v>110</v>
      </c>
      <c r="C24" s="65" t="n">
        <v>46300</v>
      </c>
      <c r="D24" s="66" t="s">
        <v>1522</v>
      </c>
      <c r="E24" s="6" t="s">
        <v>1523</v>
      </c>
    </row>
    <row r="25" customFormat="false" ht="23.85" hidden="false" customHeight="false" outlineLevel="0" collapsed="false">
      <c r="A25" s="46" t="n">
        <v>3</v>
      </c>
      <c r="B25" s="5" t="s">
        <v>121</v>
      </c>
      <c r="C25" s="65" t="n">
        <v>46301</v>
      </c>
      <c r="D25" s="66" t="s">
        <v>1504</v>
      </c>
      <c r="E25" s="6" t="s">
        <v>1524</v>
      </c>
    </row>
    <row r="26" customFormat="false" ht="15" hidden="false" customHeight="false" outlineLevel="0" collapsed="false">
      <c r="A26" s="46" t="n">
        <v>3</v>
      </c>
      <c r="B26" s="5" t="s">
        <v>121</v>
      </c>
      <c r="C26" s="65" t="n">
        <v>46301</v>
      </c>
      <c r="D26" s="66" t="s">
        <v>1525</v>
      </c>
      <c r="E26" s="6" t="s">
        <v>1526</v>
      </c>
    </row>
    <row r="27" customFormat="false" ht="15" hidden="false" customHeight="false" outlineLevel="0" collapsed="false">
      <c r="A27" s="46" t="n">
        <v>3</v>
      </c>
      <c r="B27" s="5" t="s">
        <v>130</v>
      </c>
      <c r="C27" s="65" t="n">
        <v>46302</v>
      </c>
      <c r="D27" s="66" t="s">
        <v>1527</v>
      </c>
      <c r="E27" s="6" t="s">
        <v>1528</v>
      </c>
    </row>
    <row r="28" customFormat="false" ht="15" hidden="false" customHeight="false" outlineLevel="0" collapsed="false">
      <c r="A28" s="46" t="n">
        <v>3</v>
      </c>
      <c r="B28" s="5" t="s">
        <v>130</v>
      </c>
      <c r="C28" s="65" t="n">
        <v>46302</v>
      </c>
      <c r="D28" s="66" t="s">
        <v>1529</v>
      </c>
      <c r="E28" s="6" t="s">
        <v>1530</v>
      </c>
    </row>
    <row r="29" customFormat="false" ht="15" hidden="false" customHeight="false" outlineLevel="0" collapsed="false">
      <c r="A29" s="46" t="n">
        <v>3</v>
      </c>
      <c r="B29" s="5" t="s">
        <v>130</v>
      </c>
      <c r="C29" s="65" t="n">
        <v>46302</v>
      </c>
      <c r="D29" s="66" t="s">
        <v>1520</v>
      </c>
      <c r="E29" s="6" t="s">
        <v>1531</v>
      </c>
    </row>
    <row r="30" customFormat="false" ht="15" hidden="false" customHeight="false" outlineLevel="0" collapsed="false">
      <c r="A30" s="46" t="n">
        <v>3</v>
      </c>
      <c r="B30" s="5" t="s">
        <v>144</v>
      </c>
      <c r="C30" s="65" t="n">
        <v>46304</v>
      </c>
      <c r="D30" s="66" t="s">
        <v>1532</v>
      </c>
      <c r="E30" s="6" t="s">
        <v>1533</v>
      </c>
    </row>
    <row r="31" customFormat="false" ht="15" hidden="false" customHeight="false" outlineLevel="0" collapsed="false">
      <c r="A31" s="46" t="n">
        <v>3</v>
      </c>
      <c r="B31" s="5" t="s">
        <v>144</v>
      </c>
      <c r="C31" s="65" t="n">
        <v>46304</v>
      </c>
      <c r="D31" s="66" t="s">
        <v>1527</v>
      </c>
      <c r="E31" s="6" t="s">
        <v>1534</v>
      </c>
    </row>
    <row r="32" customFormat="false" ht="15" hidden="false" customHeight="false" outlineLevel="0" collapsed="false">
      <c r="A32" s="46" t="n">
        <v>4</v>
      </c>
      <c r="B32" s="5" t="s">
        <v>158</v>
      </c>
      <c r="C32" s="65" t="n">
        <v>46311</v>
      </c>
      <c r="D32" s="66" t="s">
        <v>1527</v>
      </c>
      <c r="E32" s="6" t="s">
        <v>1535</v>
      </c>
    </row>
    <row r="33" customFormat="false" ht="15" hidden="false" customHeight="false" outlineLevel="0" collapsed="false">
      <c r="A33" s="46" t="n">
        <v>4</v>
      </c>
      <c r="B33" s="5" t="s">
        <v>158</v>
      </c>
      <c r="C33" s="65" t="n">
        <v>46311</v>
      </c>
      <c r="D33" s="66" t="s">
        <v>1520</v>
      </c>
      <c r="E33" s="6" t="s">
        <v>1536</v>
      </c>
    </row>
    <row r="34" customFormat="false" ht="23.85" hidden="false" customHeight="false" outlineLevel="0" collapsed="false">
      <c r="A34" s="46" t="n">
        <v>4</v>
      </c>
      <c r="B34" s="5" t="s">
        <v>158</v>
      </c>
      <c r="C34" s="65" t="n">
        <v>46311</v>
      </c>
      <c r="D34" s="66" t="s">
        <v>1537</v>
      </c>
      <c r="E34" s="6" t="s">
        <v>1538</v>
      </c>
    </row>
    <row r="35" customFormat="false" ht="15" hidden="false" customHeight="false" outlineLevel="0" collapsed="false">
      <c r="A35" s="46" t="n">
        <v>4</v>
      </c>
      <c r="B35" s="5" t="s">
        <v>169</v>
      </c>
      <c r="C35" s="65" t="n">
        <v>46314</v>
      </c>
      <c r="D35" s="66" t="s">
        <v>1484</v>
      </c>
      <c r="E35" s="6" t="s">
        <v>1539</v>
      </c>
    </row>
    <row r="36" customFormat="false" ht="15" hidden="false" customHeight="false" outlineLevel="0" collapsed="false">
      <c r="A36" s="46" t="n">
        <v>4</v>
      </c>
      <c r="B36" s="5" t="s">
        <v>169</v>
      </c>
      <c r="C36" s="65" t="n">
        <v>46314</v>
      </c>
      <c r="D36" s="66" t="s">
        <v>1492</v>
      </c>
      <c r="E36" s="6" t="s">
        <v>1540</v>
      </c>
    </row>
    <row r="37" customFormat="false" ht="15" hidden="false" customHeight="false" outlineLevel="0" collapsed="false">
      <c r="A37" s="46" t="n">
        <v>4</v>
      </c>
      <c r="B37" s="5" t="s">
        <v>169</v>
      </c>
      <c r="C37" s="65" t="n">
        <v>46314</v>
      </c>
      <c r="D37" s="66" t="s">
        <v>1541</v>
      </c>
      <c r="E37" s="6" t="s">
        <v>1542</v>
      </c>
    </row>
    <row r="38" customFormat="false" ht="23.85" hidden="false" customHeight="false" outlineLevel="0" collapsed="false">
      <c r="A38" s="46" t="n">
        <v>4</v>
      </c>
      <c r="B38" s="5" t="s">
        <v>178</v>
      </c>
      <c r="C38" s="65" t="n">
        <v>46315</v>
      </c>
      <c r="D38" s="66" t="s">
        <v>1543</v>
      </c>
      <c r="E38" s="6" t="s">
        <v>1544</v>
      </c>
    </row>
    <row r="39" customFormat="false" ht="15" hidden="false" customHeight="false" outlineLevel="0" collapsed="false">
      <c r="A39" s="46" t="n">
        <v>4</v>
      </c>
      <c r="B39" s="5" t="s">
        <v>178</v>
      </c>
      <c r="C39" s="65" t="n">
        <v>46315</v>
      </c>
      <c r="D39" s="66" t="s">
        <v>1545</v>
      </c>
      <c r="E39" s="6" t="s">
        <v>1546</v>
      </c>
    </row>
    <row r="40" customFormat="false" ht="23.85" hidden="false" customHeight="false" outlineLevel="0" collapsed="false">
      <c r="A40" s="46" t="n">
        <v>4</v>
      </c>
      <c r="B40" s="5" t="s">
        <v>178</v>
      </c>
      <c r="C40" s="65" t="n">
        <v>46315</v>
      </c>
      <c r="D40" s="66" t="s">
        <v>1547</v>
      </c>
      <c r="E40" s="6" t="s">
        <v>1548</v>
      </c>
    </row>
    <row r="41" customFormat="false" ht="15" hidden="false" customHeight="false" outlineLevel="0" collapsed="false">
      <c r="A41" s="46" t="n">
        <v>4</v>
      </c>
      <c r="B41" s="5" t="s">
        <v>190</v>
      </c>
      <c r="C41" s="65" t="n">
        <v>46316</v>
      </c>
      <c r="D41" s="66" t="s">
        <v>1549</v>
      </c>
      <c r="E41" s="6" t="s">
        <v>1550</v>
      </c>
    </row>
    <row r="42" customFormat="false" ht="15" hidden="false" customHeight="false" outlineLevel="0" collapsed="false">
      <c r="A42" s="46" t="n">
        <v>4</v>
      </c>
      <c r="B42" s="5" t="s">
        <v>190</v>
      </c>
      <c r="C42" s="65" t="n">
        <v>46316</v>
      </c>
      <c r="D42" s="66" t="s">
        <v>1551</v>
      </c>
      <c r="E42" s="6" t="s">
        <v>1552</v>
      </c>
    </row>
    <row r="43" customFormat="false" ht="15" hidden="false" customHeight="false" outlineLevel="0" collapsed="false">
      <c r="A43" s="46" t="n">
        <v>4</v>
      </c>
      <c r="B43" s="5" t="s">
        <v>190</v>
      </c>
      <c r="C43" s="65" t="n">
        <v>46316</v>
      </c>
      <c r="D43" s="66" t="s">
        <v>1553</v>
      </c>
      <c r="E43" s="6" t="s">
        <v>1554</v>
      </c>
    </row>
    <row r="44" customFormat="false" ht="23.85" hidden="false" customHeight="false" outlineLevel="0" collapsed="false">
      <c r="A44" s="46" t="n">
        <v>4</v>
      </c>
      <c r="B44" s="5" t="s">
        <v>201</v>
      </c>
      <c r="C44" s="65" t="n">
        <v>46317</v>
      </c>
      <c r="D44" s="66" t="s">
        <v>1555</v>
      </c>
      <c r="E44" s="6" t="s">
        <v>1556</v>
      </c>
    </row>
    <row r="45" customFormat="false" ht="15" hidden="false" customHeight="false" outlineLevel="0" collapsed="false">
      <c r="A45" s="46" t="n">
        <v>4</v>
      </c>
      <c r="B45" s="5" t="s">
        <v>201</v>
      </c>
      <c r="C45" s="65" t="n">
        <v>46317</v>
      </c>
      <c r="D45" s="66" t="s">
        <v>1557</v>
      </c>
      <c r="E45" s="6" t="s">
        <v>1558</v>
      </c>
    </row>
    <row r="46" customFormat="false" ht="15" hidden="false" customHeight="false" outlineLevel="0" collapsed="false">
      <c r="A46" s="46" t="n">
        <v>4</v>
      </c>
      <c r="B46" s="5" t="s">
        <v>201</v>
      </c>
      <c r="C46" s="65" t="n">
        <v>46317</v>
      </c>
      <c r="D46" s="66" t="s">
        <v>1559</v>
      </c>
      <c r="E46" s="6" t="s">
        <v>1560</v>
      </c>
    </row>
    <row r="47" customFormat="false" ht="15" hidden="false" customHeight="false" outlineLevel="0" collapsed="false">
      <c r="A47" s="46" t="n">
        <v>4</v>
      </c>
      <c r="B47" s="5" t="s">
        <v>209</v>
      </c>
      <c r="C47" s="65" t="n">
        <v>46318</v>
      </c>
      <c r="D47" s="66" t="s">
        <v>1561</v>
      </c>
      <c r="E47" s="6" t="s">
        <v>1562</v>
      </c>
    </row>
    <row r="48" customFormat="false" ht="23.85" hidden="false" customHeight="false" outlineLevel="0" collapsed="false">
      <c r="A48" s="46" t="n">
        <v>4</v>
      </c>
      <c r="B48" s="5" t="s">
        <v>209</v>
      </c>
      <c r="C48" s="65" t="n">
        <v>46318</v>
      </c>
      <c r="D48" s="66" t="s">
        <v>1563</v>
      </c>
      <c r="E48" s="6" t="s">
        <v>1564</v>
      </c>
    </row>
    <row r="49" customFormat="false" ht="15" hidden="false" customHeight="false" outlineLevel="0" collapsed="false">
      <c r="A49" s="46" t="n">
        <v>4</v>
      </c>
      <c r="B49" s="5" t="s">
        <v>209</v>
      </c>
      <c r="C49" s="65" t="n">
        <v>46318</v>
      </c>
      <c r="D49" s="66" t="s">
        <v>1565</v>
      </c>
      <c r="E49" s="6" t="s">
        <v>1566</v>
      </c>
    </row>
    <row r="50" customFormat="false" ht="15" hidden="false" customHeight="false" outlineLevel="0" collapsed="false">
      <c r="A50" s="46" t="n">
        <v>5</v>
      </c>
      <c r="B50" s="5" t="s">
        <v>223</v>
      </c>
      <c r="C50" s="65" t="n">
        <v>46323</v>
      </c>
      <c r="D50" s="66" t="s">
        <v>1567</v>
      </c>
      <c r="E50" s="6" t="s">
        <v>1568</v>
      </c>
    </row>
    <row r="51" customFormat="false" ht="15" hidden="false" customHeight="false" outlineLevel="0" collapsed="false">
      <c r="A51" s="46" t="n">
        <v>5</v>
      </c>
      <c r="B51" s="5" t="s">
        <v>223</v>
      </c>
      <c r="C51" s="65" t="n">
        <v>46323</v>
      </c>
      <c r="D51" s="66" t="s">
        <v>1569</v>
      </c>
      <c r="E51" s="6" t="s">
        <v>1570</v>
      </c>
    </row>
    <row r="52" customFormat="false" ht="15" hidden="false" customHeight="false" outlineLevel="0" collapsed="false">
      <c r="A52" s="46" t="n">
        <v>5</v>
      </c>
      <c r="B52" s="5" t="s">
        <v>223</v>
      </c>
      <c r="C52" s="65" t="n">
        <v>46323</v>
      </c>
      <c r="D52" s="66" t="s">
        <v>1571</v>
      </c>
      <c r="E52" s="6" t="s">
        <v>1572</v>
      </c>
    </row>
    <row r="53" customFormat="false" ht="15" hidden="false" customHeight="false" outlineLevel="0" collapsed="false">
      <c r="A53" s="46" t="n">
        <v>5</v>
      </c>
      <c r="B53" s="5" t="s">
        <v>223</v>
      </c>
      <c r="C53" s="65" t="n">
        <v>46323</v>
      </c>
      <c r="D53" s="66" t="s">
        <v>1573</v>
      </c>
      <c r="E53" s="6" t="s">
        <v>1574</v>
      </c>
    </row>
    <row r="54" customFormat="false" ht="15" hidden="false" customHeight="false" outlineLevel="0" collapsed="false">
      <c r="A54" s="46" t="n">
        <v>5</v>
      </c>
      <c r="B54" s="5" t="s">
        <v>235</v>
      </c>
      <c r="C54" s="65" t="n">
        <v>46324</v>
      </c>
      <c r="D54" s="66" t="s">
        <v>1575</v>
      </c>
      <c r="E54" s="6" t="s">
        <v>1576</v>
      </c>
    </row>
    <row r="55" customFormat="false" ht="15" hidden="false" customHeight="false" outlineLevel="0" collapsed="false">
      <c r="A55" s="46" t="n">
        <v>5</v>
      </c>
      <c r="B55" s="5" t="s">
        <v>235</v>
      </c>
      <c r="C55" s="65" t="n">
        <v>46324</v>
      </c>
      <c r="D55" s="66" t="s">
        <v>1577</v>
      </c>
      <c r="E55" s="6" t="s">
        <v>1578</v>
      </c>
    </row>
    <row r="56" customFormat="false" ht="15" hidden="false" customHeight="false" outlineLevel="0" collapsed="false">
      <c r="A56" s="46" t="n">
        <v>5</v>
      </c>
      <c r="B56" s="5" t="s">
        <v>235</v>
      </c>
      <c r="C56" s="65" t="n">
        <v>46324</v>
      </c>
      <c r="D56" s="66" t="s">
        <v>1579</v>
      </c>
      <c r="E56" s="6" t="s">
        <v>1580</v>
      </c>
    </row>
    <row r="57" customFormat="false" ht="15" hidden="false" customHeight="false" outlineLevel="0" collapsed="false">
      <c r="A57" s="46" t="n">
        <v>5</v>
      </c>
      <c r="B57" s="5" t="s">
        <v>244</v>
      </c>
      <c r="C57" s="65" t="n">
        <v>46325</v>
      </c>
      <c r="D57" s="66" t="s">
        <v>1581</v>
      </c>
      <c r="E57" s="6" t="s">
        <v>1582</v>
      </c>
    </row>
    <row r="58" customFormat="false" ht="15" hidden="false" customHeight="false" outlineLevel="0" collapsed="false">
      <c r="A58" s="46" t="n">
        <v>5</v>
      </c>
      <c r="B58" s="5" t="s">
        <v>244</v>
      </c>
      <c r="C58" s="65" t="n">
        <v>46325</v>
      </c>
      <c r="D58" s="66" t="s">
        <v>1583</v>
      </c>
      <c r="E58" s="6" t="s">
        <v>1584</v>
      </c>
    </row>
    <row r="59" customFormat="false" ht="15" hidden="false" customHeight="false" outlineLevel="0" collapsed="false">
      <c r="A59" s="46" t="n">
        <v>5</v>
      </c>
      <c r="B59" s="5" t="s">
        <v>244</v>
      </c>
      <c r="C59" s="65" t="n">
        <v>46325</v>
      </c>
      <c r="D59" s="66" t="s">
        <v>1585</v>
      </c>
      <c r="E59" s="6" t="s">
        <v>1586</v>
      </c>
    </row>
    <row r="60" customFormat="false" ht="15" hidden="false" customHeight="false" outlineLevel="0" collapsed="false">
      <c r="A60" s="46" t="n">
        <v>5</v>
      </c>
      <c r="B60" s="5" t="s">
        <v>244</v>
      </c>
      <c r="C60" s="65" t="n">
        <v>46325</v>
      </c>
      <c r="D60" s="66" t="s">
        <v>1587</v>
      </c>
      <c r="E60" s="6" t="s">
        <v>1588</v>
      </c>
    </row>
    <row r="61" customFormat="false" ht="15" hidden="false" customHeight="false" outlineLevel="0" collapsed="false">
      <c r="A61" s="46" t="n">
        <v>5</v>
      </c>
      <c r="B61" s="5" t="s">
        <v>254</v>
      </c>
      <c r="C61" s="65" t="n">
        <v>46328</v>
      </c>
      <c r="D61" s="66" t="s">
        <v>1589</v>
      </c>
      <c r="E61" s="6" t="s">
        <v>1590</v>
      </c>
    </row>
    <row r="62" customFormat="false" ht="15" hidden="false" customHeight="false" outlineLevel="0" collapsed="false">
      <c r="A62" s="46" t="n">
        <v>5</v>
      </c>
      <c r="B62" s="5" t="s">
        <v>254</v>
      </c>
      <c r="C62" s="65" t="n">
        <v>46328</v>
      </c>
      <c r="D62" s="66" t="s">
        <v>1591</v>
      </c>
      <c r="E62" s="6" t="s">
        <v>1592</v>
      </c>
    </row>
    <row r="63" customFormat="false" ht="15" hidden="false" customHeight="false" outlineLevel="0" collapsed="false">
      <c r="A63" s="46" t="n">
        <v>5</v>
      </c>
      <c r="B63" s="5" t="s">
        <v>254</v>
      </c>
      <c r="C63" s="65" t="n">
        <v>46328</v>
      </c>
      <c r="D63" s="66" t="s">
        <v>1593</v>
      </c>
      <c r="E63" s="6" t="s">
        <v>1594</v>
      </c>
    </row>
    <row r="64" customFormat="false" ht="15" hidden="false" customHeight="false" outlineLevel="0" collapsed="false">
      <c r="A64" s="46" t="n">
        <v>5</v>
      </c>
      <c r="B64" s="5" t="s">
        <v>254</v>
      </c>
      <c r="C64" s="65" t="n">
        <v>46328</v>
      </c>
      <c r="D64" s="66" t="s">
        <v>1595</v>
      </c>
      <c r="E64" s="6" t="s">
        <v>1596</v>
      </c>
    </row>
    <row r="65" customFormat="false" ht="15" hidden="false" customHeight="false" outlineLevel="0" collapsed="false">
      <c r="A65" s="46" t="n">
        <v>5</v>
      </c>
      <c r="B65" s="5" t="s">
        <v>266</v>
      </c>
      <c r="C65" s="65" t="n">
        <v>46329</v>
      </c>
      <c r="D65" s="66" t="s">
        <v>1597</v>
      </c>
      <c r="E65" s="6" t="s">
        <v>1598</v>
      </c>
    </row>
    <row r="66" customFormat="false" ht="15" hidden="false" customHeight="false" outlineLevel="0" collapsed="false">
      <c r="A66" s="46" t="n">
        <v>5</v>
      </c>
      <c r="B66" s="5" t="s">
        <v>266</v>
      </c>
      <c r="C66" s="65" t="n">
        <v>46329</v>
      </c>
      <c r="D66" s="66" t="s">
        <v>1599</v>
      </c>
      <c r="E66" s="6" t="s">
        <v>1600</v>
      </c>
    </row>
    <row r="67" customFormat="false" ht="15" hidden="false" customHeight="false" outlineLevel="0" collapsed="false">
      <c r="A67" s="46" t="n">
        <v>5</v>
      </c>
      <c r="B67" s="5" t="s">
        <v>266</v>
      </c>
      <c r="C67" s="65" t="n">
        <v>46329</v>
      </c>
      <c r="D67" s="66" t="s">
        <v>1601</v>
      </c>
      <c r="E67" s="6" t="s">
        <v>1602</v>
      </c>
    </row>
    <row r="68" customFormat="false" ht="15" hidden="false" customHeight="false" outlineLevel="0" collapsed="false">
      <c r="A68" s="46" t="n">
        <v>5</v>
      </c>
      <c r="B68" s="5" t="s">
        <v>266</v>
      </c>
      <c r="C68" s="65" t="n">
        <v>46329</v>
      </c>
      <c r="D68" s="66" t="s">
        <v>1603</v>
      </c>
      <c r="E68" s="6" t="s">
        <v>1604</v>
      </c>
    </row>
    <row r="69" customFormat="false" ht="15" hidden="false" customHeight="false" outlineLevel="0" collapsed="false">
      <c r="A69" s="46" t="n">
        <v>5</v>
      </c>
      <c r="B69" s="5" t="s">
        <v>266</v>
      </c>
      <c r="C69" s="65" t="n">
        <v>46329</v>
      </c>
      <c r="D69" s="66" t="s">
        <v>1605</v>
      </c>
      <c r="E69" s="6" t="s">
        <v>1606</v>
      </c>
    </row>
    <row r="70" customFormat="false" ht="15" hidden="false" customHeight="false" outlineLevel="0" collapsed="false">
      <c r="A70" s="46" t="n">
        <v>5</v>
      </c>
      <c r="B70" s="5" t="s">
        <v>274</v>
      </c>
      <c r="C70" s="65" t="n">
        <v>46330</v>
      </c>
      <c r="D70" s="66" t="s">
        <v>1607</v>
      </c>
      <c r="E70" s="6" t="s">
        <v>1608</v>
      </c>
    </row>
    <row r="71" customFormat="false" ht="15" hidden="false" customHeight="false" outlineLevel="0" collapsed="false">
      <c r="A71" s="46" t="n">
        <v>5</v>
      </c>
      <c r="B71" s="5" t="s">
        <v>274</v>
      </c>
      <c r="C71" s="65" t="n">
        <v>46330</v>
      </c>
      <c r="D71" s="66" t="s">
        <v>1609</v>
      </c>
      <c r="E71" s="6" t="s">
        <v>1610</v>
      </c>
    </row>
    <row r="72" customFormat="false" ht="15" hidden="false" customHeight="false" outlineLevel="0" collapsed="false">
      <c r="A72" s="46" t="n">
        <v>5</v>
      </c>
      <c r="B72" s="5" t="s">
        <v>274</v>
      </c>
      <c r="C72" s="65" t="n">
        <v>46330</v>
      </c>
      <c r="D72" s="66" t="s">
        <v>1611</v>
      </c>
      <c r="E72" s="6" t="s">
        <v>1612</v>
      </c>
    </row>
  </sheetData>
  <autoFilter ref="A1:E72"/>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8" display="#'Scope &amp; Sequence'.A28"/>
    <hyperlink ref="C61" location="'Scope &amp; Sequence'!A29" display="#'Scope &amp; Sequence'.A29"/>
    <hyperlink ref="C62" location="'Scope &amp; Sequence'!A29" display="#'Scope &amp; Sequence'.A29"/>
    <hyperlink ref="C63" location="'Scope &amp; Sequence'!A29" display="#'Scope &amp; Sequence'.A29"/>
    <hyperlink ref="C64" location="'Scope &amp; Sequence'!A29" display="#'Scope &amp; Sequence'.A29"/>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0" display="#'Scope &amp; Sequence'.A30"/>
    <hyperlink ref="C70" location="'Scope &amp; Sequence'!A31" display="#'Scope &amp; Sequence'.A31"/>
    <hyperlink ref="C71" location="'Scope &amp; Sequence'!A31" display="#'Scope &amp; Sequence'.A31"/>
    <hyperlink ref="C72"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1613</v>
      </c>
      <c r="C1" s="9" t="s">
        <v>958</v>
      </c>
      <c r="D1" s="9" t="s">
        <v>959</v>
      </c>
      <c r="E1" s="9" t="s">
        <v>1614</v>
      </c>
      <c r="F1" s="9" t="s">
        <v>705</v>
      </c>
      <c r="G1" s="9" t="s">
        <v>1615</v>
      </c>
      <c r="H1" s="9" t="s">
        <v>1616</v>
      </c>
      <c r="I1" s="9" t="s">
        <v>1245</v>
      </c>
      <c r="J1" s="9" t="s">
        <v>1617</v>
      </c>
      <c r="K1" s="9" t="s">
        <v>1244</v>
      </c>
      <c r="L1" s="9" t="s">
        <v>1618</v>
      </c>
      <c r="M1" s="9" t="s">
        <v>1619</v>
      </c>
      <c r="N1" s="9" t="s">
        <v>1620</v>
      </c>
    </row>
    <row r="2" customFormat="false" ht="23.85" hidden="false" customHeight="false" outlineLevel="0" collapsed="false">
      <c r="A2" s="55" t="n">
        <v>1</v>
      </c>
      <c r="B2" s="6" t="s">
        <v>1621</v>
      </c>
      <c r="C2" s="52" t="s">
        <v>1247</v>
      </c>
      <c r="D2" s="7"/>
      <c r="E2" s="7"/>
      <c r="F2" s="6" t="s">
        <v>1622</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1623</v>
      </c>
      <c r="C3" s="52" t="s">
        <v>1247</v>
      </c>
      <c r="D3" s="7"/>
      <c r="E3" s="7"/>
      <c r="F3" s="6" t="s">
        <v>1622</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1624</v>
      </c>
      <c r="C4" s="51" t="n">
        <v>46288</v>
      </c>
      <c r="D4" s="51" t="n">
        <v>46310</v>
      </c>
      <c r="E4" s="46" t="n">
        <f aca="false">COUNTIF('Scope &amp; Sequence'!$C$2:$C$132,A4)</f>
        <v>16</v>
      </c>
      <c r="F4" s="6" t="s">
        <v>1625</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1626</v>
      </c>
      <c r="C5" s="51" t="n">
        <v>46311</v>
      </c>
      <c r="D5" s="51" t="n">
        <v>46322</v>
      </c>
      <c r="E5" s="46" t="n">
        <f aca="false">COUNTIF('Scope &amp; Sequence'!$C$2:$C$132,A5)</f>
        <v>8</v>
      </c>
      <c r="F5" s="6" t="s">
        <v>1625</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1627</v>
      </c>
      <c r="C6" s="51" t="n">
        <v>46323</v>
      </c>
      <c r="D6" s="51" t="n">
        <v>46332</v>
      </c>
      <c r="E6" s="46" t="n">
        <f aca="false">COUNTIF('Scope &amp; Sequence'!$C$2:$C$132,A6)</f>
        <v>8</v>
      </c>
      <c r="F6" s="6" t="s">
        <v>1622</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1628</v>
      </c>
      <c r="C7" s="51" t="n">
        <v>46335</v>
      </c>
      <c r="D7" s="51" t="n">
        <v>46358</v>
      </c>
      <c r="E7" s="46" t="n">
        <f aca="false">COUNTIF('Scope &amp; Sequence'!$C$2:$C$132,A7)</f>
        <v>12</v>
      </c>
      <c r="F7" s="52" t="s">
        <v>292</v>
      </c>
      <c r="G7" s="7"/>
      <c r="H7" s="7"/>
      <c r="I7" s="7"/>
      <c r="J7" s="7"/>
      <c r="K7" s="7"/>
      <c r="L7" s="7"/>
      <c r="M7" s="7"/>
      <c r="N7" s="7"/>
    </row>
    <row r="8" customFormat="false" ht="15" hidden="false" customHeight="false" outlineLevel="0" collapsed="false">
      <c r="A8" s="55" t="n">
        <v>7</v>
      </c>
      <c r="B8" s="6" t="s">
        <v>1629</v>
      </c>
      <c r="C8" s="51" t="n">
        <v>46359</v>
      </c>
      <c r="D8" s="51" t="n">
        <v>46367</v>
      </c>
      <c r="E8" s="46" t="n">
        <f aca="false">COUNTIF('Scope &amp; Sequence'!$C$2:$C$132,A8)</f>
        <v>7</v>
      </c>
      <c r="F8" s="52" t="s">
        <v>292</v>
      </c>
      <c r="G8" s="7"/>
      <c r="H8" s="7"/>
      <c r="I8" s="7"/>
      <c r="J8" s="7"/>
      <c r="K8" s="7"/>
      <c r="L8" s="7"/>
      <c r="M8" s="7"/>
      <c r="N8" s="7"/>
    </row>
    <row r="9" customFormat="false" ht="15" hidden="false" customHeight="false" outlineLevel="0" collapsed="false">
      <c r="A9" s="55" t="n">
        <v>8</v>
      </c>
      <c r="B9" s="6" t="s">
        <v>1630</v>
      </c>
      <c r="C9" s="51" t="n">
        <v>46373</v>
      </c>
      <c r="D9" s="51" t="n">
        <v>46395</v>
      </c>
      <c r="E9" s="46" t="n">
        <f aca="false">COUNTIF('Scope &amp; Sequence'!$C$2:$C$132,A9)</f>
        <v>5</v>
      </c>
      <c r="F9" s="52" t="s">
        <v>292</v>
      </c>
      <c r="G9" s="7"/>
      <c r="H9" s="7"/>
      <c r="I9" s="7"/>
      <c r="J9" s="7"/>
      <c r="K9" s="7"/>
      <c r="L9" s="7"/>
      <c r="M9" s="7"/>
      <c r="N9" s="7"/>
    </row>
    <row r="10" customFormat="false" ht="15" hidden="false" customHeight="false" outlineLevel="0" collapsed="false">
      <c r="A10" s="55" t="n">
        <v>9</v>
      </c>
      <c r="B10" s="6" t="s">
        <v>1631</v>
      </c>
      <c r="C10" s="51" t="n">
        <v>46398</v>
      </c>
      <c r="D10" s="51" t="n">
        <v>46409</v>
      </c>
      <c r="E10" s="46" t="n">
        <f aca="false">COUNTIF('Scope &amp; Sequence'!$C$2:$C$132,A10)</f>
        <v>9</v>
      </c>
      <c r="F10" s="52" t="s">
        <v>292</v>
      </c>
      <c r="G10" s="7"/>
      <c r="H10" s="7"/>
      <c r="I10" s="7"/>
      <c r="J10" s="7"/>
      <c r="K10" s="7"/>
      <c r="L10" s="7"/>
      <c r="M10" s="7"/>
      <c r="N10" s="7"/>
    </row>
    <row r="11" customFormat="false" ht="15" hidden="false" customHeight="false" outlineLevel="0" collapsed="false">
      <c r="A11" s="55" t="n">
        <v>10</v>
      </c>
      <c r="B11" s="6" t="s">
        <v>1632</v>
      </c>
      <c r="C11" s="51" t="n">
        <v>46412</v>
      </c>
      <c r="D11" s="51" t="n">
        <v>46423</v>
      </c>
      <c r="E11" s="46" t="n">
        <f aca="false">COUNTIF('Scope &amp; Sequence'!$C$2:$C$132,A11)</f>
        <v>10</v>
      </c>
      <c r="F11" s="52" t="s">
        <v>292</v>
      </c>
      <c r="G11" s="7"/>
      <c r="H11" s="7"/>
      <c r="I11" s="7"/>
      <c r="J11" s="7"/>
      <c r="K11" s="7"/>
      <c r="L11" s="7"/>
      <c r="M11" s="7"/>
      <c r="N11" s="7"/>
    </row>
    <row r="12" customFormat="false" ht="15" hidden="false" customHeight="false" outlineLevel="0" collapsed="false">
      <c r="A12" s="55" t="n">
        <v>11</v>
      </c>
      <c r="B12" s="6" t="s">
        <v>1633</v>
      </c>
      <c r="C12" s="51" t="n">
        <v>46426</v>
      </c>
      <c r="D12" s="51" t="n">
        <v>46440</v>
      </c>
      <c r="E12" s="46" t="n">
        <f aca="false">COUNTIF('Scope &amp; Sequence'!$C$2:$C$132,A12)</f>
        <v>10</v>
      </c>
      <c r="F12" s="52" t="s">
        <v>292</v>
      </c>
      <c r="G12" s="7"/>
      <c r="H12" s="7"/>
      <c r="I12" s="7"/>
      <c r="J12" s="7"/>
      <c r="K12" s="7"/>
      <c r="L12" s="7"/>
      <c r="M12" s="7"/>
      <c r="N12" s="7"/>
    </row>
    <row r="13" customFormat="false" ht="15" hidden="false" customHeight="false" outlineLevel="0" collapsed="false">
      <c r="A13" s="55" t="n">
        <v>12</v>
      </c>
      <c r="B13" s="6" t="s">
        <v>1634</v>
      </c>
      <c r="C13" s="51" t="n">
        <v>46441</v>
      </c>
      <c r="D13" s="51" t="n">
        <v>46456</v>
      </c>
      <c r="E13" s="46" t="n">
        <f aca="false">COUNTIF('Scope &amp; Sequence'!$C$2:$C$132,A13)</f>
        <v>11</v>
      </c>
      <c r="F13" s="52" t="s">
        <v>292</v>
      </c>
      <c r="G13" s="7"/>
      <c r="H13" s="7"/>
      <c r="I13" s="7"/>
      <c r="J13" s="7"/>
      <c r="K13" s="7"/>
      <c r="L13" s="7"/>
      <c r="M13" s="7"/>
      <c r="N13" s="7"/>
    </row>
    <row r="14" customFormat="false" ht="15" hidden="false" customHeight="false" outlineLevel="0" collapsed="false">
      <c r="A14" s="55" t="n">
        <v>13</v>
      </c>
      <c r="B14" s="6" t="s">
        <v>1635</v>
      </c>
      <c r="C14" s="51" t="n">
        <v>46457</v>
      </c>
      <c r="D14" s="51" t="n">
        <v>46476</v>
      </c>
      <c r="E14" s="46" t="n">
        <f aca="false">COUNTIF('Scope &amp; Sequence'!$C$2:$C$132,A14)</f>
        <v>9</v>
      </c>
      <c r="F14" s="52" t="s">
        <v>292</v>
      </c>
      <c r="G14" s="7"/>
      <c r="H14" s="7"/>
      <c r="I14" s="7"/>
      <c r="J14" s="7"/>
      <c r="K14" s="7"/>
      <c r="L14" s="7"/>
      <c r="M14" s="7"/>
      <c r="N14" s="7"/>
    </row>
    <row r="15" customFormat="false" ht="15" hidden="false" customHeight="false" outlineLevel="0" collapsed="false">
      <c r="A15" s="55" t="n">
        <v>14</v>
      </c>
      <c r="B15" s="6" t="s">
        <v>1636</v>
      </c>
      <c r="C15" s="51" t="n">
        <v>46477</v>
      </c>
      <c r="D15" s="51" t="n">
        <v>46483</v>
      </c>
      <c r="E15" s="46" t="n">
        <f aca="false">COUNTIF('Scope &amp; Sequence'!$C$2:$C$132,A15)</f>
        <v>5</v>
      </c>
      <c r="F15" s="52" t="s">
        <v>292</v>
      </c>
      <c r="G15" s="7"/>
      <c r="H15" s="7"/>
      <c r="I15" s="7"/>
      <c r="J15" s="7"/>
      <c r="K15" s="7"/>
      <c r="L15" s="7"/>
      <c r="M15" s="7"/>
      <c r="N15" s="7"/>
    </row>
    <row r="16" customFormat="false" ht="15" hidden="false" customHeight="false" outlineLevel="0" collapsed="false">
      <c r="A16" s="55" t="n">
        <v>15</v>
      </c>
      <c r="B16" s="6" t="s">
        <v>1637</v>
      </c>
      <c r="C16" s="51" t="n">
        <v>46484</v>
      </c>
      <c r="D16" s="51" t="n">
        <v>46496</v>
      </c>
      <c r="E16" s="46" t="n">
        <f aca="false">COUNTIF('Scope &amp; Sequence'!$C$2:$C$132,A16)</f>
        <v>8</v>
      </c>
      <c r="F16" s="52" t="s">
        <v>292</v>
      </c>
      <c r="G16" s="7"/>
      <c r="H16" s="7"/>
      <c r="I16" s="7"/>
      <c r="J16" s="7"/>
      <c r="K16" s="7"/>
      <c r="L16" s="7"/>
      <c r="M16" s="7"/>
      <c r="N16" s="7"/>
    </row>
    <row r="17" customFormat="false" ht="15" hidden="false" customHeight="false" outlineLevel="0" collapsed="false">
      <c r="A17" s="55" t="n">
        <v>16</v>
      </c>
      <c r="B17" s="6" t="s">
        <v>1638</v>
      </c>
      <c r="C17" s="51" t="n">
        <v>46497</v>
      </c>
      <c r="D17" s="51" t="n">
        <v>46500</v>
      </c>
      <c r="E17" s="46" t="n">
        <f aca="false">COUNTIF('Scope &amp; Sequence'!$C$2:$C$132,A17)</f>
        <v>4</v>
      </c>
      <c r="F17" s="52" t="s">
        <v>292</v>
      </c>
      <c r="G17" s="7"/>
      <c r="H17" s="7"/>
      <c r="I17" s="7"/>
      <c r="J17" s="7"/>
      <c r="K17" s="7"/>
      <c r="L17" s="7"/>
      <c r="M17" s="7"/>
      <c r="N17" s="7"/>
    </row>
    <row r="18" customFormat="false" ht="15" hidden="false" customHeight="false" outlineLevel="0" collapsed="false">
      <c r="A18" s="55" t="n">
        <v>17</v>
      </c>
      <c r="B18" s="6" t="s">
        <v>1639</v>
      </c>
      <c r="C18" s="51" t="n">
        <v>46503</v>
      </c>
      <c r="D18" s="51" t="n">
        <v>46507</v>
      </c>
      <c r="E18" s="46" t="n">
        <f aca="false">COUNTIF('Scope &amp; Sequence'!$C$2:$C$132,A18)</f>
        <v>5</v>
      </c>
      <c r="F18" s="52" t="s">
        <v>292</v>
      </c>
      <c r="G18" s="7"/>
      <c r="H18" s="7"/>
      <c r="I18" s="7"/>
      <c r="J18" s="7"/>
      <c r="K18" s="7"/>
      <c r="L18" s="7"/>
      <c r="M18" s="7"/>
      <c r="N18" s="7"/>
    </row>
    <row r="20" customFormat="false" ht="15" hidden="false" customHeight="false" outlineLevel="0" collapsed="false">
      <c r="A20" s="12" t="s">
        <v>1640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1641</v>
      </c>
      <c r="G1" s="9" t="s">
        <v>16</v>
      </c>
      <c r="H1" s="9" t="s">
        <v>18</v>
      </c>
    </row>
    <row r="2" customFormat="false" ht="15" hidden="false" customHeight="false" outlineLevel="0" collapsed="false">
      <c r="A2" s="55" t="n">
        <v>1</v>
      </c>
      <c r="B2" s="5" t="s">
        <v>1642</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1643</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1644</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1645</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1646</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1647</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1648</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1649</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1650</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1651</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1652</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1653</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1654</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1655</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1656</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1657</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1658</v>
      </c>
    </row>
    <row r="2" customFormat="false" ht="23.85" hidden="false" customHeight="false" outlineLevel="0" collapsed="false">
      <c r="A2" s="68" t="s">
        <v>1659</v>
      </c>
    </row>
    <row r="3" customFormat="false" ht="15" hidden="false" customHeight="false" outlineLevel="0" collapsed="false">
      <c r="A3" s="68"/>
    </row>
    <row r="4" customFormat="false" ht="15" hidden="false" customHeight="false" outlineLevel="0" collapsed="false">
      <c r="A4" s="67" t="s">
        <v>1660</v>
      </c>
    </row>
    <row r="5" customFormat="false" ht="23.85" hidden="false" customHeight="false" outlineLevel="0" collapsed="false">
      <c r="A5" s="68" t="s">
        <v>1661</v>
      </c>
    </row>
    <row r="6" customFormat="false" ht="35.05" hidden="false" customHeight="false" outlineLevel="0" collapsed="false">
      <c r="A6" s="68" t="s">
        <v>1662</v>
      </c>
    </row>
    <row r="7" customFormat="false" ht="23.85" hidden="false" customHeight="false" outlineLevel="0" collapsed="false">
      <c r="A7" s="68" t="s">
        <v>1663</v>
      </c>
    </row>
    <row r="8" customFormat="false" ht="15" hidden="false" customHeight="false" outlineLevel="0" collapsed="false">
      <c r="A8" s="68" t="s">
        <v>1664</v>
      </c>
    </row>
    <row r="9" customFormat="false" ht="15" hidden="false" customHeight="false" outlineLevel="0" collapsed="false">
      <c r="A9" s="68" t="s">
        <v>1665</v>
      </c>
    </row>
    <row r="10" customFormat="false" ht="15" hidden="false" customHeight="false" outlineLevel="0" collapsed="false">
      <c r="A10" s="68" t="s">
        <v>1666</v>
      </c>
    </row>
    <row r="11" customFormat="false" ht="15" hidden="false" customHeight="false" outlineLevel="0" collapsed="false">
      <c r="A11" s="68" t="s">
        <v>1667</v>
      </c>
    </row>
    <row r="12" customFormat="false" ht="15" hidden="false" customHeight="false" outlineLevel="0" collapsed="false">
      <c r="A12" s="68" t="s">
        <v>1668</v>
      </c>
    </row>
    <row r="13" customFormat="false" ht="15" hidden="false" customHeight="false" outlineLevel="0" collapsed="false">
      <c r="A13" s="68" t="s">
        <v>1669</v>
      </c>
    </row>
    <row r="14" customFormat="false" ht="15" hidden="false" customHeight="false" outlineLevel="0" collapsed="false">
      <c r="A14" s="68"/>
    </row>
    <row r="15" customFormat="false" ht="15" hidden="false" customHeight="false" outlineLevel="0" collapsed="false">
      <c r="A15" s="67" t="s">
        <v>1670</v>
      </c>
    </row>
    <row r="16" customFormat="false" ht="57.45" hidden="false" customHeight="false" outlineLevel="0" collapsed="false">
      <c r="A16" s="68" t="s">
        <v>1671</v>
      </c>
    </row>
    <row r="17" customFormat="false" ht="23.85" hidden="false" customHeight="false" outlineLevel="0" collapsed="false">
      <c r="A17" s="68" t="s">
        <v>1672</v>
      </c>
    </row>
    <row r="18" customFormat="false" ht="23.85" hidden="false" customHeight="false" outlineLevel="0" collapsed="false">
      <c r="A18" s="68" t="s">
        <v>1673</v>
      </c>
    </row>
    <row r="19" customFormat="false" ht="23.85" hidden="false" customHeight="false" outlineLevel="0" collapsed="false">
      <c r="A19" s="68" t="s">
        <v>1674</v>
      </c>
    </row>
    <row r="20" customFormat="false" ht="15" hidden="false" customHeight="false" outlineLevel="0" collapsed="false">
      <c r="A20" s="68" t="s">
        <v>1675</v>
      </c>
    </row>
    <row r="21" customFormat="false" ht="46.25" hidden="false" customHeight="false" outlineLevel="0" collapsed="false">
      <c r="A21" s="68" t="s">
        <v>1676</v>
      </c>
    </row>
    <row r="22" customFormat="false" ht="23.85" hidden="false" customHeight="false" outlineLevel="0" collapsed="false">
      <c r="A22" s="68" t="s">
        <v>1677</v>
      </c>
    </row>
    <row r="23" customFormat="false" ht="23.85" hidden="false" customHeight="false" outlineLevel="0" collapsed="false">
      <c r="A23" s="68" t="s">
        <v>1678</v>
      </c>
    </row>
    <row r="24" customFormat="false" ht="15" hidden="false" customHeight="false" outlineLevel="0" collapsed="false">
      <c r="A24" s="68"/>
    </row>
    <row r="25" customFormat="false" ht="15" hidden="false" customHeight="false" outlineLevel="0" collapsed="false">
      <c r="A25" s="67" t="s">
        <v>1679</v>
      </c>
    </row>
    <row r="26" customFormat="false" ht="46.25" hidden="false" customHeight="false" outlineLevel="0" collapsed="false">
      <c r="A26" s="68" t="s">
        <v>1680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1681</v>
      </c>
      <c r="P1" s="69" t="s">
        <v>1682</v>
      </c>
      <c r="Q1" s="69" t="s">
        <v>1683</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1684</v>
      </c>
      <c r="N2" s="69"/>
      <c r="O2" s="69" t="s">
        <v>1685</v>
      </c>
      <c r="P2" s="69" t="s">
        <v>1686</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1687</v>
      </c>
      <c r="N3" s="69"/>
      <c r="O3" s="69" t="s">
        <v>1688</v>
      </c>
      <c r="P3" s="69" t="s">
        <v>1686</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1689</v>
      </c>
      <c r="N4" s="69"/>
      <c r="O4" s="69" t="s">
        <v>1690</v>
      </c>
      <c r="P4" s="69" t="s">
        <v>1686</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1691</v>
      </c>
      <c r="N5" s="69"/>
      <c r="O5" s="69" t="s">
        <v>1692</v>
      </c>
      <c r="P5" s="69" t="s">
        <v>1686</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1693</v>
      </c>
      <c r="N6" s="69"/>
      <c r="O6" s="69" t="s">
        <v>1694</v>
      </c>
      <c r="P6" s="69" t="s">
        <v>1686</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1695</v>
      </c>
      <c r="N7" s="69"/>
      <c r="O7" s="69" t="s">
        <v>1696</v>
      </c>
      <c r="P7" s="69" t="s">
        <v>1686</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1697</v>
      </c>
      <c r="P8" s="69" t="s">
        <v>1686</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1698</v>
      </c>
      <c r="P9" s="69" t="s">
        <v>1686</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1699</v>
      </c>
      <c r="N10" s="69"/>
      <c r="O10" s="69" t="s">
        <v>1700</v>
      </c>
      <c r="P10" s="69" t="s">
        <v>1686</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1701</v>
      </c>
      <c r="N11" s="69"/>
      <c r="O11" s="69" t="s">
        <v>1702</v>
      </c>
      <c r="P11" s="69" t="s">
        <v>1686</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1703</v>
      </c>
      <c r="N12" s="69"/>
      <c r="O12" s="69" t="s">
        <v>1704</v>
      </c>
      <c r="P12" s="69" t="s">
        <v>1686</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1705</v>
      </c>
      <c r="P13" s="69" t="s">
        <v>1686</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1706</v>
      </c>
      <c r="N14" s="69"/>
      <c r="O14" s="69" t="s">
        <v>1707</v>
      </c>
      <c r="P14" s="69" t="s">
        <v>1686</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1708</v>
      </c>
      <c r="P15" s="69" t="s">
        <v>1686</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1709</v>
      </c>
      <c r="P16" s="69" t="s">
        <v>1686</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1710</v>
      </c>
      <c r="P17" s="69" t="s">
        <v>1686</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1711</v>
      </c>
      <c r="N18" s="69"/>
      <c r="O18" s="69" t="s">
        <v>1712</v>
      </c>
      <c r="P18" s="69" t="s">
        <v>1686</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1713</v>
      </c>
      <c r="N19" s="69"/>
      <c r="O19" s="69" t="s">
        <v>1714</v>
      </c>
      <c r="P19" s="69" t="s">
        <v>1686</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1715</v>
      </c>
      <c r="N20" s="69"/>
      <c r="O20" s="69" t="s">
        <v>1716</v>
      </c>
      <c r="P20" s="69" t="s">
        <v>1686</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1717</v>
      </c>
      <c r="N21" s="69"/>
      <c r="O21" s="69" t="s">
        <v>1718</v>
      </c>
      <c r="P21" s="69" t="s">
        <v>1686</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1719</v>
      </c>
      <c r="N22" s="69"/>
      <c r="O22" s="69" t="s">
        <v>1720</v>
      </c>
      <c r="P22" s="69" t="s">
        <v>1686</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1721</v>
      </c>
      <c r="N23" s="69"/>
      <c r="O23" s="69" t="s">
        <v>1722</v>
      </c>
      <c r="P23" s="69" t="s">
        <v>1686</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1723</v>
      </c>
      <c r="P24" s="69" t="s">
        <v>1686</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1724</v>
      </c>
      <c r="P25" s="69" t="s">
        <v>1686</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1725</v>
      </c>
      <c r="N26" s="69"/>
      <c r="O26" s="69" t="s">
        <v>1726</v>
      </c>
      <c r="P26" s="69" t="s">
        <v>1686</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1727</v>
      </c>
      <c r="N27" s="69"/>
      <c r="O27" s="69" t="s">
        <v>1728</v>
      </c>
      <c r="P27" s="69" t="s">
        <v>1729</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1730</v>
      </c>
      <c r="N28" s="69"/>
      <c r="O28" s="69" t="s">
        <v>1731</v>
      </c>
      <c r="P28" s="69" t="s">
        <v>1686</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1732</v>
      </c>
      <c r="N29" s="69"/>
      <c r="O29" s="69" t="s">
        <v>1733</v>
      </c>
      <c r="P29" s="69" t="s">
        <v>1686</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1734</v>
      </c>
      <c r="N30" s="69"/>
      <c r="O30" s="69" t="s">
        <v>1735</v>
      </c>
      <c r="P30" s="69" t="s">
        <v>1686</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t="s">
        <v>1736</v>
      </c>
      <c r="N31" s="69"/>
      <c r="O31" s="69" t="s">
        <v>1737</v>
      </c>
      <c r="P31" s="69" t="s">
        <v>1686</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1738</v>
      </c>
      <c r="P32" s="69" t="s">
        <v>1686</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1739</v>
      </c>
      <c r="P33" s="69" t="s">
        <v>1686</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1740</v>
      </c>
      <c r="N34" s="69"/>
      <c r="O34" s="69" t="s">
        <v>1741</v>
      </c>
      <c r="P34" s="69" t="s">
        <v>1729</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1742</v>
      </c>
      <c r="N35" s="69"/>
      <c r="O35" s="69" t="s">
        <v>1743</v>
      </c>
      <c r="P35" s="69" t="s">
        <v>1729</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1744</v>
      </c>
      <c r="N36" s="69"/>
      <c r="O36" s="69" t="s">
        <v>1745</v>
      </c>
      <c r="P36" s="69" t="s">
        <v>1686</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1746</v>
      </c>
      <c r="N37" s="69"/>
      <c r="O37" s="69" t="s">
        <v>1747</v>
      </c>
      <c r="P37" s="69" t="s">
        <v>1686</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1748</v>
      </c>
      <c r="N38" s="69"/>
      <c r="O38" s="69" t="s">
        <v>1749</v>
      </c>
      <c r="P38" s="69" t="s">
        <v>1686</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1750</v>
      </c>
      <c r="N39" s="69"/>
      <c r="O39" s="69" t="s">
        <v>1751</v>
      </c>
      <c r="P39" s="69" t="s">
        <v>1686</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1752</v>
      </c>
      <c r="N40" s="69"/>
      <c r="O40" s="69" t="s">
        <v>1753</v>
      </c>
      <c r="P40" s="69" t="s">
        <v>1686</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1754</v>
      </c>
      <c r="N41" s="69"/>
      <c r="O41" s="69" t="s">
        <v>1755</v>
      </c>
      <c r="P41" s="69" t="s">
        <v>1686</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1756</v>
      </c>
      <c r="P42" s="69" t="s">
        <v>1729</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1757</v>
      </c>
      <c r="P43" s="69" t="s">
        <v>1729</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1758</v>
      </c>
      <c r="P44" s="69" t="s">
        <v>1686</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1759</v>
      </c>
      <c r="P45" s="69" t="s">
        <v>1686</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1760</v>
      </c>
      <c r="N46" s="69"/>
      <c r="O46" s="69" t="s">
        <v>1761</v>
      </c>
      <c r="P46" s="69" t="s">
        <v>1686</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1762</v>
      </c>
      <c r="N47" s="69"/>
      <c r="O47" s="69" t="s">
        <v>1763</v>
      </c>
      <c r="P47" s="69" t="s">
        <v>1686</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1764</v>
      </c>
      <c r="N48" s="69"/>
      <c r="O48" s="69" t="s">
        <v>1765</v>
      </c>
      <c r="P48" s="69" t="s">
        <v>1686</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t="s">
        <v>1766</v>
      </c>
      <c r="N49" s="69"/>
      <c r="O49" s="69" t="s">
        <v>1767</v>
      </c>
      <c r="P49" s="69" t="s">
        <v>1686</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1768</v>
      </c>
      <c r="N50" s="69"/>
      <c r="O50" s="69" t="s">
        <v>1769</v>
      </c>
      <c r="P50" s="69" t="s">
        <v>1729</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1770</v>
      </c>
      <c r="P51" s="69" t="s">
        <v>1729</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1771</v>
      </c>
      <c r="P52" s="69" t="s">
        <v>1686</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1772</v>
      </c>
      <c r="P53" s="69" t="s">
        <v>1686</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1773</v>
      </c>
      <c r="P54" s="69" t="s">
        <v>1686</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1774</v>
      </c>
      <c r="P55" s="69" t="s">
        <v>1686</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t="s">
        <v>1775</v>
      </c>
      <c r="N56" s="69"/>
      <c r="O56" s="69" t="s">
        <v>1776</v>
      </c>
      <c r="P56" s="69" t="s">
        <v>1686</v>
      </c>
      <c r="Q56"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7" customFormat="false" ht="15" hidden="false" customHeight="false" outlineLevel="0" collapsed="false">
      <c r="A57" s="70" t="n">
        <v>46374</v>
      </c>
      <c r="B57" s="69"/>
      <c r="C57" s="69"/>
      <c r="D57" s="69"/>
      <c r="E57" s="69"/>
      <c r="F57" s="69"/>
      <c r="G57" s="69"/>
      <c r="H57" s="69"/>
      <c r="I57" s="69"/>
      <c r="J57" s="69"/>
      <c r="K57" s="69"/>
      <c r="L57" s="69"/>
      <c r="M57" s="69" t="s">
        <v>1777</v>
      </c>
      <c r="N57" s="69"/>
      <c r="O57" s="69" t="s">
        <v>1778</v>
      </c>
      <c r="P57" s="69" t="s">
        <v>1686</v>
      </c>
      <c r="Q57"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8" customFormat="false" ht="15" hidden="false" customHeight="false" outlineLevel="0" collapsed="false">
      <c r="A58" s="70" t="n">
        <v>46393</v>
      </c>
      <c r="B58" s="69"/>
      <c r="C58" s="69"/>
      <c r="D58" s="69"/>
      <c r="E58" s="69"/>
      <c r="F58" s="69"/>
      <c r="G58" s="69"/>
      <c r="H58" s="69"/>
      <c r="I58" s="69"/>
      <c r="J58" s="69"/>
      <c r="K58" s="69"/>
      <c r="L58" s="69"/>
      <c r="M58" s="69" t="s">
        <v>1779</v>
      </c>
      <c r="N58" s="69"/>
      <c r="O58" s="69" t="s">
        <v>1780</v>
      </c>
      <c r="P58" s="69" t="s">
        <v>1729</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1781</v>
      </c>
      <c r="N59" s="69"/>
      <c r="O59" s="69" t="s">
        <v>1782</v>
      </c>
      <c r="P59" s="69" t="s">
        <v>1729</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1783</v>
      </c>
      <c r="N60" s="69"/>
      <c r="O60" s="69" t="s">
        <v>1784</v>
      </c>
      <c r="P60" s="69" t="s">
        <v>1686</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1785</v>
      </c>
      <c r="N61" s="69"/>
      <c r="O61" s="69" t="s">
        <v>1786</v>
      </c>
      <c r="P61" s="69" t="s">
        <v>1686</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1787</v>
      </c>
      <c r="N62" s="69"/>
      <c r="O62" s="69" t="s">
        <v>1788</v>
      </c>
      <c r="P62" s="69" t="s">
        <v>1686</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1789</v>
      </c>
      <c r="P63" s="69" t="s">
        <v>1686</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1790</v>
      </c>
      <c r="P64" s="69" t="s">
        <v>1686</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1791</v>
      </c>
      <c r="P65" s="69" t="s">
        <v>1686</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1792</v>
      </c>
      <c r="P66" s="69" t="s">
        <v>1729</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1793</v>
      </c>
      <c r="P67" s="69" t="s">
        <v>1686</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1794</v>
      </c>
      <c r="P68" s="69" t="s">
        <v>1686</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1795</v>
      </c>
      <c r="P69" s="69" t="s">
        <v>1686</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1796</v>
      </c>
      <c r="N70" s="69"/>
      <c r="O70" s="69" t="s">
        <v>1797</v>
      </c>
      <c r="P70" s="69" t="s">
        <v>1686</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1798</v>
      </c>
      <c r="N71" s="69"/>
      <c r="O71" s="69" t="s">
        <v>1799</v>
      </c>
      <c r="P71" s="69" t="s">
        <v>1686</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1800</v>
      </c>
      <c r="N72" s="69"/>
      <c r="O72" s="69" t="s">
        <v>1801</v>
      </c>
      <c r="P72" s="69" t="s">
        <v>1686</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1802</v>
      </c>
      <c r="N73" s="69"/>
      <c r="O73" s="69" t="s">
        <v>1803</v>
      </c>
      <c r="P73" s="69" t="s">
        <v>1686</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1804</v>
      </c>
      <c r="N74" s="69"/>
      <c r="O74" s="69" t="s">
        <v>1805</v>
      </c>
      <c r="P74" s="69" t="s">
        <v>1686</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1806</v>
      </c>
      <c r="N75" s="69"/>
      <c r="O75" s="69" t="s">
        <v>1807</v>
      </c>
      <c r="P75" s="69" t="s">
        <v>1686</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1808</v>
      </c>
      <c r="N76" s="69"/>
      <c r="O76" s="69" t="s">
        <v>1809</v>
      </c>
      <c r="P76" s="69" t="s">
        <v>1686</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1810</v>
      </c>
      <c r="N77" s="69"/>
      <c r="O77" s="69" t="s">
        <v>1811</v>
      </c>
      <c r="P77" s="69" t="s">
        <v>1686</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1812</v>
      </c>
      <c r="P78" s="69" t="s">
        <v>1686</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1813</v>
      </c>
      <c r="P79" s="69" t="s">
        <v>1686</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1814</v>
      </c>
      <c r="N80" s="69"/>
      <c r="O80" s="69" t="s">
        <v>1815</v>
      </c>
      <c r="P80" s="69" t="s">
        <v>1686</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1816</v>
      </c>
      <c r="N81" s="69"/>
      <c r="O81" s="69" t="s">
        <v>1817</v>
      </c>
      <c r="P81" s="69" t="s">
        <v>1686</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1818</v>
      </c>
      <c r="N82" s="69"/>
      <c r="O82" s="69" t="s">
        <v>1819</v>
      </c>
      <c r="P82" s="69" t="s">
        <v>1686</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1820</v>
      </c>
      <c r="N83" s="69"/>
      <c r="O83" s="69" t="s">
        <v>1821</v>
      </c>
      <c r="P83" s="69" t="s">
        <v>1686</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1822</v>
      </c>
      <c r="N84" s="69"/>
      <c r="O84" s="69" t="s">
        <v>1823</v>
      </c>
      <c r="P84" s="69" t="s">
        <v>1686</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1824</v>
      </c>
      <c r="N85" s="69"/>
      <c r="O85" s="69" t="s">
        <v>1825</v>
      </c>
      <c r="P85" s="69" t="s">
        <v>1686</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1826</v>
      </c>
      <c r="N86" s="69"/>
      <c r="O86" s="69" t="s">
        <v>1827</v>
      </c>
      <c r="P86" s="69" t="s">
        <v>1686</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1828</v>
      </c>
      <c r="P87" s="69" t="s">
        <v>1686</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1829</v>
      </c>
      <c r="P88" s="69" t="s">
        <v>1686</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1830</v>
      </c>
      <c r="P89" s="69" t="s">
        <v>1686</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1831</v>
      </c>
      <c r="N90" s="69"/>
      <c r="O90" s="69" t="s">
        <v>1832</v>
      </c>
      <c r="P90" s="69" t="s">
        <v>1686</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1833</v>
      </c>
      <c r="N91" s="69"/>
      <c r="O91" s="69" t="s">
        <v>1834</v>
      </c>
      <c r="P91" s="69" t="s">
        <v>1686</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1835</v>
      </c>
      <c r="N92" s="69"/>
      <c r="O92" s="69" t="s">
        <v>1836</v>
      </c>
      <c r="P92" s="69" t="s">
        <v>1686</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1837</v>
      </c>
      <c r="N93" s="69"/>
      <c r="O93" s="69" t="s">
        <v>1838</v>
      </c>
      <c r="P93" s="69" t="s">
        <v>1686</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1839</v>
      </c>
      <c r="P94" s="69" t="s">
        <v>1686</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1840</v>
      </c>
      <c r="N95" s="69"/>
      <c r="O95" s="69" t="s">
        <v>1841</v>
      </c>
      <c r="P95" s="69" t="s">
        <v>1686</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1842</v>
      </c>
      <c r="N96" s="69"/>
      <c r="O96" s="69" t="s">
        <v>1843</v>
      </c>
      <c r="P96" s="69" t="s">
        <v>1686</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1844</v>
      </c>
      <c r="P97" s="69" t="s">
        <v>1686</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1845</v>
      </c>
      <c r="P98" s="69" t="s">
        <v>1686</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1846</v>
      </c>
      <c r="P99" s="69" t="s">
        <v>1686</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1847</v>
      </c>
      <c r="P100" s="69" t="s">
        <v>1686</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1848</v>
      </c>
      <c r="N101" s="69"/>
      <c r="O101" s="69" t="s">
        <v>1849</v>
      </c>
      <c r="P101" s="69" t="s">
        <v>1686</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1850</v>
      </c>
      <c r="N102" s="69"/>
      <c r="O102" s="69" t="s">
        <v>1851</v>
      </c>
      <c r="P102" s="69" t="s">
        <v>1686</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1852</v>
      </c>
      <c r="N103" s="69"/>
      <c r="O103" s="69" t="s">
        <v>1853</v>
      </c>
      <c r="P103" s="69" t="s">
        <v>1686</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1854</v>
      </c>
      <c r="N104" s="69"/>
      <c r="O104" s="69" t="s">
        <v>1855</v>
      </c>
      <c r="P104" s="69" t="s">
        <v>1686</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1856</v>
      </c>
      <c r="N105" s="69"/>
      <c r="O105" s="69" t="s">
        <v>1857</v>
      </c>
      <c r="P105" s="69" t="s">
        <v>1686</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t="s">
        <v>1858</v>
      </c>
      <c r="N106" s="69"/>
      <c r="O106" s="69" t="s">
        <v>1859</v>
      </c>
      <c r="P106" s="69" t="s">
        <v>1686</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t="s">
        <v>1860</v>
      </c>
      <c r="N107" s="69"/>
      <c r="O107" s="69" t="s">
        <v>1861</v>
      </c>
      <c r="P107" s="69" t="s">
        <v>1686</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1862</v>
      </c>
      <c r="P108" s="69" t="s">
        <v>1686</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1863</v>
      </c>
      <c r="P109" s="69" t="s">
        <v>1686</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1864</v>
      </c>
      <c r="N110" s="69"/>
      <c r="O110" s="69" t="s">
        <v>1865</v>
      </c>
      <c r="P110" s="69" t="s">
        <v>1686</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1866</v>
      </c>
      <c r="N111" s="69"/>
      <c r="O111" s="69" t="s">
        <v>1867</v>
      </c>
      <c r="P111" s="69" t="s">
        <v>1686</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1868</v>
      </c>
      <c r="N112" s="69"/>
      <c r="O112" s="69" t="s">
        <v>1869</v>
      </c>
      <c r="P112" s="69" t="s">
        <v>1686</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1870</v>
      </c>
      <c r="P113" s="69" t="s">
        <v>1686</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1871</v>
      </c>
      <c r="P114" s="69" t="s">
        <v>1686</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1872</v>
      </c>
      <c r="N115" s="69"/>
      <c r="O115" s="69" t="s">
        <v>1873</v>
      </c>
      <c r="P115" s="69" t="s">
        <v>1686</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1874</v>
      </c>
      <c r="N116" s="69"/>
      <c r="O116" s="69" t="s">
        <v>1875</v>
      </c>
      <c r="P116" s="69" t="s">
        <v>1686</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1876</v>
      </c>
      <c r="N117" s="69"/>
      <c r="O117" s="69" t="s">
        <v>1877</v>
      </c>
      <c r="P117" s="69" t="s">
        <v>1686</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1878</v>
      </c>
      <c r="N118" s="69"/>
      <c r="O118" s="69" t="s">
        <v>1879</v>
      </c>
      <c r="P118" s="69" t="s">
        <v>1686</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1880</v>
      </c>
      <c r="N119" s="69"/>
      <c r="O119" s="69" t="s">
        <v>1881</v>
      </c>
      <c r="P119" s="69" t="s">
        <v>1686</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1882</v>
      </c>
      <c r="N120" s="69"/>
      <c r="O120" s="69" t="s">
        <v>1883</v>
      </c>
      <c r="P120" s="69" t="s">
        <v>1686</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1884</v>
      </c>
      <c r="N121" s="69"/>
      <c r="O121" s="69" t="s">
        <v>1885</v>
      </c>
      <c r="P121" s="69" t="s">
        <v>1686</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1886</v>
      </c>
      <c r="N122" s="69"/>
      <c r="O122" s="69" t="s">
        <v>1887</v>
      </c>
      <c r="P122" s="69" t="s">
        <v>1686</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1888</v>
      </c>
      <c r="N123" s="69"/>
      <c r="O123" s="69" t="s">
        <v>1889</v>
      </c>
      <c r="P123" s="69" t="s">
        <v>1686</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1890</v>
      </c>
      <c r="N124" s="69"/>
      <c r="O124" s="69" t="s">
        <v>1891</v>
      </c>
      <c r="P124" s="69" t="s">
        <v>1686</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1892</v>
      </c>
      <c r="P125" s="69" t="s">
        <v>1686</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1893</v>
      </c>
      <c r="P126" s="69" t="s">
        <v>1686</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1894</v>
      </c>
      <c r="N127" s="69"/>
      <c r="O127" s="69" t="s">
        <v>1895</v>
      </c>
      <c r="P127" s="69" t="s">
        <v>1686</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1896</v>
      </c>
      <c r="N128" s="69"/>
      <c r="O128" s="69" t="s">
        <v>1897</v>
      </c>
      <c r="P128" s="69" t="s">
        <v>1686</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1898</v>
      </c>
      <c r="P129" s="69" t="s">
        <v>1686</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1899</v>
      </c>
      <c r="P130" s="69" t="s">
        <v>1686</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1900</v>
      </c>
      <c r="P131" s="69" t="s">
        <v>1686</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1901</v>
      </c>
      <c r="P132" s="69" t="s">
        <v>1686</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1902</v>
      </c>
      <c r="P133" s="69" t="s">
        <v>1686</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1903</v>
      </c>
      <c r="P134" s="69" t="s">
        <v>1686</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1904</v>
      </c>
      <c r="P135" s="69" t="s">
        <v>1686</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1905</v>
      </c>
      <c r="P136" s="69" t="s">
        <v>1686</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1906</v>
      </c>
      <c r="P137" s="69" t="s">
        <v>1686</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1907</v>
      </c>
      <c r="P138" s="69" t="s">
        <v>1686</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1908</v>
      </c>
      <c r="P139" s="69" t="s">
        <v>1686</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1909</v>
      </c>
      <c r="P140" s="69" t="s">
        <v>1686</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1910</v>
      </c>
      <c r="P141" s="69" t="s">
        <v>1686</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1911</v>
      </c>
      <c r="P142" s="69" t="s">
        <v>1686</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1912</v>
      </c>
      <c r="P143" s="69" t="s">
        <v>1686</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1913</v>
      </c>
      <c r="P144" s="69" t="s">
        <v>1686</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1914</v>
      </c>
      <c r="P145" s="69" t="s">
        <v>1686</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1915</v>
      </c>
      <c r="P146" s="69" t="s">
        <v>1686</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1916</v>
      </c>
      <c r="P147" s="69" t="s">
        <v>1686</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1917</v>
      </c>
      <c r="P148" s="69" t="s">
        <v>1686</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1918</v>
      </c>
      <c r="P149" s="69" t="s">
        <v>1686</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1919</v>
      </c>
      <c r="P150" s="69" t="s">
        <v>1686</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1920</v>
      </c>
      <c r="P151" s="69" t="s">
        <v>1686</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1921</v>
      </c>
      <c r="P152" s="69" t="s">
        <v>1686</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1922</v>
      </c>
      <c r="P153" s="69" t="s">
        <v>1686</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1923</v>
      </c>
      <c r="P154" s="69" t="s">
        <v>1686</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1924</v>
      </c>
      <c r="P155" s="69" t="s">
        <v>1686</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1925</v>
      </c>
      <c r="P156" s="69" t="s">
        <v>1686</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1926</v>
      </c>
      <c r="P157" s="69" t="s">
        <v>1686</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1927</v>
      </c>
      <c r="P158" s="69" t="s">
        <v>1686</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1928</v>
      </c>
      <c r="P159" s="69" t="s">
        <v>1686</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1929</v>
      </c>
      <c r="P160" s="69" t="s">
        <v>1686</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1930</v>
      </c>
      <c r="B1" s="71" t="s">
        <v>1931</v>
      </c>
      <c r="C1" s="71" t="s">
        <v>1932</v>
      </c>
      <c r="D1" s="71" t="s">
        <v>1933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2026-10-18T22:12:28Z</dcterms:created>
  <dc:creator>openpyxl</dc:creator>
  <dc:description/>
  <dc:language>en-US</dc:language>
  <cp:lastModifiedBy/>
  <dcterms:modified xsi:type="dcterms:W3CDTF">2026-10-18T22:12:29Z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